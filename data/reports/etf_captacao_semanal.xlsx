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Categorias" sheetId="1" state="visible" r:id="rId1"/>
    <sheet xmlns:r="http://schemas.openxmlformats.org/officeDocument/2006/relationships" name="Matriz ETFs" sheetId="2" state="visible" r:id="rId2"/>
    <sheet xmlns:r="http://schemas.openxmlformats.org/officeDocument/2006/relationships" name="Detalhamento Completo" sheetId="3" state="visible" r:id="rId3"/>
  </sheets>
  <definedNames>
    <definedName name="_xlnm._FilterDatabase" localSheetId="2" hidden="1">'Detalhamento Completo'!$A$1:$N$94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;-;-"/>
    <numFmt numFmtId="166" formatCode="0.00&quot;%&quot;;-;-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3" borderId="0" pivotButton="0" quotePrefix="0" xfId="0"/>
    <xf numFmtId="164" fontId="4" fillId="4" borderId="0" pivotButton="0" quotePrefix="0" xfId="0"/>
    <xf numFmtId="164" fontId="5" fillId="0" borderId="0" pivotButton="0" quotePrefix="0" xfId="0"/>
    <xf numFmtId="164" fontId="4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Captação Líquida de ETFs por Categoria (Semana a Semana)</t>
        </is>
      </c>
    </row>
    <row r="2">
      <c r="A2" s="2" t="inlineStr">
        <is>
          <t>Gerado em 13/09/2026 21:38</t>
        </is>
      </c>
    </row>
    <row r="4">
      <c r="A4" s="3" t="inlineStr">
        <is>
          <t>Categoria</t>
        </is>
      </c>
      <c r="B4" s="4" t="inlineStr">
        <is>
          <t>2026-W32</t>
        </is>
      </c>
      <c r="C4" s="4" t="inlineStr">
        <is>
          <t>2026-W33</t>
        </is>
      </c>
      <c r="D4" s="4" t="inlineStr">
        <is>
          <t>2026-W34</t>
        </is>
      </c>
      <c r="E4" s="4" t="inlineStr">
        <is>
          <t>2026-W35</t>
        </is>
      </c>
      <c r="F4" s="4" t="inlineStr">
        <is>
          <t>2026-W36</t>
        </is>
      </c>
      <c r="G4" s="4" t="inlineStr">
        <is>
          <t>2026-W37</t>
        </is>
      </c>
      <c r="H4" s="4" t="inlineStr">
        <is>
          <t>Total Acumulado (R$)</t>
        </is>
      </c>
    </row>
    <row r="5">
      <c r="A5" s="5" t="inlineStr">
        <is>
          <t>Ações Brasil</t>
        </is>
      </c>
      <c r="B5" s="6" t="n">
        <v>893783.39</v>
      </c>
      <c r="C5" s="6" t="n">
        <v>19047765.15</v>
      </c>
      <c r="D5" s="6" t="n">
        <v>16952096.4</v>
      </c>
      <c r="E5" s="6" t="n">
        <v>29529550.9</v>
      </c>
      <c r="F5" s="7" t="n">
        <v>-171274.21</v>
      </c>
      <c r="G5" s="6" t="n">
        <v>23594167</v>
      </c>
      <c r="H5" s="8">
        <f>SUM(B5:G5)</f>
        <v/>
      </c>
    </row>
    <row r="6">
      <c r="A6" s="5" t="inlineStr">
        <is>
          <t>Cripto</t>
        </is>
      </c>
      <c r="B6" s="7" t="n">
        <v>-2420163.49</v>
      </c>
      <c r="C6" s="7" t="n">
        <v>-1752806.34</v>
      </c>
      <c r="D6" s="7" t="n">
        <v>-2211869.12</v>
      </c>
      <c r="E6" s="7" t="n">
        <v>-3114785.5</v>
      </c>
      <c r="F6" s="7" t="n">
        <v>-4444677.31</v>
      </c>
      <c r="G6" s="6" t="n">
        <v>4520282.69</v>
      </c>
      <c r="H6" s="8">
        <f>SUM(B6:G6)</f>
        <v/>
      </c>
    </row>
    <row r="7">
      <c r="A7" s="5" t="inlineStr">
        <is>
          <t>Internacional</t>
        </is>
      </c>
      <c r="B7" s="7" t="n">
        <v>-85606.61</v>
      </c>
      <c r="C7" s="7" t="n">
        <v>-207628.66</v>
      </c>
      <c r="D7" s="7" t="n">
        <v>-204262.75</v>
      </c>
      <c r="E7" s="7" t="n">
        <v>-7124.53</v>
      </c>
      <c r="F7" s="7" t="n">
        <v>-166594.27</v>
      </c>
      <c r="G7" s="7" t="n">
        <v>-4240.36</v>
      </c>
      <c r="H7" s="8">
        <f>SUM(B7:G7)</f>
        <v/>
      </c>
    </row>
    <row r="8">
      <c r="A8" s="5" t="inlineStr">
        <is>
          <t>Multimercado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8">
        <f>SUM(B8:G8)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Captação Líquida por ETF (Semana a Semana)</t>
        </is>
      </c>
    </row>
    <row r="3">
      <c r="A3" s="10" t="inlineStr">
        <is>
          <t>Ticker</t>
        </is>
      </c>
      <c r="B3" s="10" t="inlineStr">
        <is>
          <t>Nome do ETF</t>
        </is>
      </c>
      <c r="C3" s="10" t="inlineStr">
        <is>
          <t>Categoria</t>
        </is>
      </c>
      <c r="D3" s="10" t="inlineStr">
        <is>
          <t>Gestora</t>
        </is>
      </c>
      <c r="E3" s="10" t="inlineStr">
        <is>
          <t>2026-W32</t>
        </is>
      </c>
      <c r="F3" s="10" t="inlineStr">
        <is>
          <t>2026-W33</t>
        </is>
      </c>
      <c r="G3" s="10" t="inlineStr">
        <is>
          <t>2026-W34</t>
        </is>
      </c>
      <c r="H3" s="10" t="inlineStr">
        <is>
          <t>2026-W35</t>
        </is>
      </c>
      <c r="I3" s="10" t="inlineStr">
        <is>
          <t>2026-W36</t>
        </is>
      </c>
      <c r="J3" s="10" t="inlineStr">
        <is>
          <t>2026-W37</t>
        </is>
      </c>
      <c r="K3" s="10" t="inlineStr">
        <is>
          <t>Total Acumulado (R$)</t>
        </is>
      </c>
    </row>
    <row r="4">
      <c r="A4" s="5" t="n"/>
      <c r="B4" s="5" t="inlineStr">
        <is>
          <t>BB AÇÕES ALOCAÇÃO ETF FUNDO DE INVESTIMENTO FINANCEIRO EM AÇÕES RESPONSABILIDADE LIMITADA</t>
        </is>
      </c>
      <c r="C4" s="5" t="inlineStr">
        <is>
          <t>Ações Brasil</t>
        </is>
      </c>
      <c r="D4" s="5" t="inlineStr">
        <is>
          <t>BB GESTAO DE RECURSOS DTVM S.A</t>
        </is>
      </c>
      <c r="E4" s="7" t="n">
        <v>-184788.36</v>
      </c>
      <c r="F4" s="7" t="n">
        <v>-53062.89</v>
      </c>
      <c r="G4" s="7" t="n">
        <v>-59838.3</v>
      </c>
      <c r="H4" s="7" t="n">
        <v>-175257.41</v>
      </c>
      <c r="I4" s="7" t="n">
        <v>-803092.54</v>
      </c>
      <c r="J4" s="6" t="n">
        <v>43485.74</v>
      </c>
      <c r="K4" s="8">
        <f>SUM(E4:J4)</f>
        <v/>
      </c>
    </row>
    <row r="5">
      <c r="A5" s="5" t="n"/>
      <c r="B5" s="5" t="inlineStr">
        <is>
          <t>BB AÇÕES ALOCAÇÃO ETF INVESTIMENTO NO EXTERIOR FUNDO DE INVESTIMENTO FINANCEIRO RESP LIMITADA</t>
        </is>
      </c>
      <c r="C5" s="5" t="inlineStr">
        <is>
          <t>Internacional</t>
        </is>
      </c>
      <c r="D5" s="5" t="inlineStr">
        <is>
          <t>BB GESTAO DE RECURSOS DTVM S.A</t>
        </is>
      </c>
      <c r="E5" s="7" t="n">
        <v>-85606.61</v>
      </c>
      <c r="F5" s="7" t="n">
        <v>-207628.66</v>
      </c>
      <c r="G5" s="7" t="n">
        <v>-204262.75</v>
      </c>
      <c r="H5" s="7" t="n">
        <v>-7124.53</v>
      </c>
      <c r="I5" s="7" t="n">
        <v>-166594.27</v>
      </c>
      <c r="J5" s="7" t="n">
        <v>-4240.36</v>
      </c>
      <c r="K5" s="8">
        <f>SUM(E5:J5)</f>
        <v/>
      </c>
    </row>
    <row r="6">
      <c r="A6" s="5" t="n"/>
      <c r="B6" s="5" t="inlineStr">
        <is>
          <t>BTG PACTUAL INDEX FUNDO DE INVESTIMENTO FINANCEIRO MULTIMERCADO</t>
        </is>
      </c>
      <c r="C6" s="5" t="inlineStr">
        <is>
          <t>Multimercado</t>
        </is>
      </c>
      <c r="D6" s="5" t="inlineStr">
        <is>
          <t>BTG PACTUAL ASSET MANAGEMENT S/A DTVM</t>
        </is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8">
        <f>SUM(E6:J6)</f>
        <v/>
      </c>
    </row>
    <row r="7">
      <c r="A7" s="5" t="n"/>
      <c r="B7" s="5" t="inlineStr">
        <is>
          <t>BTG PACTUAL REFERENCE ETF FUNDO DE INVESTIMENTO FINANCEIRO EM AÇÕES</t>
        </is>
      </c>
      <c r="C7" s="5" t="inlineStr">
        <is>
          <t>Ações Brasil</t>
        </is>
      </c>
      <c r="D7" s="5" t="inlineStr">
        <is>
          <t>BTG PACTUAL ASSET MANAGEMENT S/A DTVM</t>
        </is>
      </c>
      <c r="E7" s="7" t="n">
        <v>-4159.79</v>
      </c>
      <c r="F7" s="7" t="n">
        <v>-2078.54</v>
      </c>
      <c r="G7" s="7" t="n">
        <v>-2562.36</v>
      </c>
      <c r="H7" s="7" t="n">
        <v>-439.17</v>
      </c>
      <c r="I7" s="7" t="n">
        <v>-1556.56</v>
      </c>
      <c r="J7" s="7" t="n">
        <v>-333.17</v>
      </c>
      <c r="K7" s="8">
        <f>SUM(E7:J7)</f>
        <v/>
      </c>
    </row>
    <row r="8">
      <c r="A8" s="5" t="n"/>
      <c r="B8" s="5" t="inlineStr">
        <is>
          <t>CAIXA BRASIL ETF IBOVESPA FUNDO DE INVESTIMENTO FINANCEIRO EM AÇÕES - RESPONSABILIDADE LIMITADA</t>
        </is>
      </c>
      <c r="C8" s="5" t="inlineStr">
        <is>
          <t>Ações Brasil</t>
        </is>
      </c>
      <c r="D8" s="5" t="inlineStr">
        <is>
          <t>CAIXA DISTRIBUIDORA DE TÍTULOS E VALORES MOBILIÁRIOS S.A.</t>
        </is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8">
        <f>SUM(E8:J8)</f>
        <v/>
      </c>
    </row>
    <row r="9">
      <c r="A9" s="5" t="n"/>
      <c r="B9" s="5" t="inlineStr">
        <is>
          <t>EMB VIII ETF FIF - CLASSE DE INVESTIMENTO EM AÇÕES - RESP LIMITADA</t>
        </is>
      </c>
      <c r="C9" s="5" t="inlineStr">
        <is>
          <t>Ações Brasil</t>
        </is>
      </c>
      <c r="D9" s="5" t="inlineStr">
        <is>
          <t>BNP PARIBAS ASSET MANAGEMENT BRASIL LTDA</t>
        </is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8">
        <f>SUM(E9:J9)</f>
        <v/>
      </c>
    </row>
    <row r="10">
      <c r="A10" s="5" t="n"/>
      <c r="B10" s="5" t="inlineStr">
        <is>
          <t>ETF PIONEER SELECTION OURO PRETO FUNDO DE INVESTIMENTO FINANCEIRO MULTIMERCADO RESP LIMITADA</t>
        </is>
      </c>
      <c r="C10" s="5" t="inlineStr">
        <is>
          <t>Multimercado</t>
        </is>
      </c>
      <c r="D10" s="5" t="inlineStr">
        <is>
          <t>OURO PRETO GESTÃO DE RECURSOS S.A.</t>
        </is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8">
        <f>SUM(E10:J10)</f>
        <v/>
      </c>
    </row>
    <row r="11">
      <c r="A11" s="5" t="n"/>
      <c r="B11" s="5" t="inlineStr">
        <is>
          <t>HASHDEX 100 NASDAQ CRYPTO INDEX FUNDO DE INVESTIMENTO MULTIMERCADO</t>
        </is>
      </c>
      <c r="C11" s="5" t="inlineStr">
        <is>
          <t>Cripto</t>
        </is>
      </c>
      <c r="D11" s="5" t="inlineStr">
        <is>
          <t>HASHDEX GESTORA DE RECURSOS LTDA</t>
        </is>
      </c>
      <c r="E11" s="7" t="n">
        <v>-691484.27</v>
      </c>
      <c r="F11" s="7" t="n">
        <v>-516221.63</v>
      </c>
      <c r="G11" s="7" t="n">
        <v>-669759.23</v>
      </c>
      <c r="H11" s="7" t="n">
        <v>-1238846.4</v>
      </c>
      <c r="I11" s="7" t="n">
        <v>-2035292.59</v>
      </c>
      <c r="J11" s="6" t="n">
        <v>6251041.94</v>
      </c>
      <c r="K11" s="8">
        <f>SUM(E11:J11)</f>
        <v/>
      </c>
    </row>
    <row r="12">
      <c r="A12" s="5" t="n"/>
      <c r="B12" s="5" t="inlineStr">
        <is>
          <t>HASHDEX 20 NASDAQ CRYPTO INDEX FUNDO DE INVESTIMENTO FINANCEIRO EM COTAS DE FIM</t>
        </is>
      </c>
      <c r="C12" s="5" t="inlineStr">
        <is>
          <t>Cripto</t>
        </is>
      </c>
      <c r="D12" s="5" t="inlineStr">
        <is>
          <t>HASHDEX GESTORA DE RECURSOS LTDA</t>
        </is>
      </c>
      <c r="E12" s="7" t="n">
        <v>-1125960.26</v>
      </c>
      <c r="F12" s="7" t="n">
        <v>-1018595.16</v>
      </c>
      <c r="G12" s="7" t="n">
        <v>-1157730.37</v>
      </c>
      <c r="H12" s="7" t="n">
        <v>-856885.39</v>
      </c>
      <c r="I12" s="7" t="n">
        <v>-957508.05</v>
      </c>
      <c r="J12" s="7" t="n">
        <v>-496064.31</v>
      </c>
      <c r="K12" s="8">
        <f>SUM(E12:J12)</f>
        <v/>
      </c>
    </row>
    <row r="13">
      <c r="A13" s="5" t="n"/>
      <c r="B13" s="5" t="inlineStr">
        <is>
          <t>HASHDEX 40 NASDAQ CRYPTO INDEX FUNDO DE INVESTIMENTO FINANCEIRO EM COTAS DE FI MULTIMERCADO</t>
        </is>
      </c>
      <c r="C13" s="5" t="inlineStr">
        <is>
          <t>Cripto</t>
        </is>
      </c>
      <c r="D13" s="5" t="inlineStr">
        <is>
          <t>HASHDEX GESTORA DE RECURSOS LTDA</t>
        </is>
      </c>
      <c r="E13" s="7" t="n">
        <v>-602718.96</v>
      </c>
      <c r="F13" s="7" t="n">
        <v>-217989.55</v>
      </c>
      <c r="G13" s="7" t="n">
        <v>-384379.52</v>
      </c>
      <c r="H13" s="7" t="n">
        <v>-1019053.71</v>
      </c>
      <c r="I13" s="7" t="n">
        <v>-1451876.67</v>
      </c>
      <c r="J13" s="7" t="n">
        <v>-1234694.94</v>
      </c>
      <c r="K13" s="8">
        <f>SUM(E13:J13)</f>
        <v/>
      </c>
    </row>
    <row r="14">
      <c r="A14" s="5" t="n"/>
      <c r="B14" s="5" t="inlineStr">
        <is>
          <t>INDEX FUNDO DE INVESTIMENTO FINANCEIRO MULTIMERCADO CRÉDITO PRIVADO RESP LIMITADA</t>
        </is>
      </c>
      <c r="C14" s="5" t="inlineStr">
        <is>
          <t>Multimercado</t>
        </is>
      </c>
      <c r="D14" s="5" t="inlineStr">
        <is>
          <t>STRIVO GESTORA DE RECURSOS Ltda</t>
        </is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8">
        <f>SUM(E14:J14)</f>
        <v/>
      </c>
    </row>
    <row r="15">
      <c r="A15" s="5" t="n"/>
      <c r="B15" s="5" t="inlineStr">
        <is>
          <t>ITAÚ AÇÕES SMALL CAP INDEX FUNDO DE INVESTIMENTO FINANCEIRO RESPONSABILIDADE LIMITADA</t>
        </is>
      </c>
      <c r="C15" s="5" t="inlineStr">
        <is>
          <t>Ações Brasil</t>
        </is>
      </c>
      <c r="D15" s="5" t="inlineStr">
        <is>
          <t>ITAU UNIBANCO ASSET MANAGEMENT LTDA.</t>
        </is>
      </c>
      <c r="E15" s="7" t="n">
        <v>-342193.69</v>
      </c>
      <c r="F15" s="7" t="n">
        <v>-206029.53</v>
      </c>
      <c r="G15" s="7" t="n">
        <v>-93721.50999999999</v>
      </c>
      <c r="H15" s="7" t="n">
        <v>-161070.1</v>
      </c>
      <c r="I15" s="7" t="n">
        <v>-268768.86</v>
      </c>
      <c r="J15" s="7" t="n">
        <v>-469427.12</v>
      </c>
      <c r="K15" s="8">
        <f>SUM(E15:J15)</f>
        <v/>
      </c>
    </row>
    <row r="16">
      <c r="A16" s="5" t="n"/>
      <c r="B16" s="5" t="inlineStr">
        <is>
          <t>ITAÚ FTSE RAFI BRAZIL 50 CAPPED INDEX FUNDO DE INVESTIMENTO FINANCEIRO EM AÇÕES RESP LIMITADA</t>
        </is>
      </c>
      <c r="C16" s="5" t="inlineStr">
        <is>
          <t>Ações Brasil</t>
        </is>
      </c>
      <c r="D16" s="5" t="inlineStr">
        <is>
          <t>ITAU UNIBANCO ASSET MANAGEMENT LTDA.</t>
        </is>
      </c>
      <c r="E16" s="7" t="n">
        <v>-866440</v>
      </c>
      <c r="F16" s="6" t="n">
        <v>4936932.73</v>
      </c>
      <c r="G16" s="6" t="n">
        <v>3249283.06</v>
      </c>
      <c r="H16" s="6" t="n">
        <v>15783735.48</v>
      </c>
      <c r="I16" s="7" t="n">
        <v>-8172679.84</v>
      </c>
      <c r="J16" s="6" t="n">
        <v>19630983.33</v>
      </c>
      <c r="K16" s="8">
        <f>SUM(E16:J16)</f>
        <v/>
      </c>
    </row>
    <row r="17">
      <c r="A17" s="5" t="n"/>
      <c r="B17" s="5" t="inlineStr">
        <is>
          <t>PROVENCE ETF FUNDO DE INVESTIMENTO FINANCEIRO DE AÇÕES</t>
        </is>
      </c>
      <c r="C17" s="5" t="inlineStr">
        <is>
          <t>Internacional</t>
        </is>
      </c>
      <c r="D17" s="5" t="inlineStr">
        <is>
          <t>WEALTH HIGH GOVERNANCE CAPITAL LTDA.</t>
        </is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8">
        <f>SUM(E17:J17)</f>
        <v/>
      </c>
    </row>
    <row r="18">
      <c r="A18" s="5" t="n"/>
      <c r="B18" s="5" t="inlineStr">
        <is>
          <t>SANTANDER AÇÕES GLOBAIS REAIS BDR ETF AÇÕES - CIC FIF RESPONSABILIDADE LIMITADA</t>
        </is>
      </c>
      <c r="C18" s="5" t="inlineStr">
        <is>
          <t>Ações Brasil</t>
        </is>
      </c>
      <c r="D18" s="5" t="inlineStr">
        <is>
          <t>SANTANDER BRASIL GESTÃO DE RECURSOS LTDA</t>
        </is>
      </c>
      <c r="E18" s="6" t="n">
        <v>1364146.92</v>
      </c>
      <c r="F18" s="6" t="n">
        <v>7233033.21</v>
      </c>
      <c r="G18" s="6" t="n">
        <v>7033568.89</v>
      </c>
      <c r="H18" s="6" t="n">
        <v>6894318.69</v>
      </c>
      <c r="I18" s="6" t="n">
        <v>4353831.32</v>
      </c>
      <c r="J18" s="6" t="n">
        <v>2184112.49</v>
      </c>
      <c r="K18" s="8">
        <f>SUM(E18:J18)</f>
        <v/>
      </c>
    </row>
    <row r="19">
      <c r="A19" s="5" t="n"/>
      <c r="B19" s="5" t="inlineStr">
        <is>
          <t>SANTANDER AÇÕES GLOBAIS REAIS BDR ETF AÇÕES - FUNDO DE INVESTIMENTO RESPONSABILIDADE LIMITADA</t>
        </is>
      </c>
      <c r="C19" s="5" t="inlineStr">
        <is>
          <t>Ações Brasil</t>
        </is>
      </c>
      <c r="D19" s="5" t="inlineStr">
        <is>
          <t>SANTANDER BRASIL GESTÃO DE RECURSOS LTDA</t>
        </is>
      </c>
      <c r="E19" s="6" t="n">
        <v>927218.3100000001</v>
      </c>
      <c r="F19" s="6" t="n">
        <v>7138970.17</v>
      </c>
      <c r="G19" s="6" t="n">
        <v>6825366.62</v>
      </c>
      <c r="H19" s="6" t="n">
        <v>7188263.41</v>
      </c>
      <c r="I19" s="6" t="n">
        <v>4720992.27</v>
      </c>
      <c r="J19" s="6" t="n">
        <v>2205345.73</v>
      </c>
      <c r="K19" s="8">
        <f>SUM(E19:J19)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16" customWidth="1" min="4" max="4"/>
    <col width="26" customWidth="1" min="5" max="5"/>
    <col width="12" customWidth="1" min="6" max="6"/>
    <col width="14" customWidth="1" min="7" max="7"/>
    <col width="18" customWidth="1" min="8" max="8"/>
    <col width="18" customWidth="1" min="9" max="9"/>
    <col width="20" customWidth="1" min="10" max="10"/>
    <col width="18" customWidth="1" min="11" max="11"/>
    <col width="14" customWidth="1" min="12" max="12"/>
    <col width="16" customWidth="1" min="13" max="13"/>
    <col width="20" customWidth="1" min="14" max="14"/>
  </cols>
  <sheetData>
    <row r="1">
      <c r="A1" s="10" t="inlineStr">
        <is>
          <t>CNPJ</t>
        </is>
      </c>
      <c r="B1" s="10" t="inlineStr">
        <is>
          <t>Ticker</t>
        </is>
      </c>
      <c r="C1" s="10" t="inlineStr">
        <is>
          <t>Nome ETF</t>
        </is>
      </c>
      <c r="D1" s="10" t="inlineStr">
        <is>
          <t>Categoria</t>
        </is>
      </c>
      <c r="E1" s="10" t="inlineStr">
        <is>
          <t>Gestora</t>
        </is>
      </c>
      <c r="F1" s="10" t="inlineStr">
        <is>
          <t>Semana ISO</t>
        </is>
      </c>
      <c r="G1" s="10" t="inlineStr">
        <is>
          <t>Data Fim</t>
        </is>
      </c>
      <c r="H1" s="10" t="inlineStr">
        <is>
          <t>Captação Bruta (R$)</t>
        </is>
      </c>
      <c r="I1" s="10" t="inlineStr">
        <is>
          <t>Resgates (R$)</t>
        </is>
      </c>
      <c r="J1" s="10" t="inlineStr">
        <is>
          <t>Captação Líquida (R$)</t>
        </is>
      </c>
      <c r="K1" s="10" t="inlineStr">
        <is>
          <t>PL Fim (R$)</t>
        </is>
      </c>
      <c r="L1" s="10" t="inlineStr">
        <is>
          <t>Cotistas Fim</t>
        </is>
      </c>
      <c r="M1" s="10" t="inlineStr">
        <is>
          <t>Variação Cotistas</t>
        </is>
      </c>
      <c r="N1" s="10" t="inlineStr">
        <is>
          <t>Rentabilidade Semanal (%)</t>
        </is>
      </c>
    </row>
    <row r="2">
      <c r="A2" s="11" t="inlineStr">
        <is>
          <t>20.147.499/0001-71</t>
        </is>
      </c>
      <c r="B2" s="11" t="inlineStr"/>
      <c r="C2" s="11" t="inlineStr">
        <is>
          <t>ITAÚ FTSE RAFI BRAZIL 50 CAPPED INDEX FUNDO DE INVESTIMENTO FINANCEIRO EM AÇÕES RESP LIMITADA</t>
        </is>
      </c>
      <c r="D2" s="11" t="inlineStr">
        <is>
          <t>Ações Brasil</t>
        </is>
      </c>
      <c r="E2" s="11" t="inlineStr">
        <is>
          <t>ITAU UNIBANCO ASSET MANAGEMENT LTDA.</t>
        </is>
      </c>
      <c r="F2" s="11" t="inlineStr">
        <is>
          <t>2026-W37</t>
        </is>
      </c>
      <c r="G2" s="11" t="inlineStr">
        <is>
          <t>10/09/2026</t>
        </is>
      </c>
      <c r="H2" s="12" t="n">
        <v>21430677.75</v>
      </c>
      <c r="I2" s="12" t="n">
        <v>1799694.42</v>
      </c>
      <c r="J2" s="12" t="n">
        <v>19630983.33</v>
      </c>
      <c r="K2" s="12" t="n">
        <v>1497920190.81</v>
      </c>
      <c r="L2" s="13" t="n">
        <v>10</v>
      </c>
      <c r="M2" s="13" t="n">
        <v>0</v>
      </c>
      <c r="N2" s="14" t="n">
        <v>0.007219</v>
      </c>
    </row>
    <row r="3">
      <c r="A3" s="11" t="inlineStr">
        <is>
          <t>33.736.845/0001-07</t>
        </is>
      </c>
      <c r="B3" s="11" t="inlineStr"/>
      <c r="C3" s="11" t="inlineStr">
        <is>
          <t>HASHDEX 100 NASDAQ CRYPTO INDEX FUNDO DE INVESTIMENTO MULTIMERCADO</t>
        </is>
      </c>
      <c r="D3" s="11" t="inlineStr">
        <is>
          <t>Cripto</t>
        </is>
      </c>
      <c r="E3" s="11" t="inlineStr">
        <is>
          <t>HASHDEX GESTORA DE RECURSOS LTDA</t>
        </is>
      </c>
      <c r="F3" s="11" t="inlineStr">
        <is>
          <t>2026-W37</t>
        </is>
      </c>
      <c r="G3" s="11" t="inlineStr">
        <is>
          <t>10/09/2026</t>
        </is>
      </c>
      <c r="H3" s="12" t="n">
        <v>7624455.61</v>
      </c>
      <c r="I3" s="12" t="n">
        <v>1373413.67</v>
      </c>
      <c r="J3" s="12" t="n">
        <v>6251041.94</v>
      </c>
      <c r="K3" s="12" t="n">
        <v>11451805.81</v>
      </c>
      <c r="L3" s="13" t="n">
        <v>1</v>
      </c>
      <c r="M3" s="13" t="n">
        <v>-28454</v>
      </c>
      <c r="N3" s="14" t="n">
        <v>-0.920277</v>
      </c>
    </row>
    <row r="4">
      <c r="A4" s="11" t="inlineStr">
        <is>
          <t>41.721.433/0001-13</t>
        </is>
      </c>
      <c r="B4" s="11" t="inlineStr"/>
      <c r="C4" s="11" t="inlineStr">
        <is>
          <t>SANTANDER AÇÕES GLOBAIS REAIS BDR ETF AÇÕES - FUNDO DE INVESTIMENTO RESPONSABILIDADE LIMITADA</t>
        </is>
      </c>
      <c r="D4" s="11" t="inlineStr">
        <is>
          <t>Ações Brasil</t>
        </is>
      </c>
      <c r="E4" s="11" t="inlineStr">
        <is>
          <t>SANTANDER BRASIL GESTÃO DE RECURSOS LTDA</t>
        </is>
      </c>
      <c r="F4" s="11" t="inlineStr">
        <is>
          <t>2026-W37</t>
        </is>
      </c>
      <c r="G4" s="11" t="inlineStr">
        <is>
          <t>10/09/2026</t>
        </is>
      </c>
      <c r="H4" s="12" t="n">
        <v>3104045.73</v>
      </c>
      <c r="I4" s="12" t="n">
        <v>898700</v>
      </c>
      <c r="J4" s="12" t="n">
        <v>2205345.73</v>
      </c>
      <c r="K4" s="12" t="n">
        <v>457009884.19</v>
      </c>
      <c r="L4" s="13" t="n">
        <v>3</v>
      </c>
      <c r="M4" s="13" t="n">
        <v>0</v>
      </c>
      <c r="N4" s="14" t="n">
        <v>-0.01415</v>
      </c>
    </row>
    <row r="5">
      <c r="A5" s="11" t="inlineStr">
        <is>
          <t>41.721.399/0001-87</t>
        </is>
      </c>
      <c r="B5" s="11" t="inlineStr"/>
      <c r="C5" s="11" t="inlineStr">
        <is>
          <t>SANTANDER AÇÕES GLOBAIS REAIS BDR ETF AÇÕES - CIC FIF RESPONSABILIDADE LIMITADA</t>
        </is>
      </c>
      <c r="D5" s="11" t="inlineStr">
        <is>
          <t>Ações Brasil</t>
        </is>
      </c>
      <c r="E5" s="11" t="inlineStr">
        <is>
          <t>SANTANDER BRASIL GESTÃO DE RECURSOS LTDA</t>
        </is>
      </c>
      <c r="F5" s="11" t="inlineStr">
        <is>
          <t>2026-W37</t>
        </is>
      </c>
      <c r="G5" s="11" t="inlineStr">
        <is>
          <t>10/09/2026</t>
        </is>
      </c>
      <c r="H5" s="12" t="n">
        <v>3028931.07</v>
      </c>
      <c r="I5" s="12" t="n">
        <v>844818.58</v>
      </c>
      <c r="J5" s="12" t="n">
        <v>2184112.49</v>
      </c>
      <c r="K5" s="12" t="n">
        <v>437848010.44</v>
      </c>
      <c r="L5" s="13" t="n">
        <v>16829</v>
      </c>
      <c r="M5" s="13" t="n">
        <v>103</v>
      </c>
      <c r="N5" s="14" t="n">
        <v>-0.013794</v>
      </c>
    </row>
    <row r="6">
      <c r="A6" s="11" t="inlineStr">
        <is>
          <t>06.251.554/0001-48</t>
        </is>
      </c>
      <c r="B6" s="11" t="inlineStr"/>
      <c r="C6" s="11" t="inlineStr">
        <is>
          <t>BB AÇÕES ALOCAÇÃO ETF FUNDO DE INVESTIMENTO FINANCEIRO EM AÇÕES RESPONSABILIDADE LIMITADA</t>
        </is>
      </c>
      <c r="D6" s="11" t="inlineStr">
        <is>
          <t>Ações Brasil</t>
        </is>
      </c>
      <c r="E6" s="11" t="inlineStr">
        <is>
          <t>BB GESTAO DE RECURSOS DTVM S.A</t>
        </is>
      </c>
      <c r="F6" s="11" t="inlineStr">
        <is>
          <t>2026-W37</t>
        </is>
      </c>
      <c r="G6" s="11" t="inlineStr">
        <is>
          <t>10/09/2026</t>
        </is>
      </c>
      <c r="H6" s="12" t="n">
        <v>76847.96000000001</v>
      </c>
      <c r="I6" s="12" t="n">
        <v>33362.22</v>
      </c>
      <c r="J6" s="12" t="n">
        <v>43485.74</v>
      </c>
      <c r="K6" s="12" t="n">
        <v>125533590.35</v>
      </c>
      <c r="L6" s="13" t="n">
        <v>2915</v>
      </c>
      <c r="M6" s="13" t="n">
        <v>5</v>
      </c>
      <c r="N6" s="14" t="n">
        <v>0.000285</v>
      </c>
    </row>
    <row r="7">
      <c r="A7" s="11" t="inlineStr">
        <is>
          <t>09.290.807/0001-80</t>
        </is>
      </c>
      <c r="B7" s="11" t="inlineStr"/>
      <c r="C7" s="11" t="inlineStr">
        <is>
          <t>BTG PACTUAL INDEX FUNDO DE INVESTIMENTO FINANCEIRO MULTIMERCADO</t>
        </is>
      </c>
      <c r="D7" s="11" t="inlineStr">
        <is>
          <t>Multimercado</t>
        </is>
      </c>
      <c r="E7" s="11" t="inlineStr">
        <is>
          <t>BTG PACTUAL ASSET MANAGEMENT S/A DTVM</t>
        </is>
      </c>
      <c r="F7" s="11" t="inlineStr">
        <is>
          <t>2026-W37</t>
        </is>
      </c>
      <c r="G7" s="11" t="inlineStr">
        <is>
          <t>10/09/2026</t>
        </is>
      </c>
      <c r="H7" s="12" t="n">
        <v>0</v>
      </c>
      <c r="I7" s="12" t="n">
        <v>0</v>
      </c>
      <c r="J7" s="12" t="n">
        <v>0</v>
      </c>
      <c r="K7" s="12" t="n">
        <v>2841966.73</v>
      </c>
      <c r="L7" s="13" t="n">
        <v>3</v>
      </c>
      <c r="M7" s="13" t="n">
        <v>0</v>
      </c>
      <c r="N7" s="14" t="n">
        <v>0.003872</v>
      </c>
    </row>
    <row r="8">
      <c r="A8" s="11" t="inlineStr">
        <is>
          <t>15.154.236/0001-50</t>
        </is>
      </c>
      <c r="B8" s="11" t="inlineStr"/>
      <c r="C8" s="11" t="inlineStr">
        <is>
          <t>CAIXA BRASIL ETF IBOVESPA FUNDO DE INVESTIMENTO FINANCEIRO EM AÇÕES - RESPONSABILIDADE LIMITADA</t>
        </is>
      </c>
      <c r="D8" s="11" t="inlineStr">
        <is>
          <t>Ações Brasil</t>
        </is>
      </c>
      <c r="E8" s="11" t="inlineStr">
        <is>
          <t>CAIXA DISTRIBUIDORA DE TÍTULOS E VALORES MOBILIÁRIOS S.A.</t>
        </is>
      </c>
      <c r="F8" s="11" t="inlineStr">
        <is>
          <t>2026-W37</t>
        </is>
      </c>
      <c r="G8" s="11" t="inlineStr">
        <is>
          <t>10/09/2026</t>
        </is>
      </c>
      <c r="H8" s="12" t="n">
        <v>0</v>
      </c>
      <c r="I8" s="12" t="n">
        <v>0</v>
      </c>
      <c r="J8" s="12" t="n">
        <v>0</v>
      </c>
      <c r="K8" s="12" t="n">
        <v>8063165.84</v>
      </c>
      <c r="L8" s="13" t="n">
        <v>10</v>
      </c>
      <c r="M8" s="13" t="n">
        <v>0</v>
      </c>
      <c r="N8" s="14" t="n">
        <v>0.00449</v>
      </c>
    </row>
    <row r="9">
      <c r="A9" s="11" t="inlineStr">
        <is>
          <t>45.622.039/0001-89</t>
        </is>
      </c>
      <c r="B9" s="11" t="inlineStr"/>
      <c r="C9" s="11" t="inlineStr">
        <is>
          <t>EMB VIII ETF FIF - CLASSE DE INVESTIMENTO EM AÇÕES - RESP LIMITADA</t>
        </is>
      </c>
      <c r="D9" s="11" t="inlineStr">
        <is>
          <t>Ações Brasil</t>
        </is>
      </c>
      <c r="E9" s="11" t="inlineStr">
        <is>
          <t>BNP PARIBAS ASSET MANAGEMENT BRASIL LTDA</t>
        </is>
      </c>
      <c r="F9" s="11" t="inlineStr">
        <is>
          <t>2026-W37</t>
        </is>
      </c>
      <c r="G9" s="11" t="inlineStr">
        <is>
          <t>10/09/2026</t>
        </is>
      </c>
      <c r="H9" s="12" t="n">
        <v>0</v>
      </c>
      <c r="I9" s="12" t="n">
        <v>0</v>
      </c>
      <c r="J9" s="12" t="n">
        <v>0</v>
      </c>
      <c r="K9" s="12" t="n">
        <v>149747009.83</v>
      </c>
      <c r="L9" s="13" t="n">
        <v>3</v>
      </c>
      <c r="M9" s="13" t="n">
        <v>0</v>
      </c>
      <c r="N9" s="14" t="n">
        <v>0.003101</v>
      </c>
    </row>
    <row r="10">
      <c r="A10" s="11" t="inlineStr">
        <is>
          <t>63.947.350/0001-80</t>
        </is>
      </c>
      <c r="B10" s="11" t="inlineStr"/>
      <c r="C10" s="11" t="inlineStr">
        <is>
          <t>ETF PIONEER SELECTION OURO PRETO FUNDO DE INVESTIMENTO FINANCEIRO MULTIMERCADO RESP LIMITADA</t>
        </is>
      </c>
      <c r="D10" s="11" t="inlineStr">
        <is>
          <t>Multimercado</t>
        </is>
      </c>
      <c r="E10" s="11" t="inlineStr">
        <is>
          <t>OURO PRETO GESTÃO DE RECURSOS S.A.</t>
        </is>
      </c>
      <c r="F10" s="11" t="inlineStr">
        <is>
          <t>2026-W37</t>
        </is>
      </c>
      <c r="G10" s="11" t="inlineStr">
        <is>
          <t>10/09/2026</t>
        </is>
      </c>
      <c r="H10" s="12" t="n">
        <v>0</v>
      </c>
      <c r="I10" s="12" t="n">
        <v>0</v>
      </c>
      <c r="J10" s="12" t="n">
        <v>0</v>
      </c>
      <c r="K10" s="12" t="n">
        <v>3959865.76</v>
      </c>
      <c r="L10" s="13" t="n">
        <v>3</v>
      </c>
      <c r="M10" s="13" t="n">
        <v>0</v>
      </c>
      <c r="N10" s="14" t="n">
        <v>0.001574</v>
      </c>
    </row>
    <row r="11">
      <c r="A11" s="11" t="inlineStr">
        <is>
          <t>68.044.926/0001-12</t>
        </is>
      </c>
      <c r="B11" s="11" t="inlineStr"/>
      <c r="C11" s="11" t="inlineStr">
        <is>
          <t>PROVENCE ETF FUNDO DE INVESTIMENTO FINANCEIRO DE AÇÕES</t>
        </is>
      </c>
      <c r="D11" s="11" t="inlineStr">
        <is>
          <t>Internacional</t>
        </is>
      </c>
      <c r="E11" s="11" t="inlineStr">
        <is>
          <t>WEALTH HIGH GOVERNANCE CAPITAL LTDA.</t>
        </is>
      </c>
      <c r="F11" s="11" t="inlineStr">
        <is>
          <t>2026-W37</t>
        </is>
      </c>
      <c r="G11" s="11" t="inlineStr">
        <is>
          <t>10/09/2026</t>
        </is>
      </c>
      <c r="H11" s="12" t="n">
        <v>0</v>
      </c>
      <c r="I11" s="12" t="n">
        <v>0</v>
      </c>
      <c r="J11" s="12" t="n">
        <v>0</v>
      </c>
      <c r="K11" s="12" t="n">
        <v>5306486.13</v>
      </c>
      <c r="L11" s="13" t="n">
        <v>1</v>
      </c>
      <c r="M11" s="13" t="n">
        <v>0</v>
      </c>
      <c r="N11" s="14" t="n">
        <v>0.001953</v>
      </c>
    </row>
    <row r="12">
      <c r="A12" s="11" t="inlineStr">
        <is>
          <t>39.958.394/0001-20</t>
        </is>
      </c>
      <c r="B12" s="11" t="inlineStr"/>
      <c r="C12" s="11" t="inlineStr">
        <is>
          <t>BTG PACTUAL REFERENCE ETF FUNDO DE INVESTIMENTO FINANCEIRO EM AÇÕES</t>
        </is>
      </c>
      <c r="D12" s="11" t="inlineStr">
        <is>
          <t>Ações Brasil</t>
        </is>
      </c>
      <c r="E12" s="11" t="inlineStr">
        <is>
          <t>BTG PACTUAL ASSET MANAGEMENT S/A DTVM</t>
        </is>
      </c>
      <c r="F12" s="11" t="inlineStr">
        <is>
          <t>2026-W37</t>
        </is>
      </c>
      <c r="G12" s="11" t="inlineStr">
        <is>
          <t>10/09/2026</t>
        </is>
      </c>
      <c r="H12" s="12" t="n">
        <v>151.11</v>
      </c>
      <c r="I12" s="12" t="n">
        <v>484.28</v>
      </c>
      <c r="J12" s="12" t="n">
        <v>-333.17</v>
      </c>
      <c r="K12" s="12" t="n">
        <v>969673.23</v>
      </c>
      <c r="L12" s="13" t="n">
        <v>2980</v>
      </c>
      <c r="M12" s="13" t="n">
        <v>-2</v>
      </c>
      <c r="N12" s="14" t="n">
        <v>0.004327</v>
      </c>
    </row>
    <row r="13">
      <c r="A13" s="11" t="inlineStr">
        <is>
          <t>28.578.897/0001-54</t>
        </is>
      </c>
      <c r="B13" s="11" t="inlineStr"/>
      <c r="C13" s="11" t="inlineStr">
        <is>
          <t>BB AÇÕES ALOCAÇÃO ETF INVESTIMENTO NO EXTERIOR FUNDO DE INVESTIMENTO FINANCEIRO RESP LIMITADA</t>
        </is>
      </c>
      <c r="D13" s="11" t="inlineStr">
        <is>
          <t>Internacional</t>
        </is>
      </c>
      <c r="E13" s="11" t="inlineStr">
        <is>
          <t>BB GESTAO DE RECURSOS DTVM S.A</t>
        </is>
      </c>
      <c r="F13" s="11" t="inlineStr">
        <is>
          <t>2026-W37</t>
        </is>
      </c>
      <c r="G13" s="11" t="inlineStr">
        <is>
          <t>10/09/2026</t>
        </is>
      </c>
      <c r="H13" s="12" t="n">
        <v>0</v>
      </c>
      <c r="I13" s="12" t="n">
        <v>4240.36</v>
      </c>
      <c r="J13" s="12" t="n">
        <v>-4240.36</v>
      </c>
      <c r="K13" s="12" t="n">
        <v>49115162.28</v>
      </c>
      <c r="L13" s="13" t="n">
        <v>7</v>
      </c>
      <c r="M13" s="13" t="n">
        <v>0</v>
      </c>
      <c r="N13" s="14" t="n">
        <v>-0.008076999999999999</v>
      </c>
    </row>
    <row r="14">
      <c r="A14" s="11" t="inlineStr">
        <is>
          <t>36.348.509/0001-77</t>
        </is>
      </c>
      <c r="B14" s="11" t="inlineStr"/>
      <c r="C14" s="11" t="inlineStr">
        <is>
          <t>ITAÚ AÇÕES SMALL CAP INDEX FUNDO DE INVESTIMENTO FINANCEIRO RESPONSABILIDADE LIMITADA</t>
        </is>
      </c>
      <c r="D14" s="11" t="inlineStr">
        <is>
          <t>Ações Brasil</t>
        </is>
      </c>
      <c r="E14" s="11" t="inlineStr">
        <is>
          <t>ITAU UNIBANCO ASSET MANAGEMENT LTDA.</t>
        </is>
      </c>
      <c r="F14" s="11" t="inlineStr">
        <is>
          <t>2026-W37</t>
        </is>
      </c>
      <c r="G14" s="11" t="inlineStr">
        <is>
          <t>10/09/2026</t>
        </is>
      </c>
      <c r="H14" s="12" t="n">
        <v>16362.05</v>
      </c>
      <c r="I14" s="12" t="n">
        <v>485789.17</v>
      </c>
      <c r="J14" s="12" t="n">
        <v>-469427.12</v>
      </c>
      <c r="K14" s="12" t="n">
        <v>21203775.1</v>
      </c>
      <c r="L14" s="13" t="n">
        <v>1</v>
      </c>
      <c r="M14" s="13" t="n">
        <v>0</v>
      </c>
      <c r="N14" s="14" t="n">
        <v>0.006006</v>
      </c>
    </row>
    <row r="15">
      <c r="A15" s="11" t="inlineStr">
        <is>
          <t>33.736.873/0001-16</t>
        </is>
      </c>
      <c r="B15" s="11" t="inlineStr"/>
      <c r="C15" s="11" t="inlineStr">
        <is>
          <t>HASHDEX 20 NASDAQ CRYPTO INDEX FUNDO DE INVESTIMENTO FINANCEIRO EM COTAS DE FIM</t>
        </is>
      </c>
      <c r="D15" s="11" t="inlineStr">
        <is>
          <t>Cripto</t>
        </is>
      </c>
      <c r="E15" s="11" t="inlineStr">
        <is>
          <t>HASHDEX GESTORA DE RECURSOS LTDA</t>
        </is>
      </c>
      <c r="F15" s="11" t="inlineStr">
        <is>
          <t>2026-W37</t>
        </is>
      </c>
      <c r="G15" s="11" t="inlineStr">
        <is>
          <t>10/09/2026</t>
        </is>
      </c>
      <c r="H15" s="12" t="n">
        <v>54944.98</v>
      </c>
      <c r="I15" s="12" t="n">
        <v>551009.29</v>
      </c>
      <c r="J15" s="12" t="n">
        <v>-496064.31</v>
      </c>
      <c r="K15" s="12" t="n">
        <v>160327053.55</v>
      </c>
      <c r="L15" s="13" t="n">
        <v>19263</v>
      </c>
      <c r="M15" s="13" t="n">
        <v>-46</v>
      </c>
      <c r="N15" s="14" t="n">
        <v>-0.001727</v>
      </c>
    </row>
    <row r="16">
      <c r="A16" s="11" t="inlineStr">
        <is>
          <t>35.088.108/0001-62</t>
        </is>
      </c>
      <c r="B16" s="11" t="inlineStr"/>
      <c r="C16" s="11" t="inlineStr">
        <is>
          <t>HASHDEX 40 NASDAQ CRYPTO INDEX FUNDO DE INVESTIMENTO FINANCEIRO EM COTAS DE FI MULTIMERCADO</t>
        </is>
      </c>
      <c r="D16" s="11" t="inlineStr">
        <is>
          <t>Cripto</t>
        </is>
      </c>
      <c r="E16" s="11" t="inlineStr">
        <is>
          <t>HASHDEX GESTORA DE RECURSOS LTDA</t>
        </is>
      </c>
      <c r="F16" s="11" t="inlineStr">
        <is>
          <t>2026-W37</t>
        </is>
      </c>
      <c r="G16" s="11" t="inlineStr">
        <is>
          <t>10/09/2026</t>
        </is>
      </c>
      <c r="H16" s="12" t="n">
        <v>60161.06</v>
      </c>
      <c r="I16" s="12" t="n">
        <v>1294856</v>
      </c>
      <c r="J16" s="12" t="n">
        <v>-1234694.94</v>
      </c>
      <c r="K16" s="12" t="n">
        <v>165146645.67</v>
      </c>
      <c r="L16" s="13" t="n">
        <v>8933</v>
      </c>
      <c r="M16" s="13" t="n">
        <v>-33</v>
      </c>
      <c r="N16" s="14" t="n">
        <v>-0.004183</v>
      </c>
    </row>
    <row r="17">
      <c r="A17" s="11" t="inlineStr">
        <is>
          <t>41.721.433/0001-13</t>
        </is>
      </c>
      <c r="B17" s="11" t="inlineStr"/>
      <c r="C17" s="11" t="inlineStr">
        <is>
          <t>SANTANDER AÇÕES GLOBAIS REAIS BDR ETF AÇÕES - FUNDO DE INVESTIMENTO RESPONSABILIDADE LIMITADA</t>
        </is>
      </c>
      <c r="D17" s="11" t="inlineStr">
        <is>
          <t>Ações Brasil</t>
        </is>
      </c>
      <c r="E17" s="11" t="inlineStr">
        <is>
          <t>SANTANDER BRASIL GESTÃO DE RECURSOS LTDA</t>
        </is>
      </c>
      <c r="F17" s="11" t="inlineStr">
        <is>
          <t>2026-W36</t>
        </is>
      </c>
      <c r="G17" s="11" t="inlineStr">
        <is>
          <t>04/09/2026</t>
        </is>
      </c>
      <c r="H17" s="12" t="n">
        <v>7000992.27</v>
      </c>
      <c r="I17" s="12" t="n">
        <v>2280000</v>
      </c>
      <c r="J17" s="12" t="n">
        <v>4720992.27</v>
      </c>
      <c r="K17" s="12" t="n">
        <v>462969319.03</v>
      </c>
      <c r="L17" s="13" t="n">
        <v>3</v>
      </c>
      <c r="M17" s="13" t="n">
        <v>0</v>
      </c>
      <c r="N17" s="14" t="n">
        <v>0.008463</v>
      </c>
    </row>
    <row r="18">
      <c r="A18" s="11" t="inlineStr">
        <is>
          <t>41.721.399/0001-87</t>
        </is>
      </c>
      <c r="B18" s="11" t="inlineStr"/>
      <c r="C18" s="11" t="inlineStr">
        <is>
          <t>SANTANDER AÇÕES GLOBAIS REAIS BDR ETF AÇÕES - CIC FIF RESPONSABILIDADE LIMITADA</t>
        </is>
      </c>
      <c r="D18" s="11" t="inlineStr">
        <is>
          <t>Ações Brasil</t>
        </is>
      </c>
      <c r="E18" s="11" t="inlineStr">
        <is>
          <t>SANTANDER BRASIL GESTÃO DE RECURSOS LTDA</t>
        </is>
      </c>
      <c r="F18" s="11" t="inlineStr">
        <is>
          <t>2026-W36</t>
        </is>
      </c>
      <c r="G18" s="11" t="inlineStr">
        <is>
          <t>04/09/2026</t>
        </is>
      </c>
      <c r="H18" s="12" t="n">
        <v>6047738.28</v>
      </c>
      <c r="I18" s="12" t="n">
        <v>1693906.96</v>
      </c>
      <c r="J18" s="12" t="n">
        <v>4353831.32</v>
      </c>
      <c r="K18" s="12" t="n">
        <v>443251094.98</v>
      </c>
      <c r="L18" s="13" t="n">
        <v>16726</v>
      </c>
      <c r="M18" s="13" t="n">
        <v>170</v>
      </c>
      <c r="N18" s="14" t="n">
        <v>0.007796</v>
      </c>
    </row>
    <row r="19">
      <c r="A19" s="11" t="inlineStr">
        <is>
          <t>09.290.807/0001-80</t>
        </is>
      </c>
      <c r="B19" s="11" t="inlineStr"/>
      <c r="C19" s="11" t="inlineStr">
        <is>
          <t>BTG PACTUAL INDEX FUNDO DE INVESTIMENTO FINANCEIRO MULTIMERCADO</t>
        </is>
      </c>
      <c r="D19" s="11" t="inlineStr">
        <is>
          <t>Multimercado</t>
        </is>
      </c>
      <c r="E19" s="11" t="inlineStr">
        <is>
          <t>BTG PACTUAL ASSET MANAGEMENT S/A DTVM</t>
        </is>
      </c>
      <c r="F19" s="11" t="inlineStr">
        <is>
          <t>2026-W36</t>
        </is>
      </c>
      <c r="G19" s="11" t="inlineStr">
        <is>
          <t>04/09/2026</t>
        </is>
      </c>
      <c r="H19" s="12" t="n">
        <v>0</v>
      </c>
      <c r="I19" s="12" t="n">
        <v>0</v>
      </c>
      <c r="J19" s="12" t="n">
        <v>0</v>
      </c>
      <c r="K19" s="12" t="n">
        <v>2793896.01</v>
      </c>
      <c r="L19" s="13" t="n">
        <v>3</v>
      </c>
      <c r="M19" s="13" t="n">
        <v>0</v>
      </c>
      <c r="N19" s="14" t="n">
        <v>0.04147700000000001</v>
      </c>
    </row>
    <row r="20">
      <c r="A20" s="11" t="inlineStr">
        <is>
          <t>15.154.236/0001-50</t>
        </is>
      </c>
      <c r="B20" s="11" t="inlineStr"/>
      <c r="C20" s="11" t="inlineStr">
        <is>
          <t>CAIXA BRASIL ETF IBOVESPA FUNDO DE INVESTIMENTO FINANCEIRO EM AÇÕES - RESPONSABILIDADE LIMITADA</t>
        </is>
      </c>
      <c r="D20" s="11" t="inlineStr">
        <is>
          <t>Ações Brasil</t>
        </is>
      </c>
      <c r="E20" s="11" t="inlineStr">
        <is>
          <t>CAIXA DISTRIBUIDORA DE TÍTULOS E VALORES MOBILIÁRIOS S.A.</t>
        </is>
      </c>
      <c r="F20" s="11" t="inlineStr">
        <is>
          <t>2026-W36</t>
        </is>
      </c>
      <c r="G20" s="11" t="inlineStr">
        <is>
          <t>04/09/2026</t>
        </is>
      </c>
      <c r="H20" s="12" t="n">
        <v>0</v>
      </c>
      <c r="I20" s="12" t="n">
        <v>0</v>
      </c>
      <c r="J20" s="12" t="n">
        <v>0</v>
      </c>
      <c r="K20" s="12" t="n">
        <v>7933015.28</v>
      </c>
      <c r="L20" s="13" t="n">
        <v>10</v>
      </c>
      <c r="M20" s="13" t="n">
        <v>0</v>
      </c>
      <c r="N20" s="14" t="n">
        <v>0.040482</v>
      </c>
    </row>
    <row r="21">
      <c r="A21" s="11" t="inlineStr">
        <is>
          <t>45.622.039/0001-89</t>
        </is>
      </c>
      <c r="B21" s="11" t="inlineStr"/>
      <c r="C21" s="11" t="inlineStr">
        <is>
          <t>EMB VIII ETF FIF - CLASSE DE INVESTIMENTO EM AÇÕES - RESP LIMITADA</t>
        </is>
      </c>
      <c r="D21" s="11" t="inlineStr">
        <is>
          <t>Ações Brasil</t>
        </is>
      </c>
      <c r="E21" s="11" t="inlineStr">
        <is>
          <t>BNP PARIBAS ASSET MANAGEMENT BRASIL LTDA</t>
        </is>
      </c>
      <c r="F21" s="11" t="inlineStr">
        <is>
          <t>2026-W36</t>
        </is>
      </c>
      <c r="G21" s="11" t="inlineStr">
        <is>
          <t>04/09/2026</t>
        </is>
      </c>
      <c r="H21" s="12" t="n">
        <v>0</v>
      </c>
      <c r="I21" s="12" t="n">
        <v>0</v>
      </c>
      <c r="J21" s="12" t="n">
        <v>0</v>
      </c>
      <c r="K21" s="12" t="n">
        <v>147178853.47</v>
      </c>
      <c r="L21" s="13" t="n">
        <v>3</v>
      </c>
      <c r="M21" s="13" t="n">
        <v>0</v>
      </c>
      <c r="N21" s="14" t="n">
        <v>0.04122899999999999</v>
      </c>
    </row>
    <row r="22">
      <c r="A22" s="11" t="inlineStr">
        <is>
          <t>63.947.350/0001-80</t>
        </is>
      </c>
      <c r="B22" s="11" t="inlineStr"/>
      <c r="C22" s="11" t="inlineStr">
        <is>
          <t>ETF PIONEER SELECTION OURO PRETO FUNDO DE INVESTIMENTO FINANCEIRO MULTIMERCADO RESP LIMITADA</t>
        </is>
      </c>
      <c r="D22" s="11" t="inlineStr">
        <is>
          <t>Multimercado</t>
        </is>
      </c>
      <c r="E22" s="11" t="inlineStr">
        <is>
          <t>OURO PRETO GESTÃO DE RECURSOS S.A.</t>
        </is>
      </c>
      <c r="F22" s="11" t="inlineStr">
        <is>
          <t>2026-W36</t>
        </is>
      </c>
      <c r="G22" s="11" t="inlineStr">
        <is>
          <t>04/09/2026</t>
        </is>
      </c>
      <c r="H22" s="12" t="n">
        <v>0</v>
      </c>
      <c r="I22" s="12" t="n">
        <v>0</v>
      </c>
      <c r="J22" s="12" t="n">
        <v>0</v>
      </c>
      <c r="K22" s="12" t="n">
        <v>3926951.24</v>
      </c>
      <c r="L22" s="13" t="n">
        <v>3</v>
      </c>
      <c r="M22" s="13" t="n">
        <v>0</v>
      </c>
      <c r="N22" s="14" t="n">
        <v>0.024157</v>
      </c>
    </row>
    <row r="23">
      <c r="A23" s="11" t="inlineStr">
        <is>
          <t>68.044.926/0001-12</t>
        </is>
      </c>
      <c r="B23" s="11" t="inlineStr"/>
      <c r="C23" s="11" t="inlineStr">
        <is>
          <t>PROVENCE ETF FUNDO DE INVESTIMENTO FINANCEIRO DE AÇÕES</t>
        </is>
      </c>
      <c r="D23" s="11" t="inlineStr">
        <is>
          <t>Internacional</t>
        </is>
      </c>
      <c r="E23" s="11" t="inlineStr">
        <is>
          <t>WEALTH HIGH GOVERNANCE CAPITAL LTDA.</t>
        </is>
      </c>
      <c r="F23" s="11" t="inlineStr">
        <is>
          <t>2026-W36</t>
        </is>
      </c>
      <c r="G23" s="11" t="inlineStr">
        <is>
          <t>04/09/2026</t>
        </is>
      </c>
      <c r="H23" s="12" t="n">
        <v>0</v>
      </c>
      <c r="I23" s="12" t="n">
        <v>0</v>
      </c>
      <c r="J23" s="12" t="n">
        <v>0</v>
      </c>
      <c r="K23" s="12" t="n">
        <v>5246941.03</v>
      </c>
      <c r="L23" s="13" t="n">
        <v>1</v>
      </c>
      <c r="M23" s="13" t="n">
        <v>0</v>
      </c>
      <c r="N23" s="14" t="n">
        <v>0.041507</v>
      </c>
    </row>
    <row r="24">
      <c r="A24" s="11" t="inlineStr">
        <is>
          <t>39.958.394/0001-20</t>
        </is>
      </c>
      <c r="B24" s="11" t="inlineStr"/>
      <c r="C24" s="11" t="inlineStr">
        <is>
          <t>BTG PACTUAL REFERENCE ETF FUNDO DE INVESTIMENTO FINANCEIRO EM AÇÕES</t>
        </is>
      </c>
      <c r="D24" s="11" t="inlineStr">
        <is>
          <t>Ações Brasil</t>
        </is>
      </c>
      <c r="E24" s="11" t="inlineStr">
        <is>
          <t>BTG PACTUAL ASSET MANAGEMENT S/A DTVM</t>
        </is>
      </c>
      <c r="F24" s="11" t="inlineStr">
        <is>
          <t>2026-W36</t>
        </is>
      </c>
      <c r="G24" s="11" t="inlineStr">
        <is>
          <t>04/09/2026</t>
        </is>
      </c>
      <c r="H24" s="12" t="n">
        <v>1063</v>
      </c>
      <c r="I24" s="12" t="n">
        <v>2619.56</v>
      </c>
      <c r="J24" s="12" t="n">
        <v>-1556.56</v>
      </c>
      <c r="K24" s="12" t="n">
        <v>956297.1800000001</v>
      </c>
      <c r="L24" s="13" t="n">
        <v>2983</v>
      </c>
      <c r="M24" s="13" t="n">
        <v>-5</v>
      </c>
      <c r="N24" s="14" t="n">
        <v>0.049199</v>
      </c>
    </row>
    <row r="25">
      <c r="A25" s="11" t="inlineStr">
        <is>
          <t>28.578.897/0001-54</t>
        </is>
      </c>
      <c r="B25" s="11" t="inlineStr"/>
      <c r="C25" s="11" t="inlineStr">
        <is>
          <t>BB AÇÕES ALOCAÇÃO ETF INVESTIMENTO NO EXTERIOR FUNDO DE INVESTIMENTO FINANCEIRO RESP LIMITADA</t>
        </is>
      </c>
      <c r="D25" s="11" t="inlineStr">
        <is>
          <t>Internacional</t>
        </is>
      </c>
      <c r="E25" s="11" t="inlineStr">
        <is>
          <t>BB GESTAO DE RECURSOS DTVM S.A</t>
        </is>
      </c>
      <c r="F25" s="11" t="inlineStr">
        <is>
          <t>2026-W36</t>
        </is>
      </c>
      <c r="G25" s="11" t="inlineStr">
        <is>
          <t>04/09/2026</t>
        </is>
      </c>
      <c r="H25" s="12" t="n">
        <v>0</v>
      </c>
      <c r="I25" s="12" t="n">
        <v>166594.27</v>
      </c>
      <c r="J25" s="12" t="n">
        <v>-166594.27</v>
      </c>
      <c r="K25" s="12" t="n">
        <v>49989769.09</v>
      </c>
      <c r="L25" s="13" t="n">
        <v>7</v>
      </c>
      <c r="M25" s="13" t="n">
        <v>0</v>
      </c>
      <c r="N25" s="14" t="n">
        <v>-0.006604</v>
      </c>
    </row>
    <row r="26">
      <c r="A26" s="11" t="inlineStr">
        <is>
          <t>36.348.509/0001-77</t>
        </is>
      </c>
      <c r="B26" s="11" t="inlineStr"/>
      <c r="C26" s="11" t="inlineStr">
        <is>
          <t>ITAÚ AÇÕES SMALL CAP INDEX FUNDO DE INVESTIMENTO FINANCEIRO RESPONSABILIDADE LIMITADA</t>
        </is>
      </c>
      <c r="D26" s="11" t="inlineStr">
        <is>
          <t>Ações Brasil</t>
        </is>
      </c>
      <c r="E26" s="11" t="inlineStr">
        <is>
          <t>ITAU UNIBANCO ASSET MANAGEMENT LTDA.</t>
        </is>
      </c>
      <c r="F26" s="11" t="inlineStr">
        <is>
          <t>2026-W36</t>
        </is>
      </c>
      <c r="G26" s="11" t="inlineStr">
        <is>
          <t>04/09/2026</t>
        </is>
      </c>
      <c r="H26" s="12" t="n">
        <v>38490</v>
      </c>
      <c r="I26" s="12" t="n">
        <v>307258.86</v>
      </c>
      <c r="J26" s="12" t="n">
        <v>-268768.86</v>
      </c>
      <c r="K26" s="12" t="n">
        <v>21367042.86</v>
      </c>
      <c r="L26" s="13" t="n">
        <v>1</v>
      </c>
      <c r="M26" s="13" t="n">
        <v>0</v>
      </c>
      <c r="N26" s="14" t="n">
        <v>0.039076</v>
      </c>
    </row>
    <row r="27">
      <c r="A27" s="11" t="inlineStr">
        <is>
          <t>06.251.554/0001-48</t>
        </is>
      </c>
      <c r="B27" s="11" t="inlineStr"/>
      <c r="C27" s="11" t="inlineStr">
        <is>
          <t>BB AÇÕES ALOCAÇÃO ETF FUNDO DE INVESTIMENTO FINANCEIRO EM AÇÕES RESPONSABILIDADE LIMITADA</t>
        </is>
      </c>
      <c r="D27" s="11" t="inlineStr">
        <is>
          <t>Ações Brasil</t>
        </is>
      </c>
      <c r="E27" s="11" t="inlineStr">
        <is>
          <t>BB GESTAO DE RECURSOS DTVM S.A</t>
        </is>
      </c>
      <c r="F27" s="11" t="inlineStr">
        <is>
          <t>2026-W36</t>
        </is>
      </c>
      <c r="G27" s="11" t="inlineStr">
        <is>
          <t>04/09/2026</t>
        </is>
      </c>
      <c r="H27" s="12" t="n">
        <v>33060.85</v>
      </c>
      <c r="I27" s="12" t="n">
        <v>836153.39</v>
      </c>
      <c r="J27" s="12" t="n">
        <v>-803092.54</v>
      </c>
      <c r="K27" s="12" t="n">
        <v>124035159.14</v>
      </c>
      <c r="L27" s="13" t="n">
        <v>2910</v>
      </c>
      <c r="M27" s="13" t="n">
        <v>-13</v>
      </c>
      <c r="N27" s="14" t="n">
        <v>0.039077</v>
      </c>
    </row>
    <row r="28">
      <c r="A28" s="11" t="inlineStr">
        <is>
          <t>33.736.873/0001-16</t>
        </is>
      </c>
      <c r="B28" s="11" t="inlineStr"/>
      <c r="C28" s="11" t="inlineStr">
        <is>
          <t>HASHDEX 20 NASDAQ CRYPTO INDEX FUNDO DE INVESTIMENTO FINANCEIRO EM COTAS DE FIM</t>
        </is>
      </c>
      <c r="D28" s="11" t="inlineStr">
        <is>
          <t>Cripto</t>
        </is>
      </c>
      <c r="E28" s="11" t="inlineStr">
        <is>
          <t>HASHDEX GESTORA DE RECURSOS LTDA</t>
        </is>
      </c>
      <c r="F28" s="11" t="inlineStr">
        <is>
          <t>2026-W36</t>
        </is>
      </c>
      <c r="G28" s="11" t="inlineStr">
        <is>
          <t>04/09/2026</t>
        </is>
      </c>
      <c r="H28" s="12" t="n">
        <v>83919.53</v>
      </c>
      <c r="I28" s="12" t="n">
        <v>1041427.58</v>
      </c>
      <c r="J28" s="12" t="n">
        <v>-957508.05</v>
      </c>
      <c r="K28" s="12" t="n">
        <v>161637165.91</v>
      </c>
      <c r="L28" s="13" t="n">
        <v>19328</v>
      </c>
      <c r="M28" s="13" t="n">
        <v>-89</v>
      </c>
      <c r="N28" s="14" t="n">
        <v>0.0007030000000000001</v>
      </c>
    </row>
    <row r="29">
      <c r="A29" s="11" t="inlineStr">
        <is>
          <t>35.088.108/0001-62</t>
        </is>
      </c>
      <c r="B29" s="11" t="inlineStr"/>
      <c r="C29" s="11" t="inlineStr">
        <is>
          <t>HASHDEX 40 NASDAQ CRYPTO INDEX FUNDO DE INVESTIMENTO FINANCEIRO EM COTAS DE FI MULTIMERCADO</t>
        </is>
      </c>
      <c r="D29" s="11" t="inlineStr">
        <is>
          <t>Cripto</t>
        </is>
      </c>
      <c r="E29" s="11" t="inlineStr">
        <is>
          <t>HASHDEX GESTORA DE RECURSOS LTDA</t>
        </is>
      </c>
      <c r="F29" s="11" t="inlineStr">
        <is>
          <t>2026-W36</t>
        </is>
      </c>
      <c r="G29" s="11" t="inlineStr">
        <is>
          <t>04/09/2026</t>
        </is>
      </c>
      <c r="H29" s="12" t="n">
        <v>267705.53</v>
      </c>
      <c r="I29" s="12" t="n">
        <v>1719582.2</v>
      </c>
      <c r="J29" s="12" t="n">
        <v>-1451876.67</v>
      </c>
      <c r="K29" s="12" t="n">
        <v>168229957.82</v>
      </c>
      <c r="L29" s="13" t="n">
        <v>8972</v>
      </c>
      <c r="M29" s="13" t="n">
        <v>-37</v>
      </c>
      <c r="N29" s="14" t="n">
        <v>-0.00095</v>
      </c>
    </row>
    <row r="30">
      <c r="A30" s="11" t="inlineStr">
        <is>
          <t>33.736.845/0001-07</t>
        </is>
      </c>
      <c r="B30" s="11" t="inlineStr"/>
      <c r="C30" s="11" t="inlineStr">
        <is>
          <t>HASHDEX 100 NASDAQ CRYPTO INDEX FUNDO DE INVESTIMENTO MULTIMERCADO</t>
        </is>
      </c>
      <c r="D30" s="11" t="inlineStr">
        <is>
          <t>Cripto</t>
        </is>
      </c>
      <c r="E30" s="11" t="inlineStr">
        <is>
          <t>HASHDEX GESTORA DE RECURSOS LTDA</t>
        </is>
      </c>
      <c r="F30" s="11" t="inlineStr">
        <is>
          <t>2026-W36</t>
        </is>
      </c>
      <c r="G30" s="11" t="inlineStr">
        <is>
          <t>04/09/2026</t>
        </is>
      </c>
      <c r="H30" s="12" t="n">
        <v>733354.9300000001</v>
      </c>
      <c r="I30" s="12" t="n">
        <v>2768647.52</v>
      </c>
      <c r="J30" s="12" t="n">
        <v>-2035292.59</v>
      </c>
      <c r="K30" s="12" t="n">
        <v>4564557.96</v>
      </c>
      <c r="L30" s="13" t="n">
        <v>1</v>
      </c>
      <c r="M30" s="13" t="n">
        <v>-28579</v>
      </c>
      <c r="N30" s="14" t="n">
        <v>-0.9196949999999999</v>
      </c>
    </row>
    <row r="31">
      <c r="A31" s="11" t="inlineStr">
        <is>
          <t>20.147.499/0001-71</t>
        </is>
      </c>
      <c r="B31" s="11" t="inlineStr"/>
      <c r="C31" s="11" t="inlineStr">
        <is>
          <t>ITAÚ FTSE RAFI BRAZIL 50 CAPPED INDEX FUNDO DE INVESTIMENTO FINANCEIRO EM AÇÕES RESP LIMITADA</t>
        </is>
      </c>
      <c r="D31" s="11" t="inlineStr">
        <is>
          <t>Ações Brasil</t>
        </is>
      </c>
      <c r="E31" s="11" t="inlineStr">
        <is>
          <t>ITAU UNIBANCO ASSET MANAGEMENT LTDA.</t>
        </is>
      </c>
      <c r="F31" s="11" t="inlineStr">
        <is>
          <t>2026-W36</t>
        </is>
      </c>
      <c r="G31" s="11" t="inlineStr">
        <is>
          <t>04/09/2026</t>
        </is>
      </c>
      <c r="H31" s="12" t="n">
        <v>3942748.76</v>
      </c>
      <c r="I31" s="12" t="n">
        <v>12115428.6</v>
      </c>
      <c r="J31" s="12" t="n">
        <v>-8172679.84</v>
      </c>
      <c r="K31" s="12" t="n">
        <v>1450070780.84</v>
      </c>
      <c r="L31" s="13" t="n">
        <v>10</v>
      </c>
      <c r="M31" s="13" t="n">
        <v>0</v>
      </c>
      <c r="N31" s="14" t="n">
        <v>0.047241</v>
      </c>
    </row>
    <row r="32">
      <c r="A32" s="11" t="inlineStr">
        <is>
          <t>20.147.499/0001-71</t>
        </is>
      </c>
      <c r="B32" s="11" t="inlineStr"/>
      <c r="C32" s="11" t="inlineStr">
        <is>
          <t>ITAÚ FTSE RAFI BRAZIL 50 CAPPED INDEX FUNDO DE INVESTIMENTO FINANCEIRO EM AÇÕES RESP LIMITADA</t>
        </is>
      </c>
      <c r="D32" s="11" t="inlineStr">
        <is>
          <t>Ações Brasil</t>
        </is>
      </c>
      <c r="E32" s="11" t="inlineStr">
        <is>
          <t>ITAU UNIBANCO ASSET MANAGEMENT LTDA.</t>
        </is>
      </c>
      <c r="F32" s="11" t="inlineStr">
        <is>
          <t>2026-W35</t>
        </is>
      </c>
      <c r="G32" s="11" t="inlineStr">
        <is>
          <t>28/08/2026</t>
        </is>
      </c>
      <c r="H32" s="12" t="n">
        <v>37111907.25</v>
      </c>
      <c r="I32" s="12" t="n">
        <v>21328171.77</v>
      </c>
      <c r="J32" s="12" t="n">
        <v>15783735.48</v>
      </c>
      <c r="K32" s="12" t="n">
        <v>1377647217.43</v>
      </c>
      <c r="L32" s="13" t="n">
        <v>10</v>
      </c>
      <c r="M32" s="13" t="n">
        <v>0</v>
      </c>
      <c r="N32" s="14" t="n">
        <v>0.02436</v>
      </c>
    </row>
    <row r="33">
      <c r="A33" s="11" t="inlineStr">
        <is>
          <t>41.721.433/0001-13</t>
        </is>
      </c>
      <c r="B33" s="11" t="inlineStr"/>
      <c r="C33" s="11" t="inlineStr">
        <is>
          <t>SANTANDER AÇÕES GLOBAIS REAIS BDR ETF AÇÕES - FUNDO DE INVESTIMENTO RESPONSABILIDADE LIMITADA</t>
        </is>
      </c>
      <c r="D33" s="11" t="inlineStr">
        <is>
          <t>Ações Brasil</t>
        </is>
      </c>
      <c r="E33" s="11" t="inlineStr">
        <is>
          <t>SANTANDER BRASIL GESTÃO DE RECURSOS LTDA</t>
        </is>
      </c>
      <c r="F33" s="11" t="inlineStr">
        <is>
          <t>2026-W35</t>
        </is>
      </c>
      <c r="G33" s="11" t="inlineStr">
        <is>
          <t>28/08/2026</t>
        </is>
      </c>
      <c r="H33" s="12" t="n">
        <v>9397763.41</v>
      </c>
      <c r="I33" s="12" t="n">
        <v>2209500</v>
      </c>
      <c r="J33" s="12" t="n">
        <v>7188263.41</v>
      </c>
      <c r="K33" s="12" t="n">
        <v>455232575.94</v>
      </c>
      <c r="L33" s="13" t="n">
        <v>3</v>
      </c>
      <c r="M33" s="13" t="n">
        <v>0</v>
      </c>
      <c r="N33" s="14" t="n">
        <v>0.005725</v>
      </c>
    </row>
    <row r="34">
      <c r="A34" s="11" t="inlineStr">
        <is>
          <t>41.721.399/0001-87</t>
        </is>
      </c>
      <c r="B34" s="11" t="inlineStr"/>
      <c r="C34" s="11" t="inlineStr">
        <is>
          <t>SANTANDER AÇÕES GLOBAIS REAIS BDR ETF AÇÕES - CIC FIF RESPONSABILIDADE LIMITADA</t>
        </is>
      </c>
      <c r="D34" s="11" t="inlineStr">
        <is>
          <t>Ações Brasil</t>
        </is>
      </c>
      <c r="E34" s="11" t="inlineStr">
        <is>
          <t>SANTANDER BRASIL GESTÃO DE RECURSOS LTDA</t>
        </is>
      </c>
      <c r="F34" s="11" t="inlineStr">
        <is>
          <t>2026-W35</t>
        </is>
      </c>
      <c r="G34" s="11" t="inlineStr">
        <is>
          <t>28/08/2026</t>
        </is>
      </c>
      <c r="H34" s="12" t="n">
        <v>8642561.27</v>
      </c>
      <c r="I34" s="12" t="n">
        <v>1748242.58</v>
      </c>
      <c r="J34" s="12" t="n">
        <v>6894318.69</v>
      </c>
      <c r="K34" s="12" t="n">
        <v>436363611.66</v>
      </c>
      <c r="L34" s="13" t="n">
        <v>16520</v>
      </c>
      <c r="M34" s="13" t="n">
        <v>148</v>
      </c>
      <c r="N34" s="14" t="n">
        <v>0.004127</v>
      </c>
    </row>
    <row r="35">
      <c r="A35" s="11" t="inlineStr">
        <is>
          <t>09.290.807/0001-80</t>
        </is>
      </c>
      <c r="B35" s="11" t="inlineStr"/>
      <c r="C35" s="11" t="inlineStr">
        <is>
          <t>BTG PACTUAL INDEX FUNDO DE INVESTIMENTO FINANCEIRO MULTIMERCADO</t>
        </is>
      </c>
      <c r="D35" s="11" t="inlineStr">
        <is>
          <t>Multimercado</t>
        </is>
      </c>
      <c r="E35" s="11" t="inlineStr">
        <is>
          <t>BTG PACTUAL ASSET MANAGEMENT S/A DTVM</t>
        </is>
      </c>
      <c r="F35" s="11" t="inlineStr">
        <is>
          <t>2026-W35</t>
        </is>
      </c>
      <c r="G35" s="11" t="inlineStr">
        <is>
          <t>28/08/2026</t>
        </is>
      </c>
      <c r="H35" s="12" t="n">
        <v>0</v>
      </c>
      <c r="I35" s="12" t="n">
        <v>0</v>
      </c>
      <c r="J35" s="12" t="n">
        <v>0</v>
      </c>
      <c r="K35" s="12" t="n">
        <v>2652678.59</v>
      </c>
      <c r="L35" s="13" t="n">
        <v>3</v>
      </c>
      <c r="M35" s="13" t="n">
        <v>0</v>
      </c>
      <c r="N35" s="14" t="n">
        <v>0.021796</v>
      </c>
    </row>
    <row r="36">
      <c r="A36" s="11" t="inlineStr">
        <is>
          <t>15.154.236/0001-50</t>
        </is>
      </c>
      <c r="B36" s="11" t="inlineStr"/>
      <c r="C36" s="11" t="inlineStr">
        <is>
          <t>CAIXA BRASIL ETF IBOVESPA FUNDO DE INVESTIMENTO FINANCEIRO EM AÇÕES - RESPONSABILIDADE LIMITADA</t>
        </is>
      </c>
      <c r="D36" s="11" t="inlineStr">
        <is>
          <t>Ações Brasil</t>
        </is>
      </c>
      <c r="E36" s="11" t="inlineStr">
        <is>
          <t>CAIXA DISTRIBUIDORA DE TÍTULOS E VALORES MOBILIÁRIOS S.A.</t>
        </is>
      </c>
      <c r="F36" s="11" t="inlineStr">
        <is>
          <t>2026-W35</t>
        </is>
      </c>
      <c r="G36" s="11" t="inlineStr">
        <is>
          <t>28/08/2026</t>
        </is>
      </c>
      <c r="H36" s="12" t="n">
        <v>0</v>
      </c>
      <c r="I36" s="12" t="n">
        <v>0</v>
      </c>
      <c r="J36" s="12" t="n">
        <v>0</v>
      </c>
      <c r="K36" s="12" t="n">
        <v>7548046.57</v>
      </c>
      <c r="L36" s="13" t="n">
        <v>10</v>
      </c>
      <c r="M36" s="13" t="n">
        <v>0</v>
      </c>
      <c r="N36" s="14" t="n">
        <v>0.0205</v>
      </c>
    </row>
    <row r="37">
      <c r="A37" s="11" t="inlineStr">
        <is>
          <t>45.622.039/0001-89</t>
        </is>
      </c>
      <c r="B37" s="11" t="inlineStr"/>
      <c r="C37" s="11" t="inlineStr">
        <is>
          <t>EMB VIII ETF FIF - CLASSE DE INVESTIMENTO EM AÇÕES - RESP LIMITADA</t>
        </is>
      </c>
      <c r="D37" s="11" t="inlineStr">
        <is>
          <t>Ações Brasil</t>
        </is>
      </c>
      <c r="E37" s="11" t="inlineStr">
        <is>
          <t>BNP PARIBAS ASSET MANAGEMENT BRASIL LTDA</t>
        </is>
      </c>
      <c r="F37" s="11" t="inlineStr">
        <is>
          <t>2026-W35</t>
        </is>
      </c>
      <c r="G37" s="11" t="inlineStr">
        <is>
          <t>28/08/2026</t>
        </is>
      </c>
      <c r="H37" s="12" t="n">
        <v>0</v>
      </c>
      <c r="I37" s="12" t="n">
        <v>0</v>
      </c>
      <c r="J37" s="12" t="n">
        <v>0</v>
      </c>
      <c r="K37" s="12" t="n">
        <v>139724452.99</v>
      </c>
      <c r="L37" s="13" t="n">
        <v>3</v>
      </c>
      <c r="M37" s="13" t="n">
        <v>0</v>
      </c>
      <c r="N37" s="14" t="n">
        <v>0.021647</v>
      </c>
    </row>
    <row r="38">
      <c r="A38" s="11" t="inlineStr">
        <is>
          <t>63.947.350/0001-80</t>
        </is>
      </c>
      <c r="B38" s="11" t="inlineStr"/>
      <c r="C38" s="11" t="inlineStr">
        <is>
          <t>ETF PIONEER SELECTION OURO PRETO FUNDO DE INVESTIMENTO FINANCEIRO MULTIMERCADO RESP LIMITADA</t>
        </is>
      </c>
      <c r="D38" s="11" t="inlineStr">
        <is>
          <t>Multimercado</t>
        </is>
      </c>
      <c r="E38" s="11" t="inlineStr">
        <is>
          <t>OURO PRETO GESTÃO DE RECURSOS S.A.</t>
        </is>
      </c>
      <c r="F38" s="11" t="inlineStr">
        <is>
          <t>2026-W35</t>
        </is>
      </c>
      <c r="G38" s="11" t="inlineStr">
        <is>
          <t>28/08/2026</t>
        </is>
      </c>
      <c r="H38" s="12" t="n">
        <v>0</v>
      </c>
      <c r="I38" s="12" t="n">
        <v>0</v>
      </c>
      <c r="J38" s="12" t="n">
        <v>0</v>
      </c>
      <c r="K38" s="12" t="n">
        <v>3799407.52</v>
      </c>
      <c r="L38" s="13" t="n">
        <v>3</v>
      </c>
      <c r="M38" s="13" t="n">
        <v>0</v>
      </c>
      <c r="N38" s="14" t="n">
        <v>0.015496</v>
      </c>
    </row>
    <row r="39">
      <c r="A39" s="11" t="inlineStr">
        <is>
          <t>68.044.926/0001-12</t>
        </is>
      </c>
      <c r="B39" s="11" t="inlineStr"/>
      <c r="C39" s="11" t="inlineStr">
        <is>
          <t>PROVENCE ETF FUNDO DE INVESTIMENTO FINANCEIRO DE AÇÕES</t>
        </is>
      </c>
      <c r="D39" s="11" t="inlineStr">
        <is>
          <t>Internacional</t>
        </is>
      </c>
      <c r="E39" s="11" t="inlineStr">
        <is>
          <t>WEALTH HIGH GOVERNANCE CAPITAL LTDA.</t>
        </is>
      </c>
      <c r="F39" s="11" t="inlineStr">
        <is>
          <t>2026-W35</t>
        </is>
      </c>
      <c r="G39" s="11" t="inlineStr">
        <is>
          <t>28/08/2026</t>
        </is>
      </c>
      <c r="H39" s="12" t="n">
        <v>0</v>
      </c>
      <c r="I39" s="12" t="n">
        <v>0</v>
      </c>
      <c r="J39" s="12" t="n">
        <v>0</v>
      </c>
      <c r="K39" s="12" t="n">
        <v>4984134.53</v>
      </c>
      <c r="L39" s="13" t="n">
        <v>1</v>
      </c>
      <c r="M39" s="13" t="n">
        <v>0</v>
      </c>
      <c r="N39" s="14" t="n">
        <v>0.014102</v>
      </c>
    </row>
    <row r="40">
      <c r="A40" s="11" t="inlineStr">
        <is>
          <t>39.958.394/0001-20</t>
        </is>
      </c>
      <c r="B40" s="11" t="inlineStr"/>
      <c r="C40" s="11" t="inlineStr">
        <is>
          <t>BTG PACTUAL REFERENCE ETF FUNDO DE INVESTIMENTO FINANCEIRO EM AÇÕES</t>
        </is>
      </c>
      <c r="D40" s="11" t="inlineStr">
        <is>
          <t>Ações Brasil</t>
        </is>
      </c>
      <c r="E40" s="11" t="inlineStr">
        <is>
          <t>BTG PACTUAL ASSET MANAGEMENT S/A DTVM</t>
        </is>
      </c>
      <c r="F40" s="11" t="inlineStr">
        <is>
          <t>2026-W35</t>
        </is>
      </c>
      <c r="G40" s="11" t="inlineStr">
        <is>
          <t>28/08/2026</t>
        </is>
      </c>
      <c r="H40" s="12" t="n">
        <v>215.88</v>
      </c>
      <c r="I40" s="12" t="n">
        <v>655.05</v>
      </c>
      <c r="J40" s="12" t="n">
        <v>-439.17</v>
      </c>
      <c r="K40" s="12" t="n">
        <v>901367.62</v>
      </c>
      <c r="L40" s="13" t="n">
        <v>2990</v>
      </c>
      <c r="M40" s="13" t="n">
        <v>-8</v>
      </c>
      <c r="N40" s="14" t="n">
        <v>0.02186</v>
      </c>
    </row>
    <row r="41">
      <c r="A41" s="11" t="inlineStr">
        <is>
          <t>28.578.897/0001-54</t>
        </is>
      </c>
      <c r="B41" s="11" t="inlineStr"/>
      <c r="C41" s="11" t="inlineStr">
        <is>
          <t>BB AÇÕES ALOCAÇÃO ETF INVESTIMENTO NO EXTERIOR FUNDO DE INVESTIMENTO FINANCEIRO RESP LIMITADA</t>
        </is>
      </c>
      <c r="D41" s="11" t="inlineStr">
        <is>
          <t>Internacional</t>
        </is>
      </c>
      <c r="E41" s="11" t="inlineStr">
        <is>
          <t>BB GESTAO DE RECURSOS DTVM S.A</t>
        </is>
      </c>
      <c r="F41" s="11" t="inlineStr">
        <is>
          <t>2026-W35</t>
        </is>
      </c>
      <c r="G41" s="11" t="inlineStr">
        <is>
          <t>28/08/2026</t>
        </is>
      </c>
      <c r="H41" s="12" t="n">
        <v>0</v>
      </c>
      <c r="I41" s="12" t="n">
        <v>7124.53</v>
      </c>
      <c r="J41" s="12" t="n">
        <v>-7124.53</v>
      </c>
      <c r="K41" s="12" t="n">
        <v>50854723.31</v>
      </c>
      <c r="L41" s="13" t="n">
        <v>7</v>
      </c>
      <c r="M41" s="13" t="n">
        <v>0</v>
      </c>
      <c r="N41" s="14" t="n">
        <v>0.014918</v>
      </c>
    </row>
    <row r="42">
      <c r="A42" s="11" t="inlineStr">
        <is>
          <t>36.348.509/0001-77</t>
        </is>
      </c>
      <c r="B42" s="11" t="inlineStr"/>
      <c r="C42" s="11" t="inlineStr">
        <is>
          <t>ITAÚ AÇÕES SMALL CAP INDEX FUNDO DE INVESTIMENTO FINANCEIRO RESPONSABILIDADE LIMITADA</t>
        </is>
      </c>
      <c r="D42" s="11" t="inlineStr">
        <is>
          <t>Ações Brasil</t>
        </is>
      </c>
      <c r="E42" s="11" t="inlineStr">
        <is>
          <t>ITAU UNIBANCO ASSET MANAGEMENT LTDA.</t>
        </is>
      </c>
      <c r="F42" s="11" t="inlineStr">
        <is>
          <t>2026-W35</t>
        </is>
      </c>
      <c r="G42" s="11" t="inlineStr">
        <is>
          <t>28/08/2026</t>
        </is>
      </c>
      <c r="H42" s="12" t="n">
        <v>73417.39999999999</v>
      </c>
      <c r="I42" s="12" t="n">
        <v>234487.5</v>
      </c>
      <c r="J42" s="12" t="n">
        <v>-161070.1</v>
      </c>
      <c r="K42" s="12" t="n">
        <v>20552201.43</v>
      </c>
      <c r="L42" s="13" t="n">
        <v>1</v>
      </c>
      <c r="M42" s="13" t="n">
        <v>0</v>
      </c>
      <c r="N42" s="14" t="n">
        <v>0.026297</v>
      </c>
    </row>
    <row r="43">
      <c r="A43" s="11" t="inlineStr">
        <is>
          <t>06.251.554/0001-48</t>
        </is>
      </c>
      <c r="B43" s="11" t="inlineStr"/>
      <c r="C43" s="11" t="inlineStr">
        <is>
          <t>BB AÇÕES ALOCAÇÃO ETF FUNDO DE INVESTIMENTO FINANCEIRO EM AÇÕES RESPONSABILIDADE LIMITADA</t>
        </is>
      </c>
      <c r="D43" s="11" t="inlineStr">
        <is>
          <t>Ações Brasil</t>
        </is>
      </c>
      <c r="E43" s="11" t="inlineStr">
        <is>
          <t>BB GESTAO DE RECURSOS DTVM S.A</t>
        </is>
      </c>
      <c r="F43" s="11" t="inlineStr">
        <is>
          <t>2026-W35</t>
        </is>
      </c>
      <c r="G43" s="11" t="inlineStr">
        <is>
          <t>28/08/2026</t>
        </is>
      </c>
      <c r="H43" s="12" t="n">
        <v>36071.81</v>
      </c>
      <c r="I43" s="12" t="n">
        <v>211329.22</v>
      </c>
      <c r="J43" s="12" t="n">
        <v>-175257.41</v>
      </c>
      <c r="K43" s="12" t="n">
        <v>118934845.36</v>
      </c>
      <c r="L43" s="13" t="n">
        <v>2921</v>
      </c>
      <c r="M43" s="13" t="n">
        <v>-6</v>
      </c>
      <c r="N43" s="14" t="n">
        <v>0.018775</v>
      </c>
    </row>
    <row r="44">
      <c r="A44" s="11" t="inlineStr">
        <is>
          <t>33.736.873/0001-16</t>
        </is>
      </c>
      <c r="B44" s="11" t="inlineStr"/>
      <c r="C44" s="11" t="inlineStr">
        <is>
          <t>HASHDEX 20 NASDAQ CRYPTO INDEX FUNDO DE INVESTIMENTO FINANCEIRO EM COTAS DE FIM</t>
        </is>
      </c>
      <c r="D44" s="11" t="inlineStr">
        <is>
          <t>Cripto</t>
        </is>
      </c>
      <c r="E44" s="11" t="inlineStr">
        <is>
          <t>HASHDEX GESTORA DE RECURSOS LTDA</t>
        </is>
      </c>
      <c r="F44" s="11" t="inlineStr">
        <is>
          <t>2026-W35</t>
        </is>
      </c>
      <c r="G44" s="11" t="inlineStr">
        <is>
          <t>28/08/2026</t>
        </is>
      </c>
      <c r="H44" s="12" t="n">
        <v>102622.53</v>
      </c>
      <c r="I44" s="12" t="n">
        <v>959507.92</v>
      </c>
      <c r="J44" s="12" t="n">
        <v>-856885.39</v>
      </c>
      <c r="K44" s="12" t="n">
        <v>161685851.72</v>
      </c>
      <c r="L44" s="13" t="n">
        <v>19433</v>
      </c>
      <c r="M44" s="13" t="n">
        <v>-83</v>
      </c>
      <c r="N44" s="14" t="n">
        <v>-6e-05</v>
      </c>
    </row>
    <row r="45">
      <c r="A45" s="11" t="inlineStr">
        <is>
          <t>35.088.108/0001-62</t>
        </is>
      </c>
      <c r="B45" s="11" t="inlineStr"/>
      <c r="C45" s="11" t="inlineStr">
        <is>
          <t>HASHDEX 40 NASDAQ CRYPTO INDEX FUNDO DE INVESTIMENTO FINANCEIRO EM COTAS DE FI MULTIMERCADO</t>
        </is>
      </c>
      <c r="D45" s="11" t="inlineStr">
        <is>
          <t>Cripto</t>
        </is>
      </c>
      <c r="E45" s="11" t="inlineStr">
        <is>
          <t>HASHDEX GESTORA DE RECURSOS LTDA</t>
        </is>
      </c>
      <c r="F45" s="11" t="inlineStr">
        <is>
          <t>2026-W35</t>
        </is>
      </c>
      <c r="G45" s="11" t="inlineStr">
        <is>
          <t>28/08/2026</t>
        </is>
      </c>
      <c r="H45" s="12" t="n">
        <v>202238.66</v>
      </c>
      <c r="I45" s="12" t="n">
        <v>1221292.37</v>
      </c>
      <c r="J45" s="12" t="n">
        <v>-1019053.71</v>
      </c>
      <c r="K45" s="12" t="n">
        <v>168143332.68</v>
      </c>
      <c r="L45" s="13" t="n">
        <v>9018</v>
      </c>
      <c r="M45" s="13" t="n">
        <v>-36</v>
      </c>
      <c r="N45" s="14" t="n">
        <v>-0.001944</v>
      </c>
    </row>
    <row r="46">
      <c r="A46" s="11" t="inlineStr">
        <is>
          <t>33.736.845/0001-07</t>
        </is>
      </c>
      <c r="B46" s="11" t="inlineStr"/>
      <c r="C46" s="11" t="inlineStr">
        <is>
          <t>HASHDEX 100 NASDAQ CRYPTO INDEX FUNDO DE INVESTIMENTO MULTIMERCADO</t>
        </is>
      </c>
      <c r="D46" s="11" t="inlineStr">
        <is>
          <t>Cripto</t>
        </is>
      </c>
      <c r="E46" s="11" t="inlineStr">
        <is>
          <t>HASHDEX GESTORA DE RECURSOS LTDA</t>
        </is>
      </c>
      <c r="F46" s="11" t="inlineStr">
        <is>
          <t>2026-W35</t>
        </is>
      </c>
      <c r="G46" s="11" t="inlineStr">
        <is>
          <t>28/08/2026</t>
        </is>
      </c>
      <c r="H46" s="12" t="n">
        <v>1609855.82</v>
      </c>
      <c r="I46" s="12" t="n">
        <v>2848702.22</v>
      </c>
      <c r="J46" s="12" t="n">
        <v>-1238846.4</v>
      </c>
      <c r="K46" s="12" t="n">
        <v>4517066.95</v>
      </c>
      <c r="L46" s="13" t="n">
        <v>1</v>
      </c>
      <c r="M46" s="13" t="n">
        <v>-28687</v>
      </c>
      <c r="N46" s="14" t="n">
        <v>-0.920035</v>
      </c>
    </row>
    <row r="47">
      <c r="A47" s="11" t="inlineStr">
        <is>
          <t>41.721.399/0001-87</t>
        </is>
      </c>
      <c r="B47" s="11" t="inlineStr"/>
      <c r="C47" s="11" t="inlineStr">
        <is>
          <t>SANTANDER AÇÕES GLOBAIS REAIS BDR ETF AÇÕES - CIC FIF RESPONSABILIDADE LIMITADA</t>
        </is>
      </c>
      <c r="D47" s="11" t="inlineStr">
        <is>
          <t>Ações Brasil</t>
        </is>
      </c>
      <c r="E47" s="11" t="inlineStr">
        <is>
          <t>SANTANDER BRASIL GESTÃO DE RECURSOS LTDA</t>
        </is>
      </c>
      <c r="F47" s="11" t="inlineStr">
        <is>
          <t>2026-W34</t>
        </is>
      </c>
      <c r="G47" s="11" t="inlineStr">
        <is>
          <t>21/08/2026</t>
        </is>
      </c>
      <c r="H47" s="12" t="n">
        <v>8419314.5</v>
      </c>
      <c r="I47" s="12" t="n">
        <v>1385745.61</v>
      </c>
      <c r="J47" s="12" t="n">
        <v>7033568.89</v>
      </c>
      <c r="K47" s="12" t="n">
        <v>429616116.36</v>
      </c>
      <c r="L47" s="13" t="n">
        <v>16332</v>
      </c>
      <c r="M47" s="13" t="n">
        <v>312</v>
      </c>
      <c r="N47" s="14" t="n">
        <v>-0.004202</v>
      </c>
    </row>
    <row r="48">
      <c r="A48" s="11" t="inlineStr">
        <is>
          <t>41.721.433/0001-13</t>
        </is>
      </c>
      <c r="B48" s="11" t="inlineStr"/>
      <c r="C48" s="11" t="inlineStr">
        <is>
          <t>SANTANDER AÇÕES GLOBAIS REAIS BDR ETF AÇÕES - FUNDO DE INVESTIMENTO RESPONSABILIDADE LIMITADA</t>
        </is>
      </c>
      <c r="D48" s="11" t="inlineStr">
        <is>
          <t>Ações Brasil</t>
        </is>
      </c>
      <c r="E48" s="11" t="inlineStr">
        <is>
          <t>SANTANDER BRASIL GESTÃO DE RECURSOS LTDA</t>
        </is>
      </c>
      <c r="F48" s="11" t="inlineStr">
        <is>
          <t>2026-W34</t>
        </is>
      </c>
      <c r="G48" s="11" t="inlineStr">
        <is>
          <t>21/08/2026</t>
        </is>
      </c>
      <c r="H48" s="12" t="n">
        <v>8449166.619999999</v>
      </c>
      <c r="I48" s="12" t="n">
        <v>1623800</v>
      </c>
      <c r="J48" s="12" t="n">
        <v>6825366.62</v>
      </c>
      <c r="K48" s="12" t="n">
        <v>447476300.67</v>
      </c>
      <c r="L48" s="13" t="n">
        <v>3</v>
      </c>
      <c r="M48" s="13" t="n">
        <v>0</v>
      </c>
      <c r="N48" s="14" t="n">
        <v>-0.004099</v>
      </c>
    </row>
    <row r="49">
      <c r="A49" s="11" t="inlineStr">
        <is>
          <t>20.147.499/0001-71</t>
        </is>
      </c>
      <c r="B49" s="11" t="inlineStr"/>
      <c r="C49" s="11" t="inlineStr">
        <is>
          <t>ITAÚ FTSE RAFI BRAZIL 50 CAPPED INDEX FUNDO DE INVESTIMENTO FINANCEIRO EM AÇÕES RESP LIMITADA</t>
        </is>
      </c>
      <c r="D49" s="11" t="inlineStr">
        <is>
          <t>Ações Brasil</t>
        </is>
      </c>
      <c r="E49" s="11" t="inlineStr">
        <is>
          <t>ITAU UNIBANCO ASSET MANAGEMENT LTDA.</t>
        </is>
      </c>
      <c r="F49" s="11" t="inlineStr">
        <is>
          <t>2026-W34</t>
        </is>
      </c>
      <c r="G49" s="11" t="inlineStr">
        <is>
          <t>21/08/2026</t>
        </is>
      </c>
      <c r="H49" s="12" t="n">
        <v>5629768.67</v>
      </c>
      <c r="I49" s="12" t="n">
        <v>2380485.61</v>
      </c>
      <c r="J49" s="12" t="n">
        <v>3249283.06</v>
      </c>
      <c r="K49" s="12" t="n">
        <v>1324075168.06</v>
      </c>
      <c r="L49" s="13" t="n">
        <v>10</v>
      </c>
      <c r="M49" s="13" t="n">
        <v>0</v>
      </c>
      <c r="N49" s="14" t="n">
        <v>0.022535</v>
      </c>
    </row>
    <row r="50">
      <c r="A50" s="11" t="inlineStr">
        <is>
          <t>09.290.807/0001-80</t>
        </is>
      </c>
      <c r="B50" s="11" t="inlineStr"/>
      <c r="C50" s="11" t="inlineStr">
        <is>
          <t>BTG PACTUAL INDEX FUNDO DE INVESTIMENTO FINANCEIRO MULTIMERCADO</t>
        </is>
      </c>
      <c r="D50" s="11" t="inlineStr">
        <is>
          <t>Multimercado</t>
        </is>
      </c>
      <c r="E50" s="11" t="inlineStr">
        <is>
          <t>BTG PACTUAL ASSET MANAGEMENT S/A DTVM</t>
        </is>
      </c>
      <c r="F50" s="11" t="inlineStr">
        <is>
          <t>2026-W34</t>
        </is>
      </c>
      <c r="G50" s="11" t="inlineStr">
        <is>
          <t>21/08/2026</t>
        </is>
      </c>
      <c r="H50" s="12" t="n">
        <v>0</v>
      </c>
      <c r="I50" s="12" t="n">
        <v>0</v>
      </c>
      <c r="J50" s="12" t="n">
        <v>0</v>
      </c>
      <c r="K50" s="12" t="n">
        <v>2582614.61</v>
      </c>
      <c r="L50" s="13" t="n">
        <v>3</v>
      </c>
      <c r="M50" s="13" t="n">
        <v>0</v>
      </c>
      <c r="N50" s="14" t="n">
        <v>0.025608</v>
      </c>
    </row>
    <row r="51">
      <c r="A51" s="11" t="inlineStr">
        <is>
          <t>15.154.236/0001-50</t>
        </is>
      </c>
      <c r="B51" s="11" t="inlineStr"/>
      <c r="C51" s="11" t="inlineStr">
        <is>
          <t>CAIXA BRASIL ETF IBOVESPA FUNDO DE INVESTIMENTO FINANCEIRO EM AÇÕES - RESPONSABILIDADE LIMITADA</t>
        </is>
      </c>
      <c r="D51" s="11" t="inlineStr">
        <is>
          <t>Ações Brasil</t>
        </is>
      </c>
      <c r="E51" s="11" t="inlineStr">
        <is>
          <t>CAIXA DISTRIBUIDORA DE TÍTULOS E VALORES MOBILIÁRIOS S.A.</t>
        </is>
      </c>
      <c r="F51" s="11" t="inlineStr">
        <is>
          <t>2026-W34</t>
        </is>
      </c>
      <c r="G51" s="11" t="inlineStr">
        <is>
          <t>21/08/2026</t>
        </is>
      </c>
      <c r="H51" s="12" t="n">
        <v>0</v>
      </c>
      <c r="I51" s="12" t="n">
        <v>0</v>
      </c>
      <c r="J51" s="12" t="n">
        <v>0</v>
      </c>
      <c r="K51" s="12" t="n">
        <v>7355466.72</v>
      </c>
      <c r="L51" s="13" t="n">
        <v>10</v>
      </c>
      <c r="M51" s="13" t="n">
        <v>0</v>
      </c>
      <c r="N51" s="14" t="n">
        <v>0.023147</v>
      </c>
    </row>
    <row r="52">
      <c r="A52" s="11" t="inlineStr">
        <is>
          <t>45.622.039/0001-89</t>
        </is>
      </c>
      <c r="B52" s="11" t="inlineStr"/>
      <c r="C52" s="11" t="inlineStr">
        <is>
          <t>EMB VIII ETF FIF - CLASSE DE INVESTIMENTO EM AÇÕES - RESP LIMITADA</t>
        </is>
      </c>
      <c r="D52" s="11" t="inlineStr">
        <is>
          <t>Ações Brasil</t>
        </is>
      </c>
      <c r="E52" s="11" t="inlineStr">
        <is>
          <t>BNP PARIBAS ASSET MANAGEMENT BRASIL LTDA</t>
        </is>
      </c>
      <c r="F52" s="11" t="inlineStr">
        <is>
          <t>2026-W34</t>
        </is>
      </c>
      <c r="G52" s="11" t="inlineStr">
        <is>
          <t>21/08/2026</t>
        </is>
      </c>
      <c r="H52" s="12" t="n">
        <v>0</v>
      </c>
      <c r="I52" s="12" t="n">
        <v>0</v>
      </c>
      <c r="J52" s="12" t="n">
        <v>0</v>
      </c>
      <c r="K52" s="12" t="n">
        <v>136105620.07</v>
      </c>
      <c r="L52" s="13" t="n">
        <v>3</v>
      </c>
      <c r="M52" s="13" t="n">
        <v>0</v>
      </c>
      <c r="N52" s="14" t="n">
        <v>0.026777</v>
      </c>
    </row>
    <row r="53">
      <c r="A53" s="11" t="inlineStr">
        <is>
          <t>56.939.175/0001-13</t>
        </is>
      </c>
      <c r="B53" s="11" t="inlineStr"/>
      <c r="C53" s="11" t="inlineStr">
        <is>
          <t>INDEX FUNDO DE INVESTIMENTO FINANCEIRO MULTIMERCADO CRÉDITO PRIVADO RESP LIMITADA</t>
        </is>
      </c>
      <c r="D53" s="11" t="inlineStr">
        <is>
          <t>Multimercado</t>
        </is>
      </c>
      <c r="E53" s="11" t="inlineStr">
        <is>
          <t>STRIVO GESTORA DE RECURSOS Ltda</t>
        </is>
      </c>
      <c r="F53" s="11" t="inlineStr">
        <is>
          <t>2026-W34</t>
        </is>
      </c>
      <c r="G53" s="11" t="inlineStr">
        <is>
          <t>20/08/2026</t>
        </is>
      </c>
      <c r="H53" s="12" t="n">
        <v>0</v>
      </c>
      <c r="I53" s="12" t="n">
        <v>0</v>
      </c>
      <c r="J53" s="12" t="n">
        <v>0</v>
      </c>
      <c r="K53" s="12" t="n">
        <v>23323071.37</v>
      </c>
      <c r="L53" s="13" t="n">
        <v>1</v>
      </c>
      <c r="M53" s="13" t="n">
        <v>0</v>
      </c>
      <c r="N53" s="14" t="n">
        <v>0.001501</v>
      </c>
    </row>
    <row r="54">
      <c r="A54" s="11" t="inlineStr">
        <is>
          <t>63.947.350/0001-80</t>
        </is>
      </c>
      <c r="B54" s="11" t="inlineStr"/>
      <c r="C54" s="11" t="inlineStr">
        <is>
          <t>ETF PIONEER SELECTION OURO PRETO FUNDO DE INVESTIMENTO FINANCEIRO MULTIMERCADO RESP LIMITADA</t>
        </is>
      </c>
      <c r="D54" s="11" t="inlineStr">
        <is>
          <t>Multimercado</t>
        </is>
      </c>
      <c r="E54" s="11" t="inlineStr">
        <is>
          <t>OURO PRETO GESTÃO DE RECURSOS S.A.</t>
        </is>
      </c>
      <c r="F54" s="11" t="inlineStr">
        <is>
          <t>2026-W34</t>
        </is>
      </c>
      <c r="G54" s="11" t="inlineStr">
        <is>
          <t>21/08/2026</t>
        </is>
      </c>
      <c r="H54" s="12" t="n">
        <v>0</v>
      </c>
      <c r="I54" s="12" t="n">
        <v>0</v>
      </c>
      <c r="J54" s="12" t="n">
        <v>0</v>
      </c>
      <c r="K54" s="12" t="n">
        <v>3730505.28</v>
      </c>
      <c r="L54" s="13" t="n">
        <v>3</v>
      </c>
      <c r="M54" s="13" t="n">
        <v>0</v>
      </c>
      <c r="N54" s="14" t="n">
        <v>0.013431</v>
      </c>
    </row>
    <row r="55">
      <c r="A55" s="11" t="inlineStr">
        <is>
          <t>68.044.926/0001-12</t>
        </is>
      </c>
      <c r="B55" s="11" t="inlineStr"/>
      <c r="C55" s="11" t="inlineStr">
        <is>
          <t>PROVENCE ETF FUNDO DE INVESTIMENTO FINANCEIRO DE AÇÕES</t>
        </is>
      </c>
      <c r="D55" s="11" t="inlineStr">
        <is>
          <t>Internacional</t>
        </is>
      </c>
      <c r="E55" s="11" t="inlineStr">
        <is>
          <t>WEALTH HIGH GOVERNANCE CAPITAL LTDA.</t>
        </is>
      </c>
      <c r="F55" s="11" t="inlineStr">
        <is>
          <t>2026-W34</t>
        </is>
      </c>
      <c r="G55" s="11" t="inlineStr">
        <is>
          <t>21/08/2026</t>
        </is>
      </c>
      <c r="H55" s="12" t="n">
        <v>0</v>
      </c>
      <c r="I55" s="12" t="n">
        <v>0</v>
      </c>
      <c r="J55" s="12" t="n">
        <v>0</v>
      </c>
      <c r="K55" s="12" t="n">
        <v>4859233.47</v>
      </c>
      <c r="L55" s="13" t="n">
        <v>1</v>
      </c>
      <c r="M55" s="13" t="n">
        <v>0</v>
      </c>
      <c r="N55" s="14" t="n">
        <v>0.021268</v>
      </c>
    </row>
    <row r="56">
      <c r="A56" s="11" t="inlineStr">
        <is>
          <t>39.958.394/0001-20</t>
        </is>
      </c>
      <c r="B56" s="11" t="inlineStr"/>
      <c r="C56" s="11" t="inlineStr">
        <is>
          <t>BTG PACTUAL REFERENCE ETF FUNDO DE INVESTIMENTO FINANCEIRO EM AÇÕES</t>
        </is>
      </c>
      <c r="D56" s="11" t="inlineStr">
        <is>
          <t>Ações Brasil</t>
        </is>
      </c>
      <c r="E56" s="11" t="inlineStr">
        <is>
          <t>BTG PACTUAL ASSET MANAGEMENT S/A DTVM</t>
        </is>
      </c>
      <c r="F56" s="11" t="inlineStr">
        <is>
          <t>2026-W34</t>
        </is>
      </c>
      <c r="G56" s="11" t="inlineStr">
        <is>
          <t>21/08/2026</t>
        </is>
      </c>
      <c r="H56" s="12" t="n">
        <v>8520.440000000001</v>
      </c>
      <c r="I56" s="12" t="n">
        <v>11082.8</v>
      </c>
      <c r="J56" s="12" t="n">
        <v>-2562.36</v>
      </c>
      <c r="K56" s="12" t="n">
        <v>877701.15</v>
      </c>
      <c r="L56" s="13" t="n">
        <v>3001</v>
      </c>
      <c r="M56" s="13" t="n">
        <v>-14</v>
      </c>
      <c r="N56" s="14" t="n">
        <v>0.025494</v>
      </c>
    </row>
    <row r="57">
      <c r="A57" s="11" t="inlineStr">
        <is>
          <t>06.251.554/0001-48</t>
        </is>
      </c>
      <c r="B57" s="11" t="inlineStr"/>
      <c r="C57" s="11" t="inlineStr">
        <is>
          <t>BB AÇÕES ALOCAÇÃO ETF FUNDO DE INVESTIMENTO FINANCEIRO EM AÇÕES RESPONSABILIDADE LIMITADA</t>
        </is>
      </c>
      <c r="D57" s="11" t="inlineStr">
        <is>
          <t>Ações Brasil</t>
        </is>
      </c>
      <c r="E57" s="11" t="inlineStr">
        <is>
          <t>BB GESTAO DE RECURSOS DTVM S.A</t>
        </is>
      </c>
      <c r="F57" s="11" t="inlineStr">
        <is>
          <t>2026-W34</t>
        </is>
      </c>
      <c r="G57" s="11" t="inlineStr">
        <is>
          <t>21/08/2026</t>
        </is>
      </c>
      <c r="H57" s="12" t="n">
        <v>79464.67</v>
      </c>
      <c r="I57" s="12" t="n">
        <v>139302.97</v>
      </c>
      <c r="J57" s="12" t="n">
        <v>-59838.3</v>
      </c>
      <c r="K57" s="12" t="n">
        <v>116590287.48</v>
      </c>
      <c r="L57" s="13" t="n">
        <v>2926</v>
      </c>
      <c r="M57" s="13" t="n">
        <v>-4</v>
      </c>
      <c r="N57" s="14" t="n">
        <v>0.018667</v>
      </c>
    </row>
    <row r="58">
      <c r="A58" s="11" t="inlineStr">
        <is>
          <t>36.348.509/0001-77</t>
        </is>
      </c>
      <c r="B58" s="11" t="inlineStr"/>
      <c r="C58" s="11" t="inlineStr">
        <is>
          <t>ITAÚ AÇÕES SMALL CAP INDEX FUNDO DE INVESTIMENTO FINANCEIRO RESPONSABILIDADE LIMITADA</t>
        </is>
      </c>
      <c r="D58" s="11" t="inlineStr">
        <is>
          <t>Ações Brasil</t>
        </is>
      </c>
      <c r="E58" s="11" t="inlineStr">
        <is>
          <t>ITAU UNIBANCO ASSET MANAGEMENT LTDA.</t>
        </is>
      </c>
      <c r="F58" s="11" t="inlineStr">
        <is>
          <t>2026-W34</t>
        </is>
      </c>
      <c r="G58" s="11" t="inlineStr">
        <is>
          <t>21/08/2026</t>
        </is>
      </c>
      <c r="H58" s="12" t="n">
        <v>27023.65</v>
      </c>
      <c r="I58" s="12" t="n">
        <v>120745.16</v>
      </c>
      <c r="J58" s="12" t="n">
        <v>-93721.50999999999</v>
      </c>
      <c r="K58" s="12" t="n">
        <v>20215007.04</v>
      </c>
      <c r="L58" s="13" t="n">
        <v>1</v>
      </c>
      <c r="M58" s="13" t="n">
        <v>0</v>
      </c>
      <c r="N58" s="14" t="n">
        <v>0.022867</v>
      </c>
    </row>
    <row r="59">
      <c r="A59" s="11" t="inlineStr">
        <is>
          <t>28.578.897/0001-54</t>
        </is>
      </c>
      <c r="B59" s="11" t="inlineStr"/>
      <c r="C59" s="11" t="inlineStr">
        <is>
          <t>BB AÇÕES ALOCAÇÃO ETF INVESTIMENTO NO EXTERIOR FUNDO DE INVESTIMENTO FINANCEIRO RESP LIMITADA</t>
        </is>
      </c>
      <c r="D59" s="11" t="inlineStr">
        <is>
          <t>Internacional</t>
        </is>
      </c>
      <c r="E59" s="11" t="inlineStr">
        <is>
          <t>BB GESTAO DE RECURSOS DTVM S.A</t>
        </is>
      </c>
      <c r="F59" s="11" t="inlineStr">
        <is>
          <t>2026-W34</t>
        </is>
      </c>
      <c r="G59" s="11" t="inlineStr">
        <is>
          <t>21/08/2026</t>
        </is>
      </c>
      <c r="H59" s="12" t="n">
        <v>1000</v>
      </c>
      <c r="I59" s="12" t="n">
        <v>205262.75</v>
      </c>
      <c r="J59" s="12" t="n">
        <v>-204262.75</v>
      </c>
      <c r="K59" s="12" t="n">
        <v>49698857.07</v>
      </c>
      <c r="L59" s="13" t="n">
        <v>7</v>
      </c>
      <c r="M59" s="13" t="n">
        <v>-1</v>
      </c>
      <c r="N59" s="14" t="n">
        <v>-0.027936</v>
      </c>
    </row>
    <row r="60">
      <c r="A60" s="11" t="inlineStr">
        <is>
          <t>35.088.108/0001-62</t>
        </is>
      </c>
      <c r="B60" s="11" t="inlineStr"/>
      <c r="C60" s="11" t="inlineStr">
        <is>
          <t>HASHDEX 40 NASDAQ CRYPTO INDEX FUNDO DE INVESTIMENTO FINANCEIRO EM COTAS DE FI MULTIMERCADO</t>
        </is>
      </c>
      <c r="D60" s="11" t="inlineStr">
        <is>
          <t>Cripto</t>
        </is>
      </c>
      <c r="E60" s="11" t="inlineStr">
        <is>
          <t>HASHDEX GESTORA DE RECURSOS LTDA</t>
        </is>
      </c>
      <c r="F60" s="11" t="inlineStr">
        <is>
          <t>2026-W34</t>
        </is>
      </c>
      <c r="G60" s="11" t="inlineStr">
        <is>
          <t>21/08/2026</t>
        </is>
      </c>
      <c r="H60" s="12" t="n">
        <v>343917.14</v>
      </c>
      <c r="I60" s="12" t="n">
        <v>728296.66</v>
      </c>
      <c r="J60" s="12" t="n">
        <v>-384379.52</v>
      </c>
      <c r="K60" s="12" t="n">
        <v>168287005.92</v>
      </c>
      <c r="L60" s="13" t="n">
        <v>9065</v>
      </c>
      <c r="M60" s="13" t="n">
        <v>-42</v>
      </c>
      <c r="N60" s="14" t="n">
        <v>0.077656</v>
      </c>
    </row>
    <row r="61">
      <c r="A61" s="11" t="inlineStr">
        <is>
          <t>33.736.845/0001-07</t>
        </is>
      </c>
      <c r="B61" s="11" t="inlineStr"/>
      <c r="C61" s="11" t="inlineStr">
        <is>
          <t>HASHDEX 100 NASDAQ CRYPTO INDEX FUNDO DE INVESTIMENTO MULTIMERCADO</t>
        </is>
      </c>
      <c r="D61" s="11" t="inlineStr">
        <is>
          <t>Cripto</t>
        </is>
      </c>
      <c r="E61" s="11" t="inlineStr">
        <is>
          <t>HASHDEX GESTORA DE RECURSOS LTDA</t>
        </is>
      </c>
      <c r="F61" s="11" t="inlineStr">
        <is>
          <t>2026-W34</t>
        </is>
      </c>
      <c r="G61" s="11" t="inlineStr">
        <is>
          <t>21/08/2026</t>
        </is>
      </c>
      <c r="H61" s="12" t="n">
        <v>1296317.58</v>
      </c>
      <c r="I61" s="12" t="n">
        <v>1966076.81</v>
      </c>
      <c r="J61" s="12" t="n">
        <v>-669759.23</v>
      </c>
      <c r="K61" s="12" t="n">
        <v>4464068.79</v>
      </c>
      <c r="L61" s="13" t="n">
        <v>1</v>
      </c>
      <c r="M61" s="13" t="n">
        <v>-28828</v>
      </c>
      <c r="N61" s="14" t="n">
        <v>-0.9037179999999999</v>
      </c>
    </row>
    <row r="62">
      <c r="A62" s="11" t="inlineStr">
        <is>
          <t>33.736.873/0001-16</t>
        </is>
      </c>
      <c r="B62" s="11" t="inlineStr"/>
      <c r="C62" s="11" t="inlineStr">
        <is>
          <t>HASHDEX 20 NASDAQ CRYPTO INDEX FUNDO DE INVESTIMENTO FINANCEIRO EM COTAS DE FIM</t>
        </is>
      </c>
      <c r="D62" s="11" t="inlineStr">
        <is>
          <t>Cripto</t>
        </is>
      </c>
      <c r="E62" s="11" t="inlineStr">
        <is>
          <t>HASHDEX GESTORA DE RECURSOS LTDA</t>
        </is>
      </c>
      <c r="F62" s="11" t="inlineStr">
        <is>
          <t>2026-W34</t>
        </is>
      </c>
      <c r="G62" s="11" t="inlineStr">
        <is>
          <t>21/08/2026</t>
        </is>
      </c>
      <c r="H62" s="12" t="n">
        <v>52572.52</v>
      </c>
      <c r="I62" s="12" t="n">
        <v>1210302.89</v>
      </c>
      <c r="J62" s="12" t="n">
        <v>-1157730.37</v>
      </c>
      <c r="K62" s="12" t="n">
        <v>161898423.57</v>
      </c>
      <c r="L62" s="13" t="n">
        <v>19534</v>
      </c>
      <c r="M62" s="13" t="n">
        <v>-89</v>
      </c>
      <c r="N62" s="14" t="n">
        <v>0.039588</v>
      </c>
    </row>
    <row r="63">
      <c r="A63" s="11" t="inlineStr">
        <is>
          <t>41.721.399/0001-87</t>
        </is>
      </c>
      <c r="B63" s="11" t="inlineStr"/>
      <c r="C63" s="11" t="inlineStr">
        <is>
          <t>SANTANDER AÇÕES GLOBAIS REAIS BDR ETF AÇÕES - CIC FIF RESPONSABILIDADE LIMITADA</t>
        </is>
      </c>
      <c r="D63" s="11" t="inlineStr">
        <is>
          <t>Ações Brasil</t>
        </is>
      </c>
      <c r="E63" s="11" t="inlineStr">
        <is>
          <t>SANTANDER BRASIL GESTÃO DE RECURSOS LTDA</t>
        </is>
      </c>
      <c r="F63" s="11" t="inlineStr">
        <is>
          <t>2026-W33</t>
        </is>
      </c>
      <c r="G63" s="11" t="inlineStr">
        <is>
          <t>14/08/2026</t>
        </is>
      </c>
      <c r="H63" s="12" t="n">
        <v>9779850.720000001</v>
      </c>
      <c r="I63" s="12" t="n">
        <v>2546817.51</v>
      </c>
      <c r="J63" s="12" t="n">
        <v>7233033.21</v>
      </c>
      <c r="K63" s="12" t="n">
        <v>424783733.35</v>
      </c>
      <c r="L63" s="13" t="n">
        <v>15948</v>
      </c>
      <c r="M63" s="13" t="n">
        <v>307</v>
      </c>
      <c r="N63" s="14" t="n">
        <v>0.007048</v>
      </c>
    </row>
    <row r="64">
      <c r="A64" s="11" t="inlineStr">
        <is>
          <t>41.721.433/0001-13</t>
        </is>
      </c>
      <c r="B64" s="11" t="inlineStr"/>
      <c r="C64" s="11" t="inlineStr">
        <is>
          <t>SANTANDER AÇÕES GLOBAIS REAIS BDR ETF AÇÕES - FUNDO DE INVESTIMENTO RESPONSABILIDADE LIMITADA</t>
        </is>
      </c>
      <c r="D64" s="11" t="inlineStr">
        <is>
          <t>Ações Brasil</t>
        </is>
      </c>
      <c r="E64" s="11" t="inlineStr">
        <is>
          <t>SANTANDER BRASIL GESTÃO DE RECURSOS LTDA</t>
        </is>
      </c>
      <c r="F64" s="11" t="inlineStr">
        <is>
          <t>2026-W33</t>
        </is>
      </c>
      <c r="G64" s="11" t="inlineStr">
        <is>
          <t>14/08/2026</t>
        </is>
      </c>
      <c r="H64" s="12" t="n">
        <v>9890070.17</v>
      </c>
      <c r="I64" s="12" t="n">
        <v>2751100</v>
      </c>
      <c r="J64" s="12" t="n">
        <v>7138970.17</v>
      </c>
      <c r="K64" s="12" t="n">
        <v>442888934.1</v>
      </c>
      <c r="L64" s="13" t="n">
        <v>3</v>
      </c>
      <c r="M64" s="13" t="n">
        <v>0</v>
      </c>
      <c r="N64" s="14" t="n">
        <v>0.007261999999999999</v>
      </c>
    </row>
    <row r="65">
      <c r="A65" s="11" t="inlineStr">
        <is>
          <t>20.147.499/0001-71</t>
        </is>
      </c>
      <c r="B65" s="11" t="inlineStr"/>
      <c r="C65" s="11" t="inlineStr">
        <is>
          <t>ITAÚ FTSE RAFI BRAZIL 50 CAPPED INDEX FUNDO DE INVESTIMENTO FINANCEIRO EM AÇÕES RESP LIMITADA</t>
        </is>
      </c>
      <c r="D65" s="11" t="inlineStr">
        <is>
          <t>Ações Brasil</t>
        </is>
      </c>
      <c r="E65" s="11" t="inlineStr">
        <is>
          <t>ITAU UNIBANCO ASSET MANAGEMENT LTDA.</t>
        </is>
      </c>
      <c r="F65" s="11" t="inlineStr">
        <is>
          <t>2026-W33</t>
        </is>
      </c>
      <c r="G65" s="11" t="inlineStr">
        <is>
          <t>14/08/2026</t>
        </is>
      </c>
      <c r="H65" s="12" t="n">
        <v>8001997.99</v>
      </c>
      <c r="I65" s="12" t="n">
        <v>3065065.26</v>
      </c>
      <c r="J65" s="12" t="n">
        <v>4936932.73</v>
      </c>
      <c r="K65" s="12" t="n">
        <v>1295158962.88</v>
      </c>
      <c r="L65" s="13" t="n">
        <v>10</v>
      </c>
      <c r="M65" s="13" t="n">
        <v>0</v>
      </c>
      <c r="N65" s="14" t="n">
        <v>-0.032288</v>
      </c>
    </row>
    <row r="66">
      <c r="A66" s="11" t="inlineStr">
        <is>
          <t>09.290.807/0001-80</t>
        </is>
      </c>
      <c r="B66" s="11" t="inlineStr"/>
      <c r="C66" s="11" t="inlineStr">
        <is>
          <t>BTG PACTUAL INDEX FUNDO DE INVESTIMENTO FINANCEIRO MULTIMERCADO</t>
        </is>
      </c>
      <c r="D66" s="11" t="inlineStr">
        <is>
          <t>Multimercado</t>
        </is>
      </c>
      <c r="E66" s="11" t="inlineStr">
        <is>
          <t>BTG PACTUAL ASSET MANAGEMENT S/A DTVM</t>
        </is>
      </c>
      <c r="F66" s="11" t="inlineStr">
        <is>
          <t>2026-W33</t>
        </is>
      </c>
      <c r="G66" s="11" t="inlineStr">
        <is>
          <t>14/08/2026</t>
        </is>
      </c>
      <c r="H66" s="12" t="n">
        <v>0</v>
      </c>
      <c r="I66" s="12" t="n">
        <v>0</v>
      </c>
      <c r="J66" s="12" t="n">
        <v>0</v>
      </c>
      <c r="K66" s="12" t="n">
        <v>2517485.87</v>
      </c>
      <c r="L66" s="13" t="n">
        <v>3</v>
      </c>
      <c r="M66" s="13" t="n">
        <v>0</v>
      </c>
      <c r="N66" s="14" t="n">
        <v>-0.032548</v>
      </c>
    </row>
    <row r="67">
      <c r="A67" s="11" t="inlineStr">
        <is>
          <t>15.154.236/0001-50</t>
        </is>
      </c>
      <c r="B67" s="11" t="inlineStr"/>
      <c r="C67" s="11" t="inlineStr">
        <is>
          <t>CAIXA BRASIL ETF IBOVESPA FUNDO DE INVESTIMENTO FINANCEIRO EM AÇÕES - RESPONSABILIDADE LIMITADA</t>
        </is>
      </c>
      <c r="D67" s="11" t="inlineStr">
        <is>
          <t>Ações Brasil</t>
        </is>
      </c>
      <c r="E67" s="11" t="inlineStr">
        <is>
          <t>CAIXA DISTRIBUIDORA DE TÍTULOS E VALORES MOBILIÁRIOS S.A.</t>
        </is>
      </c>
      <c r="F67" s="11" t="inlineStr">
        <is>
          <t>2026-W33</t>
        </is>
      </c>
      <c r="G67" s="11" t="inlineStr">
        <is>
          <t>14/08/2026</t>
        </is>
      </c>
      <c r="H67" s="12" t="n">
        <v>0</v>
      </c>
      <c r="I67" s="12" t="n">
        <v>0</v>
      </c>
      <c r="J67" s="12" t="n">
        <v>0</v>
      </c>
      <c r="K67" s="12" t="n">
        <v>7186507.92</v>
      </c>
      <c r="L67" s="13" t="n">
        <v>10</v>
      </c>
      <c r="M67" s="13" t="n">
        <v>0</v>
      </c>
      <c r="N67" s="14" t="n">
        <v>-0.029026</v>
      </c>
    </row>
    <row r="68">
      <c r="A68" s="11" t="inlineStr">
        <is>
          <t>45.622.039/0001-89</t>
        </is>
      </c>
      <c r="B68" s="11" t="inlineStr"/>
      <c r="C68" s="11" t="inlineStr">
        <is>
          <t>EMB VIII ETF FIF - CLASSE DE INVESTIMENTO EM AÇÕES - RESP LIMITADA</t>
        </is>
      </c>
      <c r="D68" s="11" t="inlineStr">
        <is>
          <t>Ações Brasil</t>
        </is>
      </c>
      <c r="E68" s="11" t="inlineStr">
        <is>
          <t>BNP PARIBAS ASSET MANAGEMENT BRASIL LTDA</t>
        </is>
      </c>
      <c r="F68" s="11" t="inlineStr">
        <is>
          <t>2026-W33</t>
        </is>
      </c>
      <c r="G68" s="11" t="inlineStr">
        <is>
          <t>14/08/2026</t>
        </is>
      </c>
      <c r="H68" s="12" t="n">
        <v>0</v>
      </c>
      <c r="I68" s="12" t="n">
        <v>0</v>
      </c>
      <c r="J68" s="12" t="n">
        <v>0</v>
      </c>
      <c r="K68" s="12" t="n">
        <v>132659652.24</v>
      </c>
      <c r="L68" s="13" t="n">
        <v>3</v>
      </c>
      <c r="M68" s="13" t="n">
        <v>0</v>
      </c>
      <c r="N68" s="14" t="n">
        <v>-0.030837</v>
      </c>
    </row>
    <row r="69">
      <c r="A69" s="11" t="inlineStr">
        <is>
          <t>56.939.175/0001-13</t>
        </is>
      </c>
      <c r="B69" s="11" t="inlineStr"/>
      <c r="C69" s="11" t="inlineStr">
        <is>
          <t>INDEX FUNDO DE INVESTIMENTO FINANCEIRO MULTIMERCADO CRÉDITO PRIVADO RESP LIMITADA</t>
        </is>
      </c>
      <c r="D69" s="11" t="inlineStr">
        <is>
          <t>Multimercado</t>
        </is>
      </c>
      <c r="E69" s="11" t="inlineStr">
        <is>
          <t>STRIVO GESTORA DE RECURSOS Ltda</t>
        </is>
      </c>
      <c r="F69" s="11" t="inlineStr">
        <is>
          <t>2026-W33</t>
        </is>
      </c>
      <c r="G69" s="11" t="inlineStr">
        <is>
          <t>14/08/2026</t>
        </is>
      </c>
      <c r="H69" s="12" t="n">
        <v>0</v>
      </c>
      <c r="I69" s="12" t="n">
        <v>0</v>
      </c>
      <c r="J69" s="12" t="n">
        <v>0</v>
      </c>
      <c r="K69" s="12" t="n">
        <v>23276085.79</v>
      </c>
      <c r="L69" s="13" t="n">
        <v>1</v>
      </c>
      <c r="M69" s="13" t="n">
        <v>0</v>
      </c>
      <c r="N69" s="14" t="n">
        <v>0.002256</v>
      </c>
    </row>
    <row r="70">
      <c r="A70" s="11" t="inlineStr">
        <is>
          <t>63.947.350/0001-80</t>
        </is>
      </c>
      <c r="B70" s="11" t="inlineStr"/>
      <c r="C70" s="11" t="inlineStr">
        <is>
          <t>ETF PIONEER SELECTION OURO PRETO FUNDO DE INVESTIMENTO FINANCEIRO MULTIMERCADO RESP LIMITADA</t>
        </is>
      </c>
      <c r="D70" s="11" t="inlineStr">
        <is>
          <t>Multimercado</t>
        </is>
      </c>
      <c r="E70" s="11" t="inlineStr">
        <is>
          <t>OURO PRETO GESTÃO DE RECURSOS S.A.</t>
        </is>
      </c>
      <c r="F70" s="11" t="inlineStr">
        <is>
          <t>2026-W33</t>
        </is>
      </c>
      <c r="G70" s="11" t="inlineStr">
        <is>
          <t>14/08/2026</t>
        </is>
      </c>
      <c r="H70" s="12" t="n">
        <v>0</v>
      </c>
      <c r="I70" s="12" t="n">
        <v>0</v>
      </c>
      <c r="J70" s="12" t="n">
        <v>0</v>
      </c>
      <c r="K70" s="12" t="n">
        <v>3680461.52</v>
      </c>
      <c r="L70" s="13" t="n">
        <v>3</v>
      </c>
      <c r="M70" s="13" t="n">
        <v>0</v>
      </c>
      <c r="N70" s="14" t="n">
        <v>-0.026869</v>
      </c>
    </row>
    <row r="71">
      <c r="A71" s="11" t="inlineStr">
        <is>
          <t>68.044.926/0001-12</t>
        </is>
      </c>
      <c r="B71" s="11" t="inlineStr"/>
      <c r="C71" s="11" t="inlineStr">
        <is>
          <t>PROVENCE ETF FUNDO DE INVESTIMENTO FINANCEIRO DE AÇÕES</t>
        </is>
      </c>
      <c r="D71" s="11" t="inlineStr">
        <is>
          <t>Internacional</t>
        </is>
      </c>
      <c r="E71" s="11" t="inlineStr">
        <is>
          <t>WEALTH HIGH GOVERNANCE CAPITAL LTDA.</t>
        </is>
      </c>
      <c r="F71" s="11" t="inlineStr">
        <is>
          <t>2026-W33</t>
        </is>
      </c>
      <c r="G71" s="11" t="inlineStr">
        <is>
          <t>14/08/2026</t>
        </is>
      </c>
      <c r="H71" s="12" t="n">
        <v>0</v>
      </c>
      <c r="I71" s="12" t="n">
        <v>0</v>
      </c>
      <c r="J71" s="12" t="n">
        <v>0</v>
      </c>
      <c r="K71" s="12" t="n">
        <v>4755493.75</v>
      </c>
      <c r="L71" s="13" t="n">
        <v>1</v>
      </c>
      <c r="M71" s="13" t="n">
        <v>0</v>
      </c>
      <c r="N71" s="14" t="n">
        <v>-0.033264</v>
      </c>
    </row>
    <row r="72">
      <c r="A72" s="11" t="inlineStr">
        <is>
          <t>39.958.394/0001-20</t>
        </is>
      </c>
      <c r="B72" s="11" t="inlineStr"/>
      <c r="C72" s="11" t="inlineStr">
        <is>
          <t>BTG PACTUAL REFERENCE ETF FUNDO DE INVESTIMENTO FINANCEIRO EM AÇÕES</t>
        </is>
      </c>
      <c r="D72" s="11" t="inlineStr">
        <is>
          <t>Ações Brasil</t>
        </is>
      </c>
      <c r="E72" s="11" t="inlineStr">
        <is>
          <t>BTG PACTUAL ASSET MANAGEMENT S/A DTVM</t>
        </is>
      </c>
      <c r="F72" s="11" t="inlineStr">
        <is>
          <t>2026-W33</t>
        </is>
      </c>
      <c r="G72" s="11" t="inlineStr">
        <is>
          <t>14/08/2026</t>
        </is>
      </c>
      <c r="H72" s="12" t="n">
        <v>0</v>
      </c>
      <c r="I72" s="12" t="n">
        <v>2078.54</v>
      </c>
      <c r="J72" s="12" t="n">
        <v>-2078.54</v>
      </c>
      <c r="K72" s="12" t="n">
        <v>857464.41</v>
      </c>
      <c r="L72" s="13" t="n">
        <v>3016</v>
      </c>
      <c r="M72" s="13" t="n">
        <v>-5</v>
      </c>
      <c r="N72" s="14" t="n">
        <v>-0.031885</v>
      </c>
    </row>
    <row r="73">
      <c r="A73" s="11" t="inlineStr">
        <is>
          <t>06.251.554/0001-48</t>
        </is>
      </c>
      <c r="B73" s="11" t="inlineStr"/>
      <c r="C73" s="11" t="inlineStr">
        <is>
          <t>BB AÇÕES ALOCAÇÃO ETF FUNDO DE INVESTIMENTO FINANCEIRO EM AÇÕES RESPONSABILIDADE LIMITADA</t>
        </is>
      </c>
      <c r="D73" s="11" t="inlineStr">
        <is>
          <t>Ações Brasil</t>
        </is>
      </c>
      <c r="E73" s="11" t="inlineStr">
        <is>
          <t>BB GESTAO DE RECURSOS DTVM S.A</t>
        </is>
      </c>
      <c r="F73" s="11" t="inlineStr">
        <is>
          <t>2026-W33</t>
        </is>
      </c>
      <c r="G73" s="11" t="inlineStr">
        <is>
          <t>14/08/2026</t>
        </is>
      </c>
      <c r="H73" s="12" t="n">
        <v>59013.09</v>
      </c>
      <c r="I73" s="12" t="n">
        <v>112075.98</v>
      </c>
      <c r="J73" s="12" t="n">
        <v>-53062.89</v>
      </c>
      <c r="K73" s="12" t="n">
        <v>114537132</v>
      </c>
      <c r="L73" s="13" t="n">
        <v>2931</v>
      </c>
      <c r="M73" s="13" t="n">
        <v>-2</v>
      </c>
      <c r="N73" s="14" t="n">
        <v>-0.03012</v>
      </c>
    </row>
    <row r="74">
      <c r="A74" s="11" t="inlineStr">
        <is>
          <t>36.348.509/0001-77</t>
        </is>
      </c>
      <c r="B74" s="11" t="inlineStr"/>
      <c r="C74" s="11" t="inlineStr">
        <is>
          <t>ITAÚ AÇÕES SMALL CAP INDEX FUNDO DE INVESTIMENTO FINANCEIRO RESPONSABILIDADE LIMITADA</t>
        </is>
      </c>
      <c r="D74" s="11" t="inlineStr">
        <is>
          <t>Ações Brasil</t>
        </is>
      </c>
      <c r="E74" s="11" t="inlineStr">
        <is>
          <t>ITAU UNIBANCO ASSET MANAGEMENT LTDA.</t>
        </is>
      </c>
      <c r="F74" s="11" t="inlineStr">
        <is>
          <t>2026-W33</t>
        </is>
      </c>
      <c r="G74" s="11" t="inlineStr">
        <is>
          <t>14/08/2026</t>
        </is>
      </c>
      <c r="H74" s="12" t="n">
        <v>60497.74</v>
      </c>
      <c r="I74" s="12" t="n">
        <v>266527.27</v>
      </c>
      <c r="J74" s="12" t="n">
        <v>-206029.53</v>
      </c>
      <c r="K74" s="12" t="n">
        <v>19868024.16</v>
      </c>
      <c r="L74" s="13" t="n">
        <v>1</v>
      </c>
      <c r="M74" s="13" t="n">
        <v>0</v>
      </c>
      <c r="N74" s="14" t="n">
        <v>-0.03432</v>
      </c>
    </row>
    <row r="75">
      <c r="A75" s="11" t="inlineStr">
        <is>
          <t>28.578.897/0001-54</t>
        </is>
      </c>
      <c r="B75" s="11" t="inlineStr"/>
      <c r="C75" s="11" t="inlineStr">
        <is>
          <t>BB AÇÕES ALOCAÇÃO ETF INVESTIMENTO NO EXTERIOR FUNDO DE INVESTIMENTO FINANCEIRO RESP LIMITADA</t>
        </is>
      </c>
      <c r="D75" s="11" t="inlineStr">
        <is>
          <t>Internacional</t>
        </is>
      </c>
      <c r="E75" s="11" t="inlineStr">
        <is>
          <t>BB GESTAO DE RECURSOS DTVM S.A</t>
        </is>
      </c>
      <c r="F75" s="11" t="inlineStr">
        <is>
          <t>2026-W33</t>
        </is>
      </c>
      <c r="G75" s="11" t="inlineStr">
        <is>
          <t>14/08/2026</t>
        </is>
      </c>
      <c r="H75" s="12" t="n">
        <v>3500</v>
      </c>
      <c r="I75" s="12" t="n">
        <v>211128.66</v>
      </c>
      <c r="J75" s="12" t="n">
        <v>-207628.66</v>
      </c>
      <c r="K75" s="12" t="n">
        <v>51664209.59</v>
      </c>
      <c r="L75" s="13" t="n">
        <v>8</v>
      </c>
      <c r="M75" s="13" t="n">
        <v>0</v>
      </c>
      <c r="N75" s="14" t="n">
        <v>0.026975</v>
      </c>
    </row>
    <row r="76">
      <c r="A76" s="11" t="inlineStr">
        <is>
          <t>35.088.108/0001-62</t>
        </is>
      </c>
      <c r="B76" s="11" t="inlineStr"/>
      <c r="C76" s="11" t="inlineStr">
        <is>
          <t>HASHDEX 40 NASDAQ CRYPTO INDEX FUNDO DE INVESTIMENTO FINANCEIRO EM COTAS DE FI MULTIMERCADO</t>
        </is>
      </c>
      <c r="D76" s="11" t="inlineStr">
        <is>
          <t>Cripto</t>
        </is>
      </c>
      <c r="E76" s="11" t="inlineStr">
        <is>
          <t>HASHDEX GESTORA DE RECURSOS LTDA</t>
        </is>
      </c>
      <c r="F76" s="11" t="inlineStr">
        <is>
          <t>2026-W33</t>
        </is>
      </c>
      <c r="G76" s="11" t="inlineStr">
        <is>
          <t>14/08/2026</t>
        </is>
      </c>
      <c r="H76" s="12" t="n">
        <v>376716.12</v>
      </c>
      <c r="I76" s="12" t="n">
        <v>594705.67</v>
      </c>
      <c r="J76" s="12" t="n">
        <v>-217989.55</v>
      </c>
      <c r="K76" s="12" t="n">
        <v>155632672.48</v>
      </c>
      <c r="L76" s="13" t="n">
        <v>9120</v>
      </c>
      <c r="M76" s="13" t="n">
        <v>-33</v>
      </c>
      <c r="N76" s="14" t="n">
        <v>0.003524</v>
      </c>
    </row>
    <row r="77">
      <c r="A77" s="11" t="inlineStr">
        <is>
          <t>33.736.845/0001-07</t>
        </is>
      </c>
      <c r="B77" s="11" t="inlineStr"/>
      <c r="C77" s="11" t="inlineStr">
        <is>
          <t>HASHDEX 100 NASDAQ CRYPTO INDEX FUNDO DE INVESTIMENTO MULTIMERCADO</t>
        </is>
      </c>
      <c r="D77" s="11" t="inlineStr">
        <is>
          <t>Cripto</t>
        </is>
      </c>
      <c r="E77" s="11" t="inlineStr">
        <is>
          <t>HASHDEX GESTORA DE RECURSOS LTDA</t>
        </is>
      </c>
      <c r="F77" s="11" t="inlineStr">
        <is>
          <t>2026-W33</t>
        </is>
      </c>
      <c r="G77" s="11" t="inlineStr">
        <is>
          <t>14/08/2026</t>
        </is>
      </c>
      <c r="H77" s="12" t="n">
        <v>652793.85</v>
      </c>
      <c r="I77" s="12" t="n">
        <v>1169015.48</v>
      </c>
      <c r="J77" s="12" t="n">
        <v>-516221.63</v>
      </c>
      <c r="K77" s="12" t="n">
        <v>3672056.93</v>
      </c>
      <c r="L77" s="13" t="n">
        <v>1</v>
      </c>
      <c r="M77" s="13" t="n">
        <v>-28972</v>
      </c>
      <c r="N77" s="14" t="n">
        <v>-0.918938</v>
      </c>
    </row>
    <row r="78">
      <c r="A78" s="11" t="inlineStr">
        <is>
          <t>33.736.873/0001-16</t>
        </is>
      </c>
      <c r="B78" s="11" t="inlineStr"/>
      <c r="C78" s="11" t="inlineStr">
        <is>
          <t>HASHDEX 20 NASDAQ CRYPTO INDEX FUNDO DE INVESTIMENTO FINANCEIRO EM COTAS DE FIM</t>
        </is>
      </c>
      <c r="D78" s="11" t="inlineStr">
        <is>
          <t>Cripto</t>
        </is>
      </c>
      <c r="E78" s="11" t="inlineStr">
        <is>
          <t>HASHDEX GESTORA DE RECURSOS LTDA</t>
        </is>
      </c>
      <c r="F78" s="11" t="inlineStr">
        <is>
          <t>2026-W33</t>
        </is>
      </c>
      <c r="G78" s="11" t="inlineStr">
        <is>
          <t>14/08/2026</t>
        </is>
      </c>
      <c r="H78" s="12" t="n">
        <v>102688.92</v>
      </c>
      <c r="I78" s="12" t="n">
        <v>1121284.08</v>
      </c>
      <c r="J78" s="12" t="n">
        <v>-1018595.16</v>
      </c>
      <c r="K78" s="12" t="n">
        <v>156379444.07</v>
      </c>
      <c r="L78" s="13" t="n">
        <v>19642</v>
      </c>
      <c r="M78" s="13" t="n">
        <v>-122</v>
      </c>
      <c r="N78" s="14" t="n">
        <v>0.00266</v>
      </c>
    </row>
    <row r="79">
      <c r="A79" s="11" t="inlineStr">
        <is>
          <t>41.721.399/0001-87</t>
        </is>
      </c>
      <c r="B79" s="11" t="inlineStr"/>
      <c r="C79" s="11" t="inlineStr">
        <is>
          <t>SANTANDER AÇÕES GLOBAIS REAIS BDR ETF AÇÕES - CIC FIF RESPONSABILIDADE LIMITADA</t>
        </is>
      </c>
      <c r="D79" s="11" t="inlineStr">
        <is>
          <t>Ações Brasil</t>
        </is>
      </c>
      <c r="E79" s="11" t="inlineStr">
        <is>
          <t>SANTANDER BRASIL GESTÃO DE RECURSOS LTDA</t>
        </is>
      </c>
      <c r="F79" s="11" t="inlineStr">
        <is>
          <t>2026-W32</t>
        </is>
      </c>
      <c r="G79" s="11" t="inlineStr">
        <is>
          <t>07/08/2026</t>
        </is>
      </c>
      <c r="H79" s="12" t="n">
        <v>4396431</v>
      </c>
      <c r="I79" s="12" t="n">
        <v>3032284.08</v>
      </c>
      <c r="J79" s="12" t="n">
        <v>1364146.92</v>
      </c>
      <c r="K79" s="12" t="n">
        <v>414996553.45</v>
      </c>
      <c r="L79" s="13" t="n">
        <v>15564</v>
      </c>
      <c r="M79" s="13" t="n">
        <v>130</v>
      </c>
      <c r="N79" s="14" t="n">
        <v>0.024745</v>
      </c>
    </row>
    <row r="80">
      <c r="A80" s="11" t="inlineStr">
        <is>
          <t>41.721.433/0001-13</t>
        </is>
      </c>
      <c r="B80" s="11" t="inlineStr"/>
      <c r="C80" s="11" t="inlineStr">
        <is>
          <t>SANTANDER AÇÕES GLOBAIS REAIS BDR ETF AÇÕES - FUNDO DE INVESTIMENTO RESPONSABILIDADE LIMITADA</t>
        </is>
      </c>
      <c r="D80" s="11" t="inlineStr">
        <is>
          <t>Ações Brasil</t>
        </is>
      </c>
      <c r="E80" s="11" t="inlineStr">
        <is>
          <t>SANTANDER BRASIL GESTÃO DE RECURSOS LTDA</t>
        </is>
      </c>
      <c r="F80" s="11" t="inlineStr">
        <is>
          <t>2026-W32</t>
        </is>
      </c>
      <c r="G80" s="11" t="inlineStr">
        <is>
          <t>07/08/2026</t>
        </is>
      </c>
      <c r="H80" s="12" t="n">
        <v>4581518.31</v>
      </c>
      <c r="I80" s="12" t="n">
        <v>3654300</v>
      </c>
      <c r="J80" s="12" t="n">
        <v>927218.3100000001</v>
      </c>
      <c r="K80" s="12" t="n">
        <v>432981653.14</v>
      </c>
      <c r="L80" s="13" t="n">
        <v>3</v>
      </c>
      <c r="M80" s="13" t="n">
        <v>0</v>
      </c>
      <c r="N80" s="14" t="n">
        <v>0.02516</v>
      </c>
    </row>
    <row r="81">
      <c r="A81" s="11" t="inlineStr">
        <is>
          <t>09.290.807/0001-80</t>
        </is>
      </c>
      <c r="B81" s="11" t="inlineStr"/>
      <c r="C81" s="11" t="inlineStr">
        <is>
          <t>BTG PACTUAL INDEX FUNDO DE INVESTIMENTO FINANCEIRO MULTIMERCADO</t>
        </is>
      </c>
      <c r="D81" s="11" t="inlineStr">
        <is>
          <t>Multimercado</t>
        </is>
      </c>
      <c r="E81" s="11" t="inlineStr">
        <is>
          <t>BTG PACTUAL ASSET MANAGEMENT S/A DTVM</t>
        </is>
      </c>
      <c r="F81" s="11" t="inlineStr">
        <is>
          <t>2026-W32</t>
        </is>
      </c>
      <c r="G81" s="11" t="inlineStr">
        <is>
          <t>07/08/2026</t>
        </is>
      </c>
      <c r="H81" s="12" t="n">
        <v>0</v>
      </c>
      <c r="I81" s="12" t="n">
        <v>0</v>
      </c>
      <c r="J81" s="12" t="n">
        <v>0</v>
      </c>
      <c r="K81" s="12" t="n">
        <v>2603777.74</v>
      </c>
      <c r="L81" s="13" t="n">
        <v>3</v>
      </c>
      <c r="M81" s="13" t="n">
        <v>0</v>
      </c>
      <c r="N81" s="14" t="n">
        <v>-0.031367</v>
      </c>
    </row>
    <row r="82">
      <c r="A82" s="11" t="inlineStr">
        <is>
          <t>15.154.236/0001-50</t>
        </is>
      </c>
      <c r="B82" s="11" t="inlineStr"/>
      <c r="C82" s="11" t="inlineStr">
        <is>
          <t>CAIXA BRASIL ETF IBOVESPA FUNDO DE INVESTIMENTO FINANCEIRO EM AÇÕES - RESPONSABILIDADE LIMITADA</t>
        </is>
      </c>
      <c r="D82" s="11" t="inlineStr">
        <is>
          <t>Ações Brasil</t>
        </is>
      </c>
      <c r="E82" s="11" t="inlineStr">
        <is>
          <t>CAIXA DISTRIBUIDORA DE TÍTULOS E VALORES MOBILIÁRIOS S.A.</t>
        </is>
      </c>
      <c r="F82" s="11" t="inlineStr">
        <is>
          <t>2026-W32</t>
        </is>
      </c>
      <c r="G82" s="11" t="inlineStr">
        <is>
          <t>07/08/2026</t>
        </is>
      </c>
      <c r="H82" s="12" t="n">
        <v>0</v>
      </c>
      <c r="I82" s="12" t="n">
        <v>0</v>
      </c>
      <c r="J82" s="12" t="n">
        <v>0</v>
      </c>
      <c r="K82" s="12" t="n">
        <v>7414928.66</v>
      </c>
      <c r="L82" s="13" t="n">
        <v>10</v>
      </c>
      <c r="M82" s="13" t="n">
        <v>0</v>
      </c>
      <c r="N82" s="14" t="n">
        <v>-0.029706</v>
      </c>
    </row>
    <row r="83">
      <c r="A83" s="11" t="inlineStr">
        <is>
          <t>45.622.039/0001-89</t>
        </is>
      </c>
      <c r="B83" s="11" t="inlineStr"/>
      <c r="C83" s="11" t="inlineStr">
        <is>
          <t>EMB VIII ETF FIF - CLASSE DE INVESTIMENTO EM AÇÕES - RESP LIMITADA</t>
        </is>
      </c>
      <c r="D83" s="11" t="inlineStr">
        <is>
          <t>Ações Brasil</t>
        </is>
      </c>
      <c r="E83" s="11" t="inlineStr">
        <is>
          <t>BNP PARIBAS ASSET MANAGEMENT BRASIL LTDA</t>
        </is>
      </c>
      <c r="F83" s="11" t="inlineStr">
        <is>
          <t>2026-W32</t>
        </is>
      </c>
      <c r="G83" s="11" t="inlineStr">
        <is>
          <t>07/08/2026</t>
        </is>
      </c>
      <c r="H83" s="12" t="n">
        <v>0</v>
      </c>
      <c r="I83" s="12" t="n">
        <v>0</v>
      </c>
      <c r="J83" s="12" t="n">
        <v>0</v>
      </c>
      <c r="K83" s="12" t="n">
        <v>137034263.9</v>
      </c>
      <c r="L83" s="13" t="n">
        <v>3</v>
      </c>
      <c r="M83" s="13" t="n">
        <v>0</v>
      </c>
      <c r="N83" s="14" t="n">
        <v>-0.030989</v>
      </c>
    </row>
    <row r="84">
      <c r="A84" s="11" t="inlineStr">
        <is>
          <t>56.939.175/0001-13</t>
        </is>
      </c>
      <c r="B84" s="11" t="inlineStr"/>
      <c r="C84" s="11" t="inlineStr">
        <is>
          <t>INDEX FUNDO DE INVESTIMENTO FINANCEIRO MULTIMERCADO CRÉDITO PRIVADO RESP LIMITADA</t>
        </is>
      </c>
      <c r="D84" s="11" t="inlineStr">
        <is>
          <t>Multimercado</t>
        </is>
      </c>
      <c r="E84" s="11" t="inlineStr">
        <is>
          <t>STRIVO GESTORA DE RECURSOS Ltda</t>
        </is>
      </c>
      <c r="F84" s="11" t="inlineStr">
        <is>
          <t>2026-W32</t>
        </is>
      </c>
      <c r="G84" s="11" t="inlineStr">
        <is>
          <t>07/08/2026</t>
        </is>
      </c>
      <c r="H84" s="12" t="n">
        <v>0</v>
      </c>
      <c r="I84" s="12" t="n">
        <v>0</v>
      </c>
      <c r="J84" s="12" t="n">
        <v>0</v>
      </c>
      <c r="K84" s="12" t="n">
        <v>23217487.39</v>
      </c>
      <c r="L84" s="13" t="n">
        <v>1</v>
      </c>
      <c r="M84" s="13" t="n">
        <v>0</v>
      </c>
      <c r="N84" s="14" t="n">
        <v>0.002045</v>
      </c>
    </row>
    <row r="85">
      <c r="A85" s="11" t="inlineStr">
        <is>
          <t>63.947.350/0001-80</t>
        </is>
      </c>
      <c r="B85" s="11" t="inlineStr"/>
      <c r="C85" s="11" t="inlineStr">
        <is>
          <t>ETF PIONEER SELECTION OURO PRETO FUNDO DE INVESTIMENTO FINANCEIRO MULTIMERCADO RESP LIMITADA</t>
        </is>
      </c>
      <c r="D85" s="11" t="inlineStr">
        <is>
          <t>Multimercado</t>
        </is>
      </c>
      <c r="E85" s="11" t="inlineStr">
        <is>
          <t>OURO PRETO GESTÃO DE RECURSOS S.A.</t>
        </is>
      </c>
      <c r="F85" s="11" t="inlineStr">
        <is>
          <t>2026-W32</t>
        </is>
      </c>
      <c r="G85" s="11" t="inlineStr">
        <is>
          <t>07/08/2026</t>
        </is>
      </c>
      <c r="H85" s="12" t="n">
        <v>0</v>
      </c>
      <c r="I85" s="12" t="n">
        <v>0</v>
      </c>
      <c r="J85" s="12" t="n">
        <v>0</v>
      </c>
      <c r="K85" s="12" t="n">
        <v>3788905.79</v>
      </c>
      <c r="L85" s="13" t="n">
        <v>3</v>
      </c>
      <c r="M85" s="13" t="n">
        <v>0</v>
      </c>
      <c r="N85" s="14" t="n">
        <v>-0.022334</v>
      </c>
    </row>
    <row r="86">
      <c r="A86" s="11" t="inlineStr">
        <is>
          <t>68.044.926/0001-12</t>
        </is>
      </c>
      <c r="B86" s="11" t="inlineStr"/>
      <c r="C86" s="11" t="inlineStr">
        <is>
          <t>PROVENCE ETF FUNDO DE INVESTIMENTO FINANCEIRO DE AÇÕES</t>
        </is>
      </c>
      <c r="D86" s="11" t="inlineStr">
        <is>
          <t>Internacional</t>
        </is>
      </c>
      <c r="E86" s="11" t="inlineStr">
        <is>
          <t>WEALTH HIGH GOVERNANCE CAPITAL LTDA.</t>
        </is>
      </c>
      <c r="F86" s="11" t="inlineStr">
        <is>
          <t>2026-W32</t>
        </is>
      </c>
      <c r="G86" s="11" t="inlineStr">
        <is>
          <t>07/08/2026</t>
        </is>
      </c>
      <c r="H86" s="12" t="n">
        <v>0</v>
      </c>
      <c r="I86" s="12" t="n">
        <v>0</v>
      </c>
      <c r="J86" s="12" t="n">
        <v>0</v>
      </c>
      <c r="K86" s="12" t="n">
        <v>4966030.55</v>
      </c>
      <c r="L86" s="13" t="n">
        <v>1</v>
      </c>
      <c r="M86" s="13" t="n">
        <v>0</v>
      </c>
      <c r="N86" s="14" t="n">
        <v>-0.02892</v>
      </c>
    </row>
    <row r="87">
      <c r="A87" s="11" t="inlineStr">
        <is>
          <t>39.958.394/0001-20</t>
        </is>
      </c>
      <c r="B87" s="11" t="inlineStr"/>
      <c r="C87" s="11" t="inlineStr">
        <is>
          <t>BTG PACTUAL REFERENCE ETF FUNDO DE INVESTIMENTO FINANCEIRO EM AÇÕES</t>
        </is>
      </c>
      <c r="D87" s="11" t="inlineStr">
        <is>
          <t>Ações Brasil</t>
        </is>
      </c>
      <c r="E87" s="11" t="inlineStr">
        <is>
          <t>BTG PACTUAL ASSET MANAGEMENT S/A DTVM</t>
        </is>
      </c>
      <c r="F87" s="11" t="inlineStr">
        <is>
          <t>2026-W32</t>
        </is>
      </c>
      <c r="G87" s="11" t="inlineStr">
        <is>
          <t>07/08/2026</t>
        </is>
      </c>
      <c r="H87" s="12" t="n">
        <v>1</v>
      </c>
      <c r="I87" s="12" t="n">
        <v>4160.79</v>
      </c>
      <c r="J87" s="12" t="n">
        <v>-4159.79</v>
      </c>
      <c r="K87" s="12" t="n">
        <v>901924.1800000001</v>
      </c>
      <c r="L87" s="13" t="n">
        <v>3022</v>
      </c>
      <c r="M87" s="13" t="n">
        <v>-7</v>
      </c>
      <c r="N87" s="14" t="n">
        <v>-0.030733</v>
      </c>
    </row>
    <row r="88">
      <c r="A88" s="11" t="inlineStr">
        <is>
          <t>28.578.897/0001-54</t>
        </is>
      </c>
      <c r="B88" s="11" t="inlineStr"/>
      <c r="C88" s="11" t="inlineStr">
        <is>
          <t>BB AÇÕES ALOCAÇÃO ETF INVESTIMENTO NO EXTERIOR FUNDO DE INVESTIMENTO FINANCEIRO RESP LIMITADA</t>
        </is>
      </c>
      <c r="D88" s="11" t="inlineStr">
        <is>
          <t>Internacional</t>
        </is>
      </c>
      <c r="E88" s="11" t="inlineStr">
        <is>
          <t>BB GESTAO DE RECURSOS DTVM S.A</t>
        </is>
      </c>
      <c r="F88" s="11" t="inlineStr">
        <is>
          <t>2026-W32</t>
        </is>
      </c>
      <c r="G88" s="11" t="inlineStr">
        <is>
          <t>07/08/2026</t>
        </is>
      </c>
      <c r="H88" s="12" t="n">
        <v>0</v>
      </c>
      <c r="I88" s="12" t="n">
        <v>85606.61</v>
      </c>
      <c r="J88" s="12" t="n">
        <v>-85606.61</v>
      </c>
      <c r="K88" s="12" t="n">
        <v>49850631.39</v>
      </c>
      <c r="L88" s="13" t="n">
        <v>8</v>
      </c>
      <c r="M88" s="13" t="n">
        <v>0</v>
      </c>
      <c r="N88" s="14" t="n">
        <v>0.027572</v>
      </c>
    </row>
    <row r="89">
      <c r="A89" s="11" t="inlineStr">
        <is>
          <t>06.251.554/0001-48</t>
        </is>
      </c>
      <c r="B89" s="11" t="inlineStr"/>
      <c r="C89" s="11" t="inlineStr">
        <is>
          <t>BB AÇÕES ALOCAÇÃO ETF FUNDO DE INVESTIMENTO FINANCEIRO EM AÇÕES RESPONSABILIDADE LIMITADA</t>
        </is>
      </c>
      <c r="D89" s="11" t="inlineStr">
        <is>
          <t>Ações Brasil</t>
        </is>
      </c>
      <c r="E89" s="11" t="inlineStr">
        <is>
          <t>BB GESTAO DE RECURSOS DTVM S.A</t>
        </is>
      </c>
      <c r="F89" s="11" t="inlineStr">
        <is>
          <t>2026-W32</t>
        </is>
      </c>
      <c r="G89" s="11" t="inlineStr">
        <is>
          <t>07/08/2026</t>
        </is>
      </c>
      <c r="H89" s="12" t="n">
        <v>108771.26</v>
      </c>
      <c r="I89" s="12" t="n">
        <v>293559.62</v>
      </c>
      <c r="J89" s="12" t="n">
        <v>-184788.36</v>
      </c>
      <c r="K89" s="12" t="n">
        <v>118231860.66</v>
      </c>
      <c r="L89" s="13" t="n">
        <v>2933</v>
      </c>
      <c r="M89" s="13" t="n">
        <v>-1</v>
      </c>
      <c r="N89" s="14" t="n">
        <v>-0.028299</v>
      </c>
    </row>
    <row r="90">
      <c r="A90" s="11" t="inlineStr">
        <is>
          <t>36.348.509/0001-77</t>
        </is>
      </c>
      <c r="B90" s="11" t="inlineStr"/>
      <c r="C90" s="11" t="inlineStr">
        <is>
          <t>ITAÚ AÇÕES SMALL CAP INDEX FUNDO DE INVESTIMENTO FINANCEIRO RESPONSABILIDADE LIMITADA</t>
        </is>
      </c>
      <c r="D90" s="11" t="inlineStr">
        <is>
          <t>Ações Brasil</t>
        </is>
      </c>
      <c r="E90" s="11" t="inlineStr">
        <is>
          <t>ITAU UNIBANCO ASSET MANAGEMENT LTDA.</t>
        </is>
      </c>
      <c r="F90" s="11" t="inlineStr">
        <is>
          <t>2026-W32</t>
        </is>
      </c>
      <c r="G90" s="11" t="inlineStr">
        <is>
          <t>07/08/2026</t>
        </is>
      </c>
      <c r="H90" s="12" t="n">
        <v>49918.3</v>
      </c>
      <c r="I90" s="12" t="n">
        <v>392111.99</v>
      </c>
      <c r="J90" s="12" t="n">
        <v>-342193.69</v>
      </c>
      <c r="K90" s="12" t="n">
        <v>20947009.89</v>
      </c>
      <c r="L90" s="13" t="n">
        <v>1</v>
      </c>
      <c r="M90" s="13" t="n">
        <v>0</v>
      </c>
      <c r="N90" s="14" t="n">
        <v>-0.0292</v>
      </c>
    </row>
    <row r="91">
      <c r="A91" s="11" t="inlineStr">
        <is>
          <t>35.088.108/0001-62</t>
        </is>
      </c>
      <c r="B91" s="11" t="inlineStr"/>
      <c r="C91" s="11" t="inlineStr">
        <is>
          <t>HASHDEX 40 NASDAQ CRYPTO INDEX FUNDO DE INVESTIMENTO FINANCEIRO EM COTAS DE FI MULTIMERCADO</t>
        </is>
      </c>
      <c r="D91" s="11" t="inlineStr">
        <is>
          <t>Cripto</t>
        </is>
      </c>
      <c r="E91" s="11" t="inlineStr">
        <is>
          <t>HASHDEX GESTORA DE RECURSOS LTDA</t>
        </is>
      </c>
      <c r="F91" s="11" t="inlineStr">
        <is>
          <t>2026-W32</t>
        </is>
      </c>
      <c r="G91" s="11" t="inlineStr">
        <is>
          <t>07/08/2026</t>
        </is>
      </c>
      <c r="H91" s="12" t="n">
        <v>254286.23</v>
      </c>
      <c r="I91" s="12" t="n">
        <v>857005.1899999999</v>
      </c>
      <c r="J91" s="12" t="n">
        <v>-602718.96</v>
      </c>
      <c r="K91" s="12" t="n">
        <v>155463164.44</v>
      </c>
      <c r="L91" s="13" t="n">
        <v>9163</v>
      </c>
      <c r="M91" s="13" t="n">
        <v>-42</v>
      </c>
      <c r="N91" s="14" t="n">
        <v>0.000967</v>
      </c>
    </row>
    <row r="92">
      <c r="A92" s="11" t="inlineStr">
        <is>
          <t>33.736.845/0001-07</t>
        </is>
      </c>
      <c r="B92" s="11" t="inlineStr"/>
      <c r="C92" s="11" t="inlineStr">
        <is>
          <t>HASHDEX 100 NASDAQ CRYPTO INDEX FUNDO DE INVESTIMENTO MULTIMERCADO</t>
        </is>
      </c>
      <c r="D92" s="11" t="inlineStr">
        <is>
          <t>Cripto</t>
        </is>
      </c>
      <c r="E92" s="11" t="inlineStr">
        <is>
          <t>HASHDEX GESTORA DE RECURSOS LTDA</t>
        </is>
      </c>
      <c r="F92" s="11" t="inlineStr">
        <is>
          <t>2026-W32</t>
        </is>
      </c>
      <c r="G92" s="11" t="inlineStr">
        <is>
          <t>07/08/2026</t>
        </is>
      </c>
      <c r="H92" s="12" t="n">
        <v>522786.89</v>
      </c>
      <c r="I92" s="12" t="n">
        <v>1214271.16</v>
      </c>
      <c r="J92" s="12" t="n">
        <v>-691484.27</v>
      </c>
      <c r="K92" s="12" t="n">
        <v>3756791.45</v>
      </c>
      <c r="L92" s="13" t="n">
        <v>1</v>
      </c>
      <c r="M92" s="13" t="n">
        <v>-29122</v>
      </c>
      <c r="N92" s="14" t="n">
        <v>-0.919582</v>
      </c>
    </row>
    <row r="93">
      <c r="A93" s="11" t="inlineStr">
        <is>
          <t>20.147.499/0001-71</t>
        </is>
      </c>
      <c r="B93" s="11" t="inlineStr"/>
      <c r="C93" s="11" t="inlineStr">
        <is>
          <t>ITAÚ FTSE RAFI BRAZIL 50 CAPPED INDEX FUNDO DE INVESTIMENTO FINANCEIRO EM AÇÕES RESP LIMITADA</t>
        </is>
      </c>
      <c r="D93" s="11" t="inlineStr">
        <is>
          <t>Ações Brasil</t>
        </is>
      </c>
      <c r="E93" s="11" t="inlineStr">
        <is>
          <t>ITAU UNIBANCO ASSET MANAGEMENT LTDA.</t>
        </is>
      </c>
      <c r="F93" s="11" t="inlineStr">
        <is>
          <t>2026-W32</t>
        </is>
      </c>
      <c r="G93" s="11" t="inlineStr">
        <is>
          <t>07/08/2026</t>
        </is>
      </c>
      <c r="H93" s="12" t="n">
        <v>4604528.15</v>
      </c>
      <c r="I93" s="12" t="n">
        <v>5470968.15</v>
      </c>
      <c r="J93" s="12" t="n">
        <v>-866440</v>
      </c>
      <c r="K93" s="12" t="n">
        <v>1337705524.33</v>
      </c>
      <c r="L93" s="13" t="n">
        <v>10</v>
      </c>
      <c r="M93" s="13" t="n">
        <v>0</v>
      </c>
      <c r="N93" s="14" t="n">
        <v>-0.03748</v>
      </c>
    </row>
    <row r="94">
      <c r="A94" s="11" t="inlineStr">
        <is>
          <t>33.736.873/0001-16</t>
        </is>
      </c>
      <c r="B94" s="11" t="inlineStr"/>
      <c r="C94" s="11" t="inlineStr">
        <is>
          <t>HASHDEX 20 NASDAQ CRYPTO INDEX FUNDO DE INVESTIMENTO FINANCEIRO EM COTAS DE FIM</t>
        </is>
      </c>
      <c r="D94" s="11" t="inlineStr">
        <is>
          <t>Cripto</t>
        </is>
      </c>
      <c r="E94" s="11" t="inlineStr">
        <is>
          <t>HASHDEX GESTORA DE RECURSOS LTDA</t>
        </is>
      </c>
      <c r="F94" s="11" t="inlineStr">
        <is>
          <t>2026-W32</t>
        </is>
      </c>
      <c r="G94" s="11" t="inlineStr">
        <is>
          <t>07/08/2026</t>
        </is>
      </c>
      <c r="H94" s="12" t="n">
        <v>40152.69</v>
      </c>
      <c r="I94" s="12" t="n">
        <v>1166112.95</v>
      </c>
      <c r="J94" s="12" t="n">
        <v>-1125960.26</v>
      </c>
      <c r="K94" s="12" t="n">
        <v>157041737.6</v>
      </c>
      <c r="L94" s="13" t="n">
        <v>19785</v>
      </c>
      <c r="M94" s="13" t="n">
        <v>-104</v>
      </c>
      <c r="N94" s="14" t="n">
        <v>0.001661</v>
      </c>
    </row>
  </sheetData>
  <autoFilter ref="A1:N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2026-09-14T00:38:19Z</dcterms:created>
  <dcterms:modified xmlns:dcterms="http://purl.org/dc/terms/" xmlns:xsi="http://www.w3.org/2001/XMLSchema-instance" xsi:type="dcterms:W3CDTF">2026-09-14T00:38:19Z</dcterms:modified>
</cp:coreProperties>
</file>