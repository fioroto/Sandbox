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solidado" sheetId="2" state="visible" r:id="rId2"/>
    <sheet xmlns:r="http://schemas.openxmlformats.org/officeDocument/2006/relationships" name="Vitrine varejo" sheetId="3" state="visible" r:id="rId3"/>
    <sheet xmlns:r="http://schemas.openxmlformats.org/officeDocument/2006/relationships" name="Restritos (auxiliar)" sheetId="4" state="visible" r:id="rId4"/>
    <sheet xmlns:r="http://schemas.openxmlformats.org/officeDocument/2006/relationships" name="Movimentos" sheetId="5" state="visible" r:id="rId5"/>
    <sheet xmlns:r="http://schemas.openxmlformats.org/officeDocument/2006/relationships" name="XP Investimentos" sheetId="6" state="visible" r:id="rId6"/>
    <sheet xmlns:r="http://schemas.openxmlformats.org/officeDocument/2006/relationships" name="BTG Pactual" sheetId="7" state="visible" r:id="rId7"/>
    <sheet xmlns:r="http://schemas.openxmlformats.org/officeDocument/2006/relationships" name="Itaú Private" sheetId="8" state="visible" r:id="rId8"/>
    <sheet xmlns:r="http://schemas.openxmlformats.org/officeDocument/2006/relationships" name="Fontes" sheetId="9" state="visible" r:id="rId9"/>
    <sheet xmlns:r="http://schemas.openxmlformats.org/officeDocument/2006/relationships" name="Captação por casa" sheetId="10" state="visible" r:id="rId10"/>
    <sheet xmlns:r="http://schemas.openxmlformats.org/officeDocument/2006/relationships" name="Captação por fundo" sheetId="11" state="visible" r:id="rId11"/>
    <sheet xmlns:r="http://schemas.openxmlformats.org/officeDocument/2006/relationships" name="Tendência de captação" sheetId="12" state="visible" r:id="rId12"/>
    <sheet xmlns:r="http://schemas.openxmlformats.org/officeDocument/2006/relationships" name="Rentabilidade 12 meses" sheetId="13" state="visible" r:id="rId13"/>
    <sheet xmlns:r="http://schemas.openxmlformats.org/officeDocument/2006/relationships" name="Rentabilidade 3 meses" sheetId="14" state="visible" r:id="rId14"/>
    <sheet xmlns:r="http://schemas.openxmlformats.org/officeDocument/2006/relationships" name="Mandato declarado" sheetId="15" state="visible" r:id="rId15"/>
    <sheet xmlns:r="http://schemas.openxmlformats.org/officeDocument/2006/relationships" name="Coleta" sheetId="16" state="visible" r:id="rId16"/>
    <sheet xmlns:r="http://schemas.openxmlformats.org/officeDocument/2006/relationships" name="Metodologia" sheetId="17" state="visible" r:id="rId17"/>
  </sheets>
  <definedNames>
    <definedName name="_xlnm._FilterDatabase" localSheetId="1" hidden="1">'Consolidado'!$A$1:$W$486</definedName>
    <definedName name="_xlnm._FilterDatabase" localSheetId="5" hidden="1">'XP Investimentos'!$A$1:$W$219</definedName>
    <definedName name="_xlnm._FilterDatabase" localSheetId="6" hidden="1">'BTG Pactual'!$A$1:$W$227</definedName>
    <definedName name="_xlnm._FilterDatabase" localSheetId="7" hidden="1">'Itaú Private'!$A$1:$W$42</definedName>
    <definedName name="_xlnm._FilterDatabase" localSheetId="10" hidden="1">'Captação por fundo'!$A$7:$O$446</definedName>
    <definedName name="_xlnm._FilterDatabase" localSheetId="12" hidden="1">'Rentabilidade 12 meses'!$A$15:$G$24</definedName>
    <definedName name="_xlnm._FilterDatabase" localSheetId="13" hidden="1">'Rentabilidade 3 meses'!$A$15:$G$24</definedName>
    <definedName name="_xlnm._FilterDatabase" localSheetId="14" hidden="1">'Mandato declarado'!$A$6:$G$16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;-"/>
    <numFmt numFmtId="165" formatCode="0.00&quot;%&quot;;-;-"/>
    <numFmt numFmtId="166" formatCode="0;-;-"/>
    <numFmt numFmtId="167" formatCode="0.0%"/>
    <numFmt numFmtId="168" formatCode="0.0%;-;-"/>
    <numFmt numFmtId="169" formatCode="0.00&quot;x&quot;;-;-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sz val="13"/>
    </font>
    <font>
      <name val="Arial"/>
      <color rgb="001A5FB4"/>
      <sz val="10"/>
      <u val="single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166" fontId="2" fillId="0" borderId="1" pivotButton="0" quotePrefix="0" xfId="0"/>
    <xf numFmtId="0" fontId="2" fillId="0" borderId="1" applyAlignment="1" pivotButton="0" quotePrefix="0" xfId="0">
      <alignment horizontal="left"/>
    </xf>
    <xf numFmtId="164" fontId="2" fillId="0" borderId="1" pivotButton="0" quotePrefix="0" xfId="0"/>
    <xf numFmtId="165" fontId="2" fillId="0" borderId="1" pivotButton="0" quotePrefix="0" xfId="0"/>
    <xf numFmtId="167" fontId="2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6" fontId="2" fillId="0" borderId="1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2" fillId="0" borderId="1" applyAlignment="1" pivotButton="0" quotePrefix="0" xfId="0">
      <alignment horizontal="left"/>
    </xf>
    <xf numFmtId="164" fontId="2" fillId="0" borderId="0" pivotButton="0" quotePrefix="0" xfId="0"/>
    <xf numFmtId="164" fontId="2" fillId="3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4" fontId="2" fillId="4" borderId="0" pivotButton="0" quotePrefix="0" xfId="0"/>
    <xf numFmtId="0" fontId="1" fillId="2" borderId="0" pivotButton="0" quotePrefix="0" xfId="0"/>
    <xf numFmtId="168" fontId="2" fillId="0" borderId="1" pivotButton="0" quotePrefix="0" xfId="0"/>
    <xf numFmtId="168" fontId="2" fillId="0" borderId="1" applyAlignment="1" pivotButton="0" quotePrefix="0" xfId="0">
      <alignment horizontal="left"/>
    </xf>
    <xf numFmtId="16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hyperlink" Target="https://dados.cvm.gov.br/dataset/fi-doc-inf_diario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dados.cvm.gov.br/dataset/fi-doc-inf_diario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dados.cvm.gov.br/dataset/fi-doc-inf_diario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dados.cvm.gov.br/dataset/fi-doc-inf_diario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dados.cvm.gov.br/dataset/fi-doc-extrato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institucional.xpi.com.br/previdencia-privada/lista-de-fundos/#/" TargetMode="External" Id="rId1"/><Relationship Type="http://schemas.openxmlformats.org/officeDocument/2006/relationships/hyperlink" Target="https://institucional.xpi.com.br/previdencia-privada/lista-de-fundos/#/" TargetMode="External" Id="rId2"/><Relationship Type="http://schemas.openxmlformats.org/officeDocument/2006/relationships/hyperlink" Target="https://investimentos.btgpactual.com/previdencia-privada/produtos" TargetMode="External" Id="rId3"/><Relationship Type="http://schemas.openxmlformats.org/officeDocument/2006/relationships/hyperlink" Target="https://investimentos.btgpactual.com/previdencia-privada/produtos" TargetMode="External" Id="rId4"/><Relationship Type="http://schemas.openxmlformats.org/officeDocument/2006/relationships/hyperlink" Target="https://ww15.itau.com.br/privatebank/hotsite/catalogofundos2/tabela_rentabilidade/default.aspx" TargetMode="External" Id="rId5"/><Relationship Type="http://schemas.openxmlformats.org/officeDocument/2006/relationships/hyperlink" Target="https://ww15.itau.com.br/privatebank/hotsite/catalogofundos2/tabela_rentabilidade/default.aspx" TargetMode="External" Id="rId6"/><Relationship Type="http://schemas.openxmlformats.org/officeDocument/2006/relationships/hyperlink" Target="https://dados.cvm.gov.br/dataset/fi-cad" TargetMode="External" Id="rId7"/><Relationship Type="http://schemas.openxmlformats.org/officeDocument/2006/relationships/hyperlink" Target="https://dados.cvm.gov.br/dataset/fi-cad" TargetMode="External" Id="rId8"/><Relationship Type="http://schemas.openxmlformats.org/officeDocument/2006/relationships/hyperlink" Target="https://dados.cvm.gov.br/dados/FI/CAD/DADOS/" TargetMode="External" Id="rId9"/><Relationship Type="http://schemas.openxmlformats.org/officeDocument/2006/relationships/hyperlink" Target="https://dados.cvm.gov.br/dataset/fi-doc-inf_diario" TargetMode="External" Id="rId10"/><Relationship Type="http://schemas.openxmlformats.org/officeDocument/2006/relationships/hyperlink" Target="https://dados.cvm.gov.br/dataset/fi-doc-inf_diario" TargetMode="External" Id="rId11"/><Relationship Type="http://schemas.openxmlformats.org/officeDocument/2006/relationships/hyperlink" Target="https://dados.cvm.gov.br/dados/FI/DOC/INF_DIARIO/DADOS/" TargetMode="External" Id="rId12"/><Relationship Type="http://schemas.openxmlformats.org/officeDocument/2006/relationships/hyperlink" Target="https://dados.cvm.gov.br/dataset/fi-doc-extrato" TargetMode="External" Id="rId13"/><Relationship Type="http://schemas.openxmlformats.org/officeDocument/2006/relationships/hyperlink" Target="https://dados.cvm.gov.br/dataset/fi-doc-extrato" TargetMode="External" Id="rId14"/><Relationship Type="http://schemas.openxmlformats.org/officeDocument/2006/relationships/hyperlink" Target="https://dados.cvm.gov.br/dados/FI/DOC/EXTRATO/DADOS/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Previdência privada - resumo</t>
        </is>
      </c>
    </row>
    <row r="2">
      <c r="A2" s="2" t="inlineStr">
        <is>
          <t>Coleta de 24/09/2026 12:36</t>
        </is>
      </c>
    </row>
    <row r="4" ht="30" customHeight="1">
      <c r="A4" s="3" t="inlineStr">
        <is>
          <t>Plataforma</t>
        </is>
      </c>
      <c r="B4" s="3" t="inlineStr">
        <is>
          <t>Renda Fixa</t>
        </is>
      </c>
      <c r="C4" s="3" t="inlineStr">
        <is>
          <t>Multimercado</t>
        </is>
      </c>
      <c r="D4" s="3" t="inlineStr">
        <is>
          <t>Ações</t>
        </is>
      </c>
      <c r="E4" s="3" t="inlineStr">
        <is>
          <t>Cambial</t>
        </is>
      </c>
      <c r="F4" s="3" t="inlineStr">
        <is>
          <t>Internacional</t>
        </is>
      </c>
      <c r="G4" s="3" t="inlineStr">
        <is>
          <t>Previdência</t>
        </is>
      </c>
      <c r="H4" s="3" t="inlineStr">
        <is>
          <t>Outros</t>
        </is>
      </c>
      <c r="I4" s="3" t="inlineStr">
        <is>
          <t>Total</t>
        </is>
      </c>
      <c r="J4" s="3" t="inlineStr">
        <is>
          <t>Com CNPJ</t>
        </is>
      </c>
      <c r="K4" s="3" t="inlineStr">
        <is>
          <t>Gestoras distintas</t>
        </is>
      </c>
    </row>
    <row r="5">
      <c r="A5" s="4" t="inlineStr">
        <is>
          <t>XP Investimentos</t>
        </is>
      </c>
      <c r="B5" s="5">
        <f>COUNTIFS(Consolidado!$A$2:$A$486,$A5,Consolidado!$G$2:$G$486,B$4)</f>
        <v/>
      </c>
      <c r="C5" s="5">
        <f>COUNTIFS(Consolidado!$A$2:$A$486,$A5,Consolidado!$G$2:$G$486,C$4)</f>
        <v/>
      </c>
      <c r="D5" s="5">
        <f>COUNTIFS(Consolidado!$A$2:$A$486,$A5,Consolidado!$G$2:$G$486,D$4)</f>
        <v/>
      </c>
      <c r="E5" s="5">
        <f>COUNTIFS(Consolidado!$A$2:$A$486,$A5,Consolidado!$G$2:$G$486,E$4)</f>
        <v/>
      </c>
      <c r="F5" s="5">
        <f>COUNTIFS(Consolidado!$A$2:$A$486,$A5,Consolidado!$G$2:$G$486,F$4)</f>
        <v/>
      </c>
      <c r="G5" s="5">
        <f>COUNTIFS(Consolidado!$A$2:$A$486,$A5,Consolidado!$G$2:$G$486,G$4)</f>
        <v/>
      </c>
      <c r="H5" s="5">
        <f>COUNTIFS(Consolidado!$A$2:$A$486,$A5,Consolidado!$G$2:$G$486,H$4)</f>
        <v/>
      </c>
      <c r="I5" s="5">
        <f>COUNTIF(Consolidado!$A$2:$A$486,$A5)</f>
        <v/>
      </c>
      <c r="J5" s="5">
        <f>COUNTIFS(Consolidado!$A$2:$A$486,$A5,Consolidado!$C$2:$C$486,"&lt;&gt;")</f>
        <v/>
      </c>
      <c r="K5" s="5" t="n">
        <v>70</v>
      </c>
    </row>
    <row r="6">
      <c r="A6" s="4" t="inlineStr">
        <is>
          <t>BTG Pactual</t>
        </is>
      </c>
      <c r="B6" s="5">
        <f>COUNTIFS(Consolidado!$A$2:$A$486,$A6,Consolidado!$G$2:$G$486,B$4)</f>
        <v/>
      </c>
      <c r="C6" s="5">
        <f>COUNTIFS(Consolidado!$A$2:$A$486,$A6,Consolidado!$G$2:$G$486,C$4)</f>
        <v/>
      </c>
      <c r="D6" s="5">
        <f>COUNTIFS(Consolidado!$A$2:$A$486,$A6,Consolidado!$G$2:$G$486,D$4)</f>
        <v/>
      </c>
      <c r="E6" s="5">
        <f>COUNTIFS(Consolidado!$A$2:$A$486,$A6,Consolidado!$G$2:$G$486,E$4)</f>
        <v/>
      </c>
      <c r="F6" s="5">
        <f>COUNTIFS(Consolidado!$A$2:$A$486,$A6,Consolidado!$G$2:$G$486,F$4)</f>
        <v/>
      </c>
      <c r="G6" s="5">
        <f>COUNTIFS(Consolidado!$A$2:$A$486,$A6,Consolidado!$G$2:$G$486,G$4)</f>
        <v/>
      </c>
      <c r="H6" s="5">
        <f>COUNTIFS(Consolidado!$A$2:$A$486,$A6,Consolidado!$G$2:$G$486,H$4)</f>
        <v/>
      </c>
      <c r="I6" s="5">
        <f>COUNTIF(Consolidado!$A$2:$A$486,$A6)</f>
        <v/>
      </c>
      <c r="J6" s="5">
        <f>COUNTIFS(Consolidado!$A$2:$A$486,$A6,Consolidado!$C$2:$C$486,"&lt;&gt;")</f>
        <v/>
      </c>
      <c r="K6" s="5" t="n">
        <v>89</v>
      </c>
    </row>
    <row r="7">
      <c r="A7" s="4" t="inlineStr">
        <is>
          <t>Itaú Private</t>
        </is>
      </c>
      <c r="B7" s="5">
        <f>COUNTIFS(Consolidado!$A$2:$A$486,$A7,Consolidado!$G$2:$G$486,B$4)</f>
        <v/>
      </c>
      <c r="C7" s="5">
        <f>COUNTIFS(Consolidado!$A$2:$A$486,$A7,Consolidado!$G$2:$G$486,C$4)</f>
        <v/>
      </c>
      <c r="D7" s="5">
        <f>COUNTIFS(Consolidado!$A$2:$A$486,$A7,Consolidado!$G$2:$G$486,D$4)</f>
        <v/>
      </c>
      <c r="E7" s="5">
        <f>COUNTIFS(Consolidado!$A$2:$A$486,$A7,Consolidado!$G$2:$G$486,E$4)</f>
        <v/>
      </c>
      <c r="F7" s="5">
        <f>COUNTIFS(Consolidado!$A$2:$A$486,$A7,Consolidado!$G$2:$G$486,F$4)</f>
        <v/>
      </c>
      <c r="G7" s="5">
        <f>COUNTIFS(Consolidado!$A$2:$A$486,$A7,Consolidado!$G$2:$G$486,G$4)</f>
        <v/>
      </c>
      <c r="H7" s="5">
        <f>COUNTIFS(Consolidado!$A$2:$A$486,$A7,Consolidado!$G$2:$G$486,H$4)</f>
        <v/>
      </c>
      <c r="I7" s="5">
        <f>COUNTIF(Consolidado!$A$2:$A$486,$A7)</f>
        <v/>
      </c>
      <c r="J7" s="5">
        <f>COUNTIFS(Consolidado!$A$2:$A$486,$A7,Consolidado!$C$2:$C$486,"&lt;&gt;")</f>
        <v/>
      </c>
      <c r="K7" s="5" t="n">
        <v>3</v>
      </c>
    </row>
    <row r="9">
      <c r="A9" s="2" t="inlineStr">
        <is>
          <t>Como ler esta planilha:</t>
        </is>
      </c>
    </row>
    <row r="10">
      <c r="A10" s="2" t="inlineStr">
        <is>
          <t xml:space="preserve">  As contagens por classe e os totais são fórmulas sobre a aba Consolidado (o catálogo);</t>
        </is>
      </c>
    </row>
    <row r="11">
      <c r="A11" s="2" t="inlineStr">
        <is>
          <t xml:space="preserve">  "Gestoras distintas" é um valor da coleta, não uma fórmula: contar valores únicos exigiria</t>
        </is>
      </c>
    </row>
    <row r="12">
      <c r="A12" s="2" t="inlineStr">
        <is>
          <t xml:space="preserve">  função de matriz, que nem todo leitor de planilha avalia da mesma forma.</t>
        </is>
      </c>
    </row>
    <row r="13">
      <c r="A13" s="2" t="inlineStr">
        <is>
          <t xml:space="preserve">  Uma plataforma com poucos fundos pode ser fonte parcial, não prateleira enxuta - confira a aba Coleta.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34" customWidth="1" min="4" max="4"/>
    <col width="20" customWidth="1" min="5" max="5"/>
    <col width="30" customWidth="1" min="6" max="6"/>
    <col width="16" customWidth="1" min="7" max="7"/>
    <col width="30" customWidth="1" min="8" max="8"/>
    <col width="20" customWidth="1" min="9" max="9"/>
    <col width="14" customWidth="1" min="10" max="10"/>
    <col width="14" customWidth="1" min="11" max="11"/>
    <col width="14" customWidth="1" min="12" max="12"/>
    <col width="20" customWidth="1" min="13" max="13"/>
    <col width="21" customWidth="1" min="14" max="14"/>
    <col width="15" customWidth="1" min="15" max="15"/>
    <col width="16" customWidth="1" min="16" max="16"/>
    <col width="19" customWidth="1" min="17" max="17"/>
    <col width="26" customWidth="1" min="18" max="18"/>
    <col width="12" customWidth="1" min="19" max="19"/>
    <col width="13" customWidth="1" min="20" max="20"/>
    <col width="17" customWidth="1" min="21" max="21"/>
    <col width="13" customWidth="1" min="22" max="22"/>
    <col width="42" customWidth="1" min="23" max="23"/>
  </cols>
  <sheetData>
    <row r="1" ht="30" customHeight="1">
      <c r="A1" s="3" t="inlineStr">
        <is>
          <t>Plataforma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Gestora</t>
        </is>
      </c>
      <c r="E1" s="3" t="inlineStr">
        <is>
          <t>CNPJ da gestora</t>
        </is>
      </c>
      <c r="F1" s="3" t="inlineStr">
        <is>
          <t>Administrador</t>
        </is>
      </c>
      <c r="G1" s="3" t="inlineStr">
        <is>
          <t>Classe</t>
        </is>
      </c>
      <c r="H1" s="3" t="inlineStr">
        <is>
          <t>Categoria na origem</t>
        </is>
      </c>
      <c r="I1" s="3" t="inlineStr">
        <is>
          <t>Aplicação mínima (R$)</t>
        </is>
      </c>
      <c r="J1" s="3" t="inlineStr">
        <is>
          <t>Taxa adm (%)</t>
        </is>
      </c>
      <c r="K1" s="3" t="inlineStr">
        <is>
          <t>Taxa perf (%)</t>
        </is>
      </c>
      <c r="L1" s="3" t="inlineStr">
        <is>
          <t>Benchmark</t>
        </is>
      </c>
      <c r="M1" s="3" t="inlineStr">
        <is>
          <t>Cotização resgate (D+)</t>
        </is>
      </c>
      <c r="N1" s="3" t="inlineStr">
        <is>
          <t>Líquidação resgate (D+)</t>
        </is>
      </c>
      <c r="O1" s="3" t="inlineStr">
        <is>
          <t>Carência (dias)</t>
        </is>
      </c>
      <c r="P1" s="3" t="inlineStr">
        <is>
          <t>Tributação</t>
        </is>
      </c>
      <c r="Q1" s="3" t="inlineStr">
        <is>
          <t>Fechado p/ captação</t>
        </is>
      </c>
      <c r="R1" s="3" t="inlineStr">
        <is>
          <t>Fontes</t>
        </is>
      </c>
      <c r="S1" s="3" t="inlineStr">
        <is>
          <t>Nº de fontes</t>
        </is>
      </c>
      <c r="T1" s="3" t="inlineStr">
        <is>
          <t>Open Finance</t>
        </is>
      </c>
      <c r="U1" s="3" t="inlineStr">
        <is>
          <t>Prateleira (site)</t>
        </is>
      </c>
      <c r="V1" s="3" t="inlineStr">
        <is>
          <t>Área logada</t>
        </is>
      </c>
      <c r="W1" s="3" t="inlineStr">
        <is>
          <t>Link</t>
        </is>
      </c>
    </row>
    <row r="2">
      <c r="A2" s="4" t="inlineStr">
        <is>
          <t>XP Investimentos</t>
        </is>
      </c>
      <c r="B2" s="4" t="inlineStr">
        <is>
          <t>A1 Hedge Prev Xp Seg Prev Ficfim Rl</t>
        </is>
      </c>
      <c r="C2" s="6" t="inlineStr">
        <is>
          <t>44.409.267/0001-02</t>
        </is>
      </c>
      <c r="D2" s="4" t="inlineStr">
        <is>
          <t>XP VIDA E PREVIDÊNCIA S.A.</t>
        </is>
      </c>
      <c r="E2" s="4" t="inlineStr">
        <is>
          <t>29.408.732/0001-05</t>
        </is>
      </c>
      <c r="F2" s="4" t="inlineStr">
        <is>
          <t>XP Investimentos</t>
        </is>
      </c>
      <c r="G2" s="4" t="inlineStr">
        <is>
          <t>Multimercado</t>
        </is>
      </c>
      <c r="H2" s="4" t="inlineStr">
        <is>
          <t>Macro Alta Vol</t>
        </is>
      </c>
      <c r="I2" s="7" t="n">
        <v>100</v>
      </c>
      <c r="J2" s="8" t="n">
        <v>2.1</v>
      </c>
      <c r="K2" s="8" t="n"/>
      <c r="L2" s="4" t="inlineStr"/>
      <c r="M2" s="5" t="n">
        <v>22</v>
      </c>
      <c r="N2" s="5" t="n">
        <v>2</v>
      </c>
      <c r="O2" s="5" t="n"/>
      <c r="P2" s="4" t="inlineStr"/>
      <c r="Q2" s="4" t="inlineStr">
        <is>
          <t>Não</t>
        </is>
      </c>
      <c r="R2" s="4" t="inlineStr">
        <is>
          <t>Site (navegador)</t>
        </is>
      </c>
      <c r="S2" s="4" t="n">
        <v>1</v>
      </c>
      <c r="T2" s="4" t="inlineStr">
        <is>
          <t>Não</t>
        </is>
      </c>
      <c r="U2" s="4" t="inlineStr">
        <is>
          <t>Sim</t>
        </is>
      </c>
      <c r="V2" s="4" t="inlineStr">
        <is>
          <t>Não</t>
        </is>
      </c>
      <c r="W2" s="4" t="inlineStr"/>
    </row>
    <row r="3">
      <c r="A3" s="4" t="inlineStr">
        <is>
          <t>XP Investimentos</t>
        </is>
      </c>
      <c r="B3" s="4" t="inlineStr">
        <is>
          <t>A1 High Grade Prev XP Seg FIC FIRF CP RL</t>
        </is>
      </c>
      <c r="C3" s="6" t="inlineStr">
        <is>
          <t>63.573.988/0001-06</t>
        </is>
      </c>
      <c r="D3" s="4" t="inlineStr">
        <is>
          <t>ASSET1 INVESTIMENTOS S/A</t>
        </is>
      </c>
      <c r="E3" s="4" t="inlineStr">
        <is>
          <t>35.185.577/0001-08</t>
        </is>
      </c>
      <c r="F3" s="4" t="inlineStr">
        <is>
          <t>Intrag DTVM</t>
        </is>
      </c>
      <c r="G3" s="4" t="inlineStr">
        <is>
          <t>Renda Fixa</t>
        </is>
      </c>
      <c r="H3" s="4" t="inlineStr">
        <is>
          <t>Crédito Liquidez</t>
        </is>
      </c>
      <c r="I3" s="7" t="n">
        <v>100</v>
      </c>
      <c r="J3" s="8" t="n">
        <v>0.85</v>
      </c>
      <c r="K3" s="8" t="n"/>
      <c r="L3" s="4" t="inlineStr"/>
      <c r="M3" s="5" t="n">
        <v>0</v>
      </c>
      <c r="N3" s="5" t="n">
        <v>2</v>
      </c>
      <c r="O3" s="5" t="n"/>
      <c r="P3" s="4" t="inlineStr"/>
      <c r="Q3" s="4" t="inlineStr">
        <is>
          <t>Não</t>
        </is>
      </c>
      <c r="R3" s="4" t="inlineStr">
        <is>
          <t>Site (navegador)</t>
        </is>
      </c>
      <c r="S3" s="4" t="n">
        <v>1</v>
      </c>
      <c r="T3" s="4" t="inlineStr">
        <is>
          <t>Não</t>
        </is>
      </c>
      <c r="U3" s="4" t="inlineStr">
        <is>
          <t>Sim</t>
        </is>
      </c>
      <c r="V3" s="4" t="inlineStr">
        <is>
          <t>Não</t>
        </is>
      </c>
      <c r="W3" s="4" t="inlineStr"/>
    </row>
    <row r="4">
      <c r="A4" s="4" t="inlineStr">
        <is>
          <t>XP Investimentos</t>
        </is>
      </c>
      <c r="B4" s="4" t="inlineStr">
        <is>
          <t>A1 Renda Fixa Ativa Xp Seguros Firf</t>
        </is>
      </c>
      <c r="C4" s="6" t="inlineStr">
        <is>
          <t>52.955.280/0001-95</t>
        </is>
      </c>
      <c r="D4" s="4" t="inlineStr">
        <is>
          <t>ASSET1 INVESTIMENTOS S/A</t>
        </is>
      </c>
      <c r="E4" s="4" t="inlineStr">
        <is>
          <t>35.185.577/0001-08</t>
        </is>
      </c>
      <c r="F4" s="4" t="inlineStr">
        <is>
          <t>XP Investimentos</t>
        </is>
      </c>
      <c r="G4" s="4" t="inlineStr">
        <is>
          <t>Multimercado</t>
        </is>
      </c>
      <c r="H4" s="4" t="inlineStr">
        <is>
          <t>Renda Fixa Ativo</t>
        </is>
      </c>
      <c r="I4" s="7" t="n">
        <v>100</v>
      </c>
      <c r="J4" s="8" t="n">
        <v>0.9</v>
      </c>
      <c r="K4" s="8" t="n"/>
      <c r="L4" s="4" t="inlineStr"/>
      <c r="M4" s="5" t="n">
        <v>0</v>
      </c>
      <c r="N4" s="5" t="n">
        <v>1</v>
      </c>
      <c r="O4" s="5" t="n"/>
      <c r="P4" s="4" t="inlineStr"/>
      <c r="Q4" s="4" t="inlineStr">
        <is>
          <t>Não</t>
        </is>
      </c>
      <c r="R4" s="4" t="inlineStr">
        <is>
          <t>Site (navegador)</t>
        </is>
      </c>
      <c r="S4" s="4" t="n">
        <v>1</v>
      </c>
      <c r="T4" s="4" t="inlineStr">
        <is>
          <t>Não</t>
        </is>
      </c>
      <c r="U4" s="4" t="inlineStr">
        <is>
          <t>Sim</t>
        </is>
      </c>
      <c r="V4" s="4" t="inlineStr">
        <is>
          <t>Não</t>
        </is>
      </c>
      <c r="W4" s="4" t="inlineStr"/>
    </row>
    <row r="5">
      <c r="A5" s="4" t="inlineStr">
        <is>
          <t>XP Investimentos</t>
        </is>
      </c>
      <c r="B5" s="4" t="inlineStr">
        <is>
          <t>ARX Income 100 XP Seg Prev FIC FIA</t>
        </is>
      </c>
      <c r="C5" s="6" t="inlineStr">
        <is>
          <t>34.461.754/0001-60</t>
        </is>
      </c>
      <c r="D5" s="4" t="inlineStr">
        <is>
          <t>XP VIDA E PREVIDÊNCIA S.A.</t>
        </is>
      </c>
      <c r="E5" s="4" t="inlineStr">
        <is>
          <t>29.408.732/0001-05</t>
        </is>
      </c>
      <c r="F5" s="4" t="inlineStr">
        <is>
          <t>BNY Mellon DTVM</t>
        </is>
      </c>
      <c r="G5" s="4" t="inlineStr">
        <is>
          <t>Ações</t>
        </is>
      </c>
      <c r="H5" s="4" t="inlineStr">
        <is>
          <t>Renda Variável Dividendos</t>
        </is>
      </c>
      <c r="I5" s="7" t="n">
        <v>100</v>
      </c>
      <c r="J5" s="8" t="n">
        <v>2</v>
      </c>
      <c r="K5" s="8" t="n"/>
      <c r="L5" s="4" t="inlineStr"/>
      <c r="M5" s="5" t="n">
        <v>6</v>
      </c>
      <c r="N5" s="5" t="n">
        <v>2</v>
      </c>
      <c r="O5" s="5" t="n"/>
      <c r="P5" s="4" t="inlineStr"/>
      <c r="Q5" s="4" t="inlineStr">
        <is>
          <t>Não</t>
        </is>
      </c>
      <c r="R5" s="4" t="inlineStr">
        <is>
          <t>Site (navegador)</t>
        </is>
      </c>
      <c r="S5" s="4" t="n">
        <v>1</v>
      </c>
      <c r="T5" s="4" t="inlineStr">
        <is>
          <t>Não</t>
        </is>
      </c>
      <c r="U5" s="4" t="inlineStr">
        <is>
          <t>Sim</t>
        </is>
      </c>
      <c r="V5" s="4" t="inlineStr">
        <is>
          <t>Não</t>
        </is>
      </c>
      <c r="W5" s="4" t="inlineStr"/>
    </row>
    <row r="6">
      <c r="A6" s="4" t="inlineStr">
        <is>
          <t>XP Investimentos</t>
        </is>
      </c>
      <c r="B6" s="4" t="inlineStr">
        <is>
          <t>AZ Quest Inflação Ativo Prev FIE FIRF</t>
        </is>
      </c>
      <c r="C6" s="6" t="inlineStr">
        <is>
          <t>34.442.059/0001-51</t>
        </is>
      </c>
      <c r="D6" s="4" t="inlineStr">
        <is>
          <t>AZ Quest Prev Ltda.</t>
        </is>
      </c>
      <c r="E6" s="4" t="inlineStr">
        <is>
          <t>59.312.965/0001-62</t>
        </is>
      </c>
      <c r="F6" s="4" t="inlineStr">
        <is>
          <t>BNY Mellon DTVM</t>
        </is>
      </c>
      <c r="G6" s="4" t="inlineStr">
        <is>
          <t>Renda Fixa</t>
        </is>
      </c>
      <c r="H6" s="4" t="inlineStr">
        <is>
          <t>Renda Fixa Inflação</t>
        </is>
      </c>
      <c r="I6" s="7" t="n">
        <v>500</v>
      </c>
      <c r="J6" s="8" t="n">
        <v>1.1</v>
      </c>
      <c r="K6" s="8" t="n"/>
      <c r="L6" s="4" t="inlineStr"/>
      <c r="M6" s="5" t="n">
        <v>0</v>
      </c>
      <c r="N6" s="5" t="n">
        <v>1</v>
      </c>
      <c r="O6" s="5" t="n"/>
      <c r="P6" s="4" t="inlineStr"/>
      <c r="Q6" s="4" t="inlineStr">
        <is>
          <t>Sim</t>
        </is>
      </c>
      <c r="R6" s="4" t="inlineStr">
        <is>
          <t>Site (navegador)</t>
        </is>
      </c>
      <c r="S6" s="4" t="n">
        <v>1</v>
      </c>
      <c r="T6" s="4" t="inlineStr">
        <is>
          <t>Não</t>
        </is>
      </c>
      <c r="U6" s="4" t="inlineStr">
        <is>
          <t>Sim</t>
        </is>
      </c>
      <c r="V6" s="4" t="inlineStr">
        <is>
          <t>Não</t>
        </is>
      </c>
      <c r="W6" s="4" t="inlineStr"/>
    </row>
    <row r="7">
      <c r="A7" s="4" t="inlineStr">
        <is>
          <t>XP Investimentos</t>
        </is>
      </c>
      <c r="B7" s="4" t="inlineStr">
        <is>
          <t>AZ Quest Luce Advisory Prev XP Seg FICFIRF CP</t>
        </is>
      </c>
      <c r="C7" s="6" t="inlineStr">
        <is>
          <t>32.847.001/0001-62</t>
        </is>
      </c>
      <c r="D7" s="4" t="inlineStr">
        <is>
          <t>XP VIDA E PREVIDÊNCIA S.A.</t>
        </is>
      </c>
      <c r="E7" s="4" t="inlineStr">
        <is>
          <t>29.408.732/0001-05</t>
        </is>
      </c>
      <c r="F7" s="4" t="inlineStr">
        <is>
          <t>XPI Administradora - Modal</t>
        </is>
      </c>
      <c r="G7" s="4" t="inlineStr">
        <is>
          <t>Renda Fixa</t>
        </is>
      </c>
      <c r="H7" s="4" t="inlineStr">
        <is>
          <t>Crédito Liquidez</t>
        </is>
      </c>
      <c r="I7" s="7" t="n">
        <v>100</v>
      </c>
      <c r="J7" s="8" t="n">
        <v>1</v>
      </c>
      <c r="K7" s="8" t="n"/>
      <c r="L7" s="4" t="inlineStr"/>
      <c r="M7" s="5" t="n">
        <v>1</v>
      </c>
      <c r="N7" s="5" t="n">
        <v>2</v>
      </c>
      <c r="O7" s="5" t="n"/>
      <c r="P7" s="4" t="inlineStr"/>
      <c r="Q7" s="4" t="inlineStr">
        <is>
          <t>Não</t>
        </is>
      </c>
      <c r="R7" s="4" t="inlineStr">
        <is>
          <t>Site (navegador)</t>
        </is>
      </c>
      <c r="S7" s="4" t="n">
        <v>1</v>
      </c>
      <c r="T7" s="4" t="inlineStr">
        <is>
          <t>Não</t>
        </is>
      </c>
      <c r="U7" s="4" t="inlineStr">
        <is>
          <t>Sim</t>
        </is>
      </c>
      <c r="V7" s="4" t="inlineStr">
        <is>
          <t>Não</t>
        </is>
      </c>
      <c r="W7" s="4" t="inlineStr"/>
    </row>
    <row r="8">
      <c r="A8" s="4" t="inlineStr">
        <is>
          <t>XP Investimentos</t>
        </is>
      </c>
      <c r="B8" s="4" t="inlineStr">
        <is>
          <t>Absolute Atenas Xp Seg Prev Fie I Fic Firf Cp Rl</t>
        </is>
      </c>
      <c r="C8" s="6" t="inlineStr">
        <is>
          <t>62.213.987/0001-80</t>
        </is>
      </c>
      <c r="D8" s="4" t="inlineStr">
        <is>
          <t>ABSOLUTE CRÉDITO GESTÃO DE INVESTIMENTOS LTDA.</t>
        </is>
      </c>
      <c r="E8" s="4" t="inlineStr">
        <is>
          <t>47.243.769/0001-02</t>
        </is>
      </c>
      <c r="F8" s="4" t="inlineStr">
        <is>
          <t>BTG Pactual DTVM</t>
        </is>
      </c>
      <c r="G8" s="4" t="inlineStr">
        <is>
          <t>Renda Fixa</t>
        </is>
      </c>
      <c r="H8" s="4" t="inlineStr">
        <is>
          <t>Crédito Liquidez</t>
        </is>
      </c>
      <c r="I8" s="7" t="n">
        <v>100</v>
      </c>
      <c r="J8" s="8" t="n">
        <v>0.98</v>
      </c>
      <c r="K8" s="8" t="n"/>
      <c r="L8" s="4" t="inlineStr"/>
      <c r="M8" s="5" t="n">
        <v>6</v>
      </c>
      <c r="N8" s="5" t="n">
        <v>2</v>
      </c>
      <c r="O8" s="5" t="n"/>
      <c r="P8" s="4" t="inlineStr"/>
      <c r="Q8" s="4" t="inlineStr">
        <is>
          <t>Não</t>
        </is>
      </c>
      <c r="R8" s="4" t="inlineStr">
        <is>
          <t>Site (navegador)</t>
        </is>
      </c>
      <c r="S8" s="4" t="n">
        <v>1</v>
      </c>
      <c r="T8" s="4" t="inlineStr">
        <is>
          <t>Não</t>
        </is>
      </c>
      <c r="U8" s="4" t="inlineStr">
        <is>
          <t>Sim</t>
        </is>
      </c>
      <c r="V8" s="4" t="inlineStr">
        <is>
          <t>Não</t>
        </is>
      </c>
      <c r="W8" s="4" t="inlineStr"/>
    </row>
    <row r="9">
      <c r="A9" s="4" t="inlineStr">
        <is>
          <t>XP Investimentos</t>
        </is>
      </c>
      <c r="B9" s="4" t="inlineStr">
        <is>
          <t>Absolute Delfos Xp Seg Prev Fie I Fic Rf Cp Rl</t>
        </is>
      </c>
      <c r="C9" s="6" t="inlineStr">
        <is>
          <t>61.904.092/0001-29</t>
        </is>
      </c>
      <c r="D9" s="4" t="inlineStr">
        <is>
          <t>ABSOLUTE CRÉDITO GESTÃO DE INVESTIMENTOS LTDA.</t>
        </is>
      </c>
      <c r="E9" s="4" t="inlineStr">
        <is>
          <t>47.243.769/0001-02</t>
        </is>
      </c>
      <c r="F9" s="4" t="inlineStr">
        <is>
          <t>Intrag DTVM</t>
        </is>
      </c>
      <c r="G9" s="4" t="inlineStr">
        <is>
          <t>Renda Fixa</t>
        </is>
      </c>
      <c r="H9" s="4" t="inlineStr">
        <is>
          <t>Crédito High Grade</t>
        </is>
      </c>
      <c r="I9" s="7" t="n">
        <v>100</v>
      </c>
      <c r="J9" s="8" t="n">
        <v>0.88</v>
      </c>
      <c r="K9" s="8" t="n"/>
      <c r="L9" s="4" t="inlineStr"/>
      <c r="M9" s="5" t="n">
        <v>20</v>
      </c>
      <c r="N9" s="5" t="n">
        <v>2</v>
      </c>
      <c r="O9" s="5" t="n"/>
      <c r="P9" s="4" t="inlineStr"/>
      <c r="Q9" s="4" t="inlineStr">
        <is>
          <t>Não</t>
        </is>
      </c>
      <c r="R9" s="4" t="inlineStr">
        <is>
          <t>Site (navegador)</t>
        </is>
      </c>
      <c r="S9" s="4" t="n">
        <v>1</v>
      </c>
      <c r="T9" s="4" t="inlineStr">
        <is>
          <t>Não</t>
        </is>
      </c>
      <c r="U9" s="4" t="inlineStr">
        <is>
          <t>Sim</t>
        </is>
      </c>
      <c r="V9" s="4" t="inlineStr">
        <is>
          <t>Não</t>
        </is>
      </c>
      <c r="W9" s="4" t="inlineStr"/>
    </row>
    <row r="10">
      <c r="A10" s="4" t="inlineStr">
        <is>
          <t>XP Investimentos</t>
        </is>
      </c>
      <c r="B10" s="4" t="inlineStr">
        <is>
          <t>Absolute Endurance XP Seg FICFIA Prev</t>
        </is>
      </c>
      <c r="C10" s="6" t="inlineStr">
        <is>
          <t>37.355.605/0001-05</t>
        </is>
      </c>
      <c r="D10" s="4" t="inlineStr">
        <is>
          <t>ABSOLUTE GESTAO DE INVESTIMENTOS LTDA</t>
        </is>
      </c>
      <c r="E10" s="4" t="inlineStr">
        <is>
          <t>17.285.755/0001-82</t>
        </is>
      </c>
      <c r="F10" s="4" t="inlineStr">
        <is>
          <t>BNY Mellon DTVM</t>
        </is>
      </c>
      <c r="G10" s="4" t="inlineStr">
        <is>
          <t>Ações</t>
        </is>
      </c>
      <c r="H10" s="4" t="inlineStr">
        <is>
          <t>Renda Variável Long Only</t>
        </is>
      </c>
      <c r="I10" s="7" t="n">
        <v>100</v>
      </c>
      <c r="J10" s="8" t="n">
        <v>2</v>
      </c>
      <c r="K10" s="8" t="n"/>
      <c r="L10" s="4" t="inlineStr"/>
      <c r="M10" s="5" t="n">
        <v>21</v>
      </c>
      <c r="N10" s="5" t="n">
        <v>2</v>
      </c>
      <c r="O10" s="5" t="n"/>
      <c r="P10" s="4" t="inlineStr"/>
      <c r="Q10" s="4" t="inlineStr">
        <is>
          <t>Não</t>
        </is>
      </c>
      <c r="R10" s="4" t="inlineStr">
        <is>
          <t>Site (navegador)</t>
        </is>
      </c>
      <c r="S10" s="4" t="n">
        <v>1</v>
      </c>
      <c r="T10" s="4" t="inlineStr">
        <is>
          <t>Não</t>
        </is>
      </c>
      <c r="U10" s="4" t="inlineStr">
        <is>
          <t>Sim</t>
        </is>
      </c>
      <c r="V10" s="4" t="inlineStr">
        <is>
          <t>Não</t>
        </is>
      </c>
      <c r="W10" s="4" t="inlineStr"/>
    </row>
    <row r="11">
      <c r="A11" s="4" t="inlineStr">
        <is>
          <t>XP Investimentos</t>
        </is>
      </c>
      <c r="B11" s="4" t="inlineStr">
        <is>
          <t>Absolute Pace Xp Seg Prev Fif Em Ações Rl</t>
        </is>
      </c>
      <c r="C11" s="6" t="inlineStr">
        <is>
          <t>61.201.512/0001-00</t>
        </is>
      </c>
      <c r="D11" s="4" t="inlineStr">
        <is>
          <t>ABSOLUTE GESTAO DE INVESTIMENTOS LTDA</t>
        </is>
      </c>
      <c r="E11" s="4" t="inlineStr">
        <is>
          <t>17.285.755/0001-82</t>
        </is>
      </c>
      <c r="F11" s="4" t="inlineStr">
        <is>
          <t>BTG Pactual DTVM</t>
        </is>
      </c>
      <c r="G11" s="4" t="inlineStr">
        <is>
          <t>Ações</t>
        </is>
      </c>
      <c r="H11" s="4" t="inlineStr">
        <is>
          <t>Renda Variável Long Biased</t>
        </is>
      </c>
      <c r="I11" s="7" t="n">
        <v>100</v>
      </c>
      <c r="J11" s="8" t="n">
        <v>2</v>
      </c>
      <c r="K11" s="8" t="n"/>
      <c r="L11" s="4" t="inlineStr"/>
      <c r="M11" s="5" t="n">
        <v>22</v>
      </c>
      <c r="N11" s="5" t="n">
        <v>2</v>
      </c>
      <c r="O11" s="5" t="n"/>
      <c r="P11" s="4" t="inlineStr"/>
      <c r="Q11" s="4" t="inlineStr">
        <is>
          <t>Sim</t>
        </is>
      </c>
      <c r="R11" s="4" t="inlineStr">
        <is>
          <t>Site (navegador)</t>
        </is>
      </c>
      <c r="S11" s="4" t="n">
        <v>1</v>
      </c>
      <c r="T11" s="4" t="inlineStr">
        <is>
          <t>Não</t>
        </is>
      </c>
      <c r="U11" s="4" t="inlineStr">
        <is>
          <t>Sim</t>
        </is>
      </c>
      <c r="V11" s="4" t="inlineStr">
        <is>
          <t>Não</t>
        </is>
      </c>
      <c r="W11" s="4" t="inlineStr"/>
    </row>
    <row r="12">
      <c r="A12" s="4" t="inlineStr">
        <is>
          <t>XP Investimentos</t>
        </is>
      </c>
      <c r="B12" s="4" t="inlineStr">
        <is>
          <t>Absolute Vertex XP Seg Prev FIC FIM</t>
        </is>
      </c>
      <c r="C12" s="6" t="inlineStr">
        <is>
          <t>40.882.496/0001-99</t>
        </is>
      </c>
      <c r="D12" s="4" t="inlineStr">
        <is>
          <t>XP VIDA E PREVIDÊNCIA S.A.</t>
        </is>
      </c>
      <c r="E12" s="4" t="inlineStr">
        <is>
          <t>29.408.732/0001-05</t>
        </is>
      </c>
      <c r="F12" s="4" t="inlineStr">
        <is>
          <t>XPI Administradora - Modal</t>
        </is>
      </c>
      <c r="G12" s="4" t="inlineStr">
        <is>
          <t>Multimercado</t>
        </is>
      </c>
      <c r="H12" s="4" t="inlineStr">
        <is>
          <t>Macro Alta Vol</t>
        </is>
      </c>
      <c r="I12" s="7" t="n">
        <v>100</v>
      </c>
      <c r="J12" s="8" t="n">
        <v>2</v>
      </c>
      <c r="K12" s="8" t="n"/>
      <c r="L12" s="4" t="inlineStr"/>
      <c r="M12" s="5" t="n">
        <v>21</v>
      </c>
      <c r="N12" s="5" t="n">
        <v>1</v>
      </c>
      <c r="O12" s="5" t="n"/>
      <c r="P12" s="4" t="inlineStr"/>
      <c r="Q12" s="4" t="inlineStr">
        <is>
          <t>Não</t>
        </is>
      </c>
      <c r="R12" s="4" t="inlineStr">
        <is>
          <t>Site (navegador)</t>
        </is>
      </c>
      <c r="S12" s="4" t="n">
        <v>1</v>
      </c>
      <c r="T12" s="4" t="inlineStr">
        <is>
          <t>Não</t>
        </is>
      </c>
      <c r="U12" s="4" t="inlineStr">
        <is>
          <t>Sim</t>
        </is>
      </c>
      <c r="V12" s="4" t="inlineStr">
        <is>
          <t>Não</t>
        </is>
      </c>
      <c r="W12" s="4" t="inlineStr"/>
    </row>
    <row r="13">
      <c r="A13" s="4" t="inlineStr">
        <is>
          <t>XP Investimentos</t>
        </is>
      </c>
      <c r="B13" s="4" t="inlineStr">
        <is>
          <t>Ace Capital Prev Iq Xp Seg Fic Fim</t>
        </is>
      </c>
      <c r="C13" s="6" t="inlineStr">
        <is>
          <t>37.541.379/0001-57</t>
        </is>
      </c>
      <c r="D13" s="4" t="inlineStr">
        <is>
          <t>ACE CAPITAL GESTORA DE RECURSOS LTDA.</t>
        </is>
      </c>
      <c r="E13" s="4" t="inlineStr">
        <is>
          <t>33.411.393/0001-85</t>
        </is>
      </c>
      <c r="F13" s="4" t="inlineStr">
        <is>
          <t>Intrag DTVM</t>
        </is>
      </c>
      <c r="G13" s="4" t="inlineStr">
        <is>
          <t>Multimercado</t>
        </is>
      </c>
      <c r="H13" s="4" t="inlineStr">
        <is>
          <t>Macro Média Vol</t>
        </is>
      </c>
      <c r="I13" s="7" t="n">
        <v>100</v>
      </c>
      <c r="J13" s="8" t="n">
        <v>2</v>
      </c>
      <c r="K13" s="8" t="n"/>
      <c r="L13" s="4" t="inlineStr"/>
      <c r="M13" s="5" t="n">
        <v>6</v>
      </c>
      <c r="N13" s="5" t="n">
        <v>1</v>
      </c>
      <c r="O13" s="5" t="n"/>
      <c r="P13" s="4" t="inlineStr"/>
      <c r="Q13" s="4" t="inlineStr">
        <is>
          <t>Não</t>
        </is>
      </c>
      <c r="R13" s="4" t="inlineStr">
        <is>
          <t>Site (navegador)</t>
        </is>
      </c>
      <c r="S13" s="4" t="n">
        <v>1</v>
      </c>
      <c r="T13" s="4" t="inlineStr">
        <is>
          <t>Não</t>
        </is>
      </c>
      <c r="U13" s="4" t="inlineStr">
        <is>
          <t>Sim</t>
        </is>
      </c>
      <c r="V13" s="4" t="inlineStr">
        <is>
          <t>Não</t>
        </is>
      </c>
      <c r="W13" s="4" t="inlineStr"/>
    </row>
    <row r="14">
      <c r="A14" s="4" t="inlineStr">
        <is>
          <t>XP Investimentos</t>
        </is>
      </c>
      <c r="B14" s="4" t="inlineStr">
        <is>
          <t>Adam Xp Seg Prev I Fic Fim Rl</t>
        </is>
      </c>
      <c r="C14" s="6" t="inlineStr">
        <is>
          <t>30.998.045/0001-68</t>
        </is>
      </c>
      <c r="D14" s="4" t="inlineStr">
        <is>
          <t>XP VIDA E PREVIDÊNCIA S.A.</t>
        </is>
      </c>
      <c r="E14" s="4" t="inlineStr">
        <is>
          <t>29.408.732/0001-05</t>
        </is>
      </c>
      <c r="F14" s="4" t="inlineStr">
        <is>
          <t>XP Investimentos</t>
        </is>
      </c>
      <c r="G14" s="4" t="inlineStr">
        <is>
          <t>Multimercado</t>
        </is>
      </c>
      <c r="H14" s="4" t="inlineStr">
        <is>
          <t>Macro Alta Vol</t>
        </is>
      </c>
      <c r="I14" s="7" t="n">
        <v>100</v>
      </c>
      <c r="J14" s="8" t="n">
        <v>2</v>
      </c>
      <c r="K14" s="8" t="n"/>
      <c r="L14" s="4" t="inlineStr"/>
      <c r="M14" s="5" t="n">
        <v>0</v>
      </c>
      <c r="N14" s="5" t="n">
        <v>2</v>
      </c>
      <c r="O14" s="5" t="n"/>
      <c r="P14" s="4" t="inlineStr"/>
      <c r="Q14" s="4" t="inlineStr">
        <is>
          <t>Não</t>
        </is>
      </c>
      <c r="R14" s="4" t="inlineStr">
        <is>
          <t>Site (navegador)</t>
        </is>
      </c>
      <c r="S14" s="4" t="n">
        <v>1</v>
      </c>
      <c r="T14" s="4" t="inlineStr">
        <is>
          <t>Não</t>
        </is>
      </c>
      <c r="U14" s="4" t="inlineStr">
        <is>
          <t>Sim</t>
        </is>
      </c>
      <c r="V14" s="4" t="inlineStr">
        <is>
          <t>Não</t>
        </is>
      </c>
      <c r="W14" s="4" t="inlineStr"/>
    </row>
    <row r="15">
      <c r="A15" s="4" t="inlineStr">
        <is>
          <t>XP Investimentos</t>
        </is>
      </c>
      <c r="B15" s="4" t="inlineStr">
        <is>
          <t>Alaska Black 100 Advisory XP Seg Prev FIC FIM</t>
        </is>
      </c>
      <c r="C15" s="6" t="inlineStr">
        <is>
          <t>35.939.857/0001-56</t>
        </is>
      </c>
      <c r="D15" s="4" t="inlineStr">
        <is>
          <t>ALASKA INVESTIMENTOS LTDA.</t>
        </is>
      </c>
      <c r="E15" s="4" t="inlineStr">
        <is>
          <t>11.752.203/0001-50</t>
        </is>
      </c>
      <c r="F15" s="4" t="inlineStr">
        <is>
          <t>BNY Mellon DTVM</t>
        </is>
      </c>
      <c r="G15" s="4" t="inlineStr">
        <is>
          <t>Multimercado</t>
        </is>
      </c>
      <c r="H15" s="4" t="inlineStr">
        <is>
          <t>Renda Variável Long Only</t>
        </is>
      </c>
      <c r="I15" s="7" t="n">
        <v>100</v>
      </c>
      <c r="J15" s="8" t="n">
        <v>1.5</v>
      </c>
      <c r="K15" s="8" t="n"/>
      <c r="L15" s="4" t="inlineStr"/>
      <c r="M15" s="5" t="n">
        <v>6</v>
      </c>
      <c r="N15" s="5" t="n">
        <v>2</v>
      </c>
      <c r="O15" s="5" t="n"/>
      <c r="P15" s="4" t="inlineStr"/>
      <c r="Q15" s="4" t="inlineStr">
        <is>
          <t>Não</t>
        </is>
      </c>
      <c r="R15" s="4" t="inlineStr">
        <is>
          <t>Site (navegador)</t>
        </is>
      </c>
      <c r="S15" s="4" t="n">
        <v>1</v>
      </c>
      <c r="T15" s="4" t="inlineStr">
        <is>
          <t>Não</t>
        </is>
      </c>
      <c r="U15" s="4" t="inlineStr">
        <is>
          <t>Sim</t>
        </is>
      </c>
      <c r="V15" s="4" t="inlineStr">
        <is>
          <t>Não</t>
        </is>
      </c>
      <c r="W15" s="4" t="inlineStr"/>
    </row>
    <row r="16">
      <c r="A16" s="4" t="inlineStr">
        <is>
          <t>XP Investimentos</t>
        </is>
      </c>
      <c r="B16" s="4" t="inlineStr">
        <is>
          <t>Alaska Black 70 Advisory XP Seg Prev FIC FIM</t>
        </is>
      </c>
      <c r="C16" s="6" t="inlineStr">
        <is>
          <t>35.939.700/0001-20</t>
        </is>
      </c>
      <c r="D16" s="4" t="inlineStr">
        <is>
          <t>ALASKA INVESTIMENTOS LTDA.</t>
        </is>
      </c>
      <c r="E16" s="4" t="inlineStr">
        <is>
          <t>11.752.203/0001-50</t>
        </is>
      </c>
      <c r="F16" s="4" t="inlineStr">
        <is>
          <t>BNY Mellon DTVM</t>
        </is>
      </c>
      <c r="G16" s="4" t="inlineStr">
        <is>
          <t>Multimercado</t>
        </is>
      </c>
      <c r="H16" s="4" t="inlineStr">
        <is>
          <t>Renda Variável Long Only</t>
        </is>
      </c>
      <c r="I16" s="7" t="n">
        <v>100</v>
      </c>
      <c r="J16" s="8" t="n">
        <v>1.5</v>
      </c>
      <c r="K16" s="8" t="n"/>
      <c r="L16" s="4" t="inlineStr"/>
      <c r="M16" s="5" t="n">
        <v>6</v>
      </c>
      <c r="N16" s="5" t="n">
        <v>2</v>
      </c>
      <c r="O16" s="5" t="n"/>
      <c r="P16" s="4" t="inlineStr"/>
      <c r="Q16" s="4" t="inlineStr">
        <is>
          <t>Não</t>
        </is>
      </c>
      <c r="R16" s="4" t="inlineStr">
        <is>
          <t>Site (navegador)</t>
        </is>
      </c>
      <c r="S16" s="4" t="n">
        <v>1</v>
      </c>
      <c r="T16" s="4" t="inlineStr">
        <is>
          <t>Não</t>
        </is>
      </c>
      <c r="U16" s="4" t="inlineStr">
        <is>
          <t>Sim</t>
        </is>
      </c>
      <c r="V16" s="4" t="inlineStr">
        <is>
          <t>Não</t>
        </is>
      </c>
      <c r="W16" s="4" t="inlineStr"/>
    </row>
    <row r="17">
      <c r="A17" s="4" t="inlineStr">
        <is>
          <t>XP Investimentos</t>
        </is>
      </c>
      <c r="B17" s="4" t="inlineStr">
        <is>
          <t>Alpha Key Prev 100 Xp Seg Ficfia</t>
        </is>
      </c>
      <c r="C17" s="6" t="inlineStr">
        <is>
          <t>40.779.573/0001-80</t>
        </is>
      </c>
      <c r="D17" s="4" t="inlineStr">
        <is>
          <t>XP VIDA E PREVIDÊNCIA S.A.</t>
        </is>
      </c>
      <c r="E17" s="4" t="inlineStr">
        <is>
          <t>29.408.732/0001-05</t>
        </is>
      </c>
      <c r="F17" s="4" t="inlineStr">
        <is>
          <t>XPI Administradora</t>
        </is>
      </c>
      <c r="G17" s="4" t="inlineStr">
        <is>
          <t>Ações</t>
        </is>
      </c>
      <c r="H17" s="4" t="inlineStr">
        <is>
          <t>Renda Variável Long Biased</t>
        </is>
      </c>
      <c r="I17" s="7" t="n">
        <v>100</v>
      </c>
      <c r="J17" s="8" t="n">
        <v>2</v>
      </c>
      <c r="K17" s="8" t="n"/>
      <c r="L17" s="4" t="inlineStr"/>
      <c r="M17" s="5" t="n">
        <v>22</v>
      </c>
      <c r="N17" s="5" t="n">
        <v>2</v>
      </c>
      <c r="O17" s="5" t="n"/>
      <c r="P17" s="4" t="inlineStr"/>
      <c r="Q17" s="4" t="inlineStr">
        <is>
          <t>Não</t>
        </is>
      </c>
      <c r="R17" s="4" t="inlineStr">
        <is>
          <t>Site (navegador)</t>
        </is>
      </c>
      <c r="S17" s="4" t="n">
        <v>1</v>
      </c>
      <c r="T17" s="4" t="inlineStr">
        <is>
          <t>Não</t>
        </is>
      </c>
      <c r="U17" s="4" t="inlineStr">
        <is>
          <t>Sim</t>
        </is>
      </c>
      <c r="V17" s="4" t="inlineStr">
        <is>
          <t>Não</t>
        </is>
      </c>
      <c r="W17" s="4" t="inlineStr"/>
    </row>
    <row r="18">
      <c r="A18" s="4" t="inlineStr">
        <is>
          <t>XP Investimentos</t>
        </is>
      </c>
      <c r="B18" s="4" t="inlineStr">
        <is>
          <t>Apex Long Biased XP Seg Advisory Prev FIC FIM RL</t>
        </is>
      </c>
      <c r="C18" s="6" t="inlineStr">
        <is>
          <t>37.124.157/0001-39</t>
        </is>
      </c>
      <c r="D18" s="4" t="inlineStr">
        <is>
          <t>XP VIDA E PREVIDÊNCIA S.A.</t>
        </is>
      </c>
      <c r="E18" s="4" t="inlineStr">
        <is>
          <t>29.408.732/0001-05</t>
        </is>
      </c>
      <c r="F18" s="4" t="inlineStr">
        <is>
          <t>BNY Mellon DTVM</t>
        </is>
      </c>
      <c r="G18" s="4" t="inlineStr">
        <is>
          <t>Multimercado</t>
        </is>
      </c>
      <c r="H18" s="4" t="inlineStr">
        <is>
          <t>Renda Variável Long Biased</t>
        </is>
      </c>
      <c r="I18" s="7" t="n">
        <v>100</v>
      </c>
      <c r="J18" s="8" t="n">
        <v>2</v>
      </c>
      <c r="K18" s="8" t="n"/>
      <c r="L18" s="4" t="inlineStr"/>
      <c r="M18" s="5" t="n">
        <v>21</v>
      </c>
      <c r="N18" s="5" t="n">
        <v>2</v>
      </c>
      <c r="O18" s="5" t="n"/>
      <c r="P18" s="4" t="inlineStr"/>
      <c r="Q18" s="4" t="inlineStr">
        <is>
          <t>Não</t>
        </is>
      </c>
      <c r="R18" s="4" t="inlineStr">
        <is>
          <t>Site (navegador)</t>
        </is>
      </c>
      <c r="S18" s="4" t="n">
        <v>1</v>
      </c>
      <c r="T18" s="4" t="inlineStr">
        <is>
          <t>Não</t>
        </is>
      </c>
      <c r="U18" s="4" t="inlineStr">
        <is>
          <t>Sim</t>
        </is>
      </c>
      <c r="V18" s="4" t="inlineStr">
        <is>
          <t>Não</t>
        </is>
      </c>
      <c r="W18" s="4" t="inlineStr"/>
    </row>
    <row r="19">
      <c r="A19" s="4" t="inlineStr">
        <is>
          <t>XP Investimentos</t>
        </is>
      </c>
      <c r="B19" s="4" t="inlineStr">
        <is>
          <t>Arca Grão XP Seg Prev Advisory FIC FIM</t>
        </is>
      </c>
      <c r="C19" s="6" t="inlineStr">
        <is>
          <t>42.794.534/0001-87</t>
        </is>
      </c>
      <c r="D19" s="4" t="inlineStr">
        <is>
          <t>GRÃO GESTÃO DE RECURSOS LTDA.</t>
        </is>
      </c>
      <c r="E19" s="4" t="inlineStr">
        <is>
          <t>43.739.164/0001-48</t>
        </is>
      </c>
      <c r="F19" s="4" t="inlineStr">
        <is>
          <t>Santander DTVM</t>
        </is>
      </c>
      <c r="G19" s="4" t="inlineStr">
        <is>
          <t>Multimercado</t>
        </is>
      </c>
      <c r="H19" s="4" t="inlineStr">
        <is>
          <t>Multiestratégia</t>
        </is>
      </c>
      <c r="I19" s="7" t="n">
        <v>100</v>
      </c>
      <c r="J19" s="8" t="n">
        <v>0.59</v>
      </c>
      <c r="K19" s="8" t="n"/>
      <c r="L19" s="4" t="inlineStr"/>
      <c r="M19" s="5" t="n">
        <v>7</v>
      </c>
      <c r="N19" s="5" t="n">
        <v>2</v>
      </c>
      <c r="O19" s="5" t="n"/>
      <c r="P19" s="4" t="inlineStr"/>
      <c r="Q19" s="4" t="inlineStr">
        <is>
          <t>Não</t>
        </is>
      </c>
      <c r="R19" s="4" t="inlineStr">
        <is>
          <t>Site (navegador)</t>
        </is>
      </c>
      <c r="S19" s="4" t="n">
        <v>1</v>
      </c>
      <c r="T19" s="4" t="inlineStr">
        <is>
          <t>Não</t>
        </is>
      </c>
      <c r="U19" s="4" t="inlineStr">
        <is>
          <t>Sim</t>
        </is>
      </c>
      <c r="V19" s="4" t="inlineStr">
        <is>
          <t>Não</t>
        </is>
      </c>
      <c r="W19" s="4" t="inlineStr"/>
    </row>
    <row r="20">
      <c r="A20" s="4" t="inlineStr">
        <is>
          <t>XP Investimentos</t>
        </is>
      </c>
      <c r="B20" s="4" t="inlineStr">
        <is>
          <t>Arca Grão Xp Seguros Prev Fic Rf Cp Rl</t>
        </is>
      </c>
      <c r="C20" s="6" t="inlineStr">
        <is>
          <t>61.304.623/0001-42</t>
        </is>
      </c>
      <c r="D20" s="4" t="inlineStr">
        <is>
          <t>GRÃO GESTÃO DE RECURSOS LTDA.</t>
        </is>
      </c>
      <c r="E20" s="4" t="inlineStr">
        <is>
          <t>43.739.164/0001-48</t>
        </is>
      </c>
      <c r="F20" s="4" t="inlineStr">
        <is>
          <t>Santander DTVM</t>
        </is>
      </c>
      <c r="G20" s="4" t="inlineStr">
        <is>
          <t>Renda Fixa</t>
        </is>
      </c>
      <c r="H20" s="4" t="inlineStr">
        <is>
          <t>Crédito High Grade</t>
        </is>
      </c>
      <c r="I20" s="7" t="n">
        <v>100</v>
      </c>
      <c r="J20" s="8" t="n">
        <v>0.59</v>
      </c>
      <c r="K20" s="8" t="n"/>
      <c r="L20" s="4" t="inlineStr"/>
      <c r="M20" s="5" t="n">
        <v>7</v>
      </c>
      <c r="N20" s="5" t="n">
        <v>2</v>
      </c>
      <c r="O20" s="5" t="n"/>
      <c r="P20" s="4" t="inlineStr"/>
      <c r="Q20" s="4" t="inlineStr">
        <is>
          <t>Não</t>
        </is>
      </c>
      <c r="R20" s="4" t="inlineStr">
        <is>
          <t>Site (navegador)</t>
        </is>
      </c>
      <c r="S20" s="4" t="n">
        <v>1</v>
      </c>
      <c r="T20" s="4" t="inlineStr">
        <is>
          <t>Não</t>
        </is>
      </c>
      <c r="U20" s="4" t="inlineStr">
        <is>
          <t>Sim</t>
        </is>
      </c>
      <c r="V20" s="4" t="inlineStr">
        <is>
          <t>Não</t>
        </is>
      </c>
      <c r="W20" s="4" t="inlineStr"/>
    </row>
    <row r="21">
      <c r="A21" s="4" t="inlineStr">
        <is>
          <t>XP Investimentos</t>
        </is>
      </c>
      <c r="B21" s="4" t="inlineStr">
        <is>
          <t>Arx K2 XP Seg Prev Inflação Curta FIC FIM CP</t>
        </is>
      </c>
      <c r="C21" s="6" t="inlineStr">
        <is>
          <t>40.212.715/0001-22</t>
        </is>
      </c>
      <c r="D21" s="4" t="inlineStr">
        <is>
          <t>XP VIDA E PREVIDÊNCIA S.A.</t>
        </is>
      </c>
      <c r="E21" s="4" t="inlineStr">
        <is>
          <t>29.408.732/0001-05</t>
        </is>
      </c>
      <c r="F21" s="4" t="inlineStr">
        <is>
          <t>XPI Administradora</t>
        </is>
      </c>
      <c r="G21" s="4" t="inlineStr">
        <is>
          <t>Multimercado</t>
        </is>
      </c>
      <c r="H21" s="4" t="inlineStr">
        <is>
          <t>Renda Fixa Inflação</t>
        </is>
      </c>
      <c r="I21" s="7" t="n">
        <v>100</v>
      </c>
      <c r="J21" s="8" t="n">
        <v>1.1</v>
      </c>
      <c r="K21" s="8" t="n"/>
      <c r="L21" s="4" t="inlineStr"/>
      <c r="M21" s="5" t="n">
        <v>5</v>
      </c>
      <c r="N21" s="5" t="n">
        <v>2</v>
      </c>
      <c r="O21" s="5" t="n"/>
      <c r="P21" s="4" t="inlineStr"/>
      <c r="Q21" s="4" t="inlineStr">
        <is>
          <t>Não</t>
        </is>
      </c>
      <c r="R21" s="4" t="inlineStr">
        <is>
          <t>Site (navegador)</t>
        </is>
      </c>
      <c r="S21" s="4" t="n">
        <v>1</v>
      </c>
      <c r="T21" s="4" t="inlineStr">
        <is>
          <t>Não</t>
        </is>
      </c>
      <c r="U21" s="4" t="inlineStr">
        <is>
          <t>Sim</t>
        </is>
      </c>
      <c r="V21" s="4" t="inlineStr">
        <is>
          <t>Não</t>
        </is>
      </c>
      <c r="W21" s="4" t="inlineStr"/>
    </row>
    <row r="22">
      <c r="A22" s="4" t="inlineStr">
        <is>
          <t>XP Investimentos</t>
        </is>
      </c>
      <c r="B22" s="4" t="inlineStr">
        <is>
          <t>Asa Hedge Prev XP Seg FIC FIM RL</t>
        </is>
      </c>
      <c r="C22" s="6" t="inlineStr">
        <is>
          <t>45.645.218/0001-31</t>
        </is>
      </c>
      <c r="D22" s="4" t="inlineStr">
        <is>
          <t>XP VIDA E PREVIDÊNCIA S.A.</t>
        </is>
      </c>
      <c r="E22" s="4" t="inlineStr">
        <is>
          <t>29.408.732/0001-05</t>
        </is>
      </c>
      <c r="F22" s="4" t="inlineStr">
        <is>
          <t>XPI Administradora - Modal</t>
        </is>
      </c>
      <c r="G22" s="4" t="inlineStr">
        <is>
          <t>Multimercado</t>
        </is>
      </c>
      <c r="H22" s="4" t="inlineStr">
        <is>
          <t>Macro Alta Vol</t>
        </is>
      </c>
      <c r="I22" s="7" t="n">
        <v>100</v>
      </c>
      <c r="J22" s="8" t="n">
        <v>2</v>
      </c>
      <c r="K22" s="8" t="n"/>
      <c r="L22" s="4" t="inlineStr"/>
      <c r="M22" s="5" t="n">
        <v>3</v>
      </c>
      <c r="N22" s="5" t="n">
        <v>1</v>
      </c>
      <c r="O22" s="5" t="n"/>
      <c r="P22" s="4" t="inlineStr"/>
      <c r="Q22" s="4" t="inlineStr">
        <is>
          <t>Sim</t>
        </is>
      </c>
      <c r="R22" s="4" t="inlineStr">
        <is>
          <t>Site (navegador)</t>
        </is>
      </c>
      <c r="S22" s="4" t="n">
        <v>1</v>
      </c>
      <c r="T22" s="4" t="inlineStr">
        <is>
          <t>Não</t>
        </is>
      </c>
      <c r="U22" s="4" t="inlineStr">
        <is>
          <t>Sim</t>
        </is>
      </c>
      <c r="V22" s="4" t="inlineStr">
        <is>
          <t>Não</t>
        </is>
      </c>
      <c r="W22" s="4" t="inlineStr"/>
    </row>
    <row r="23">
      <c r="A23" s="4" t="inlineStr">
        <is>
          <t>XP Investimentos</t>
        </is>
      </c>
      <c r="B23" s="4" t="inlineStr">
        <is>
          <t>Atena Prev Xp Seg Fic Firf Cp</t>
        </is>
      </c>
      <c r="C23" s="6" t="inlineStr">
        <is>
          <t>51.188.983/0001-72</t>
        </is>
      </c>
      <c r="D23" s="4" t="inlineStr">
        <is>
          <t>ATENA CAPITAL GESTÃO DE RECURSOS LTDA.</t>
        </is>
      </c>
      <c r="E23" s="4" t="inlineStr">
        <is>
          <t>19.005.052/0001-89</t>
        </is>
      </c>
      <c r="F23" s="4" t="inlineStr">
        <is>
          <t>BTG Pactual DTVM</t>
        </is>
      </c>
      <c r="G23" s="4" t="inlineStr">
        <is>
          <t>Renda Fixa</t>
        </is>
      </c>
      <c r="H23" s="4" t="inlineStr">
        <is>
          <t>Crédito High Grade</t>
        </is>
      </c>
      <c r="I23" s="7" t="n">
        <v>100</v>
      </c>
      <c r="J23" s="8" t="n">
        <v>0.93</v>
      </c>
      <c r="K23" s="8" t="n"/>
      <c r="L23" s="4" t="inlineStr"/>
      <c r="M23" s="5" t="n">
        <v>7</v>
      </c>
      <c r="N23" s="5" t="n">
        <v>2</v>
      </c>
      <c r="O23" s="5" t="n"/>
      <c r="P23" s="4" t="inlineStr"/>
      <c r="Q23" s="4" t="inlineStr">
        <is>
          <t>Não</t>
        </is>
      </c>
      <c r="R23" s="4" t="inlineStr">
        <is>
          <t>Site (navegador)</t>
        </is>
      </c>
      <c r="S23" s="4" t="n">
        <v>1</v>
      </c>
      <c r="T23" s="4" t="inlineStr">
        <is>
          <t>Não</t>
        </is>
      </c>
      <c r="U23" s="4" t="inlineStr">
        <is>
          <t>Sim</t>
        </is>
      </c>
      <c r="V23" s="4" t="inlineStr">
        <is>
          <t>Não</t>
        </is>
      </c>
      <c r="W23" s="4" t="inlineStr"/>
    </row>
    <row r="24">
      <c r="A24" s="4" t="inlineStr">
        <is>
          <t>XP Investimentos</t>
        </is>
      </c>
      <c r="B24" s="4" t="inlineStr">
        <is>
          <t>Athena XP Seg Prev 100 FIE FIA</t>
        </is>
      </c>
      <c r="C24" s="6" t="inlineStr">
        <is>
          <t>35.956.270/0001-55</t>
        </is>
      </c>
      <c r="D24" s="4" t="inlineStr">
        <is>
          <t>SUL AMÉRICA INVESTIMENTOS GESTORA DE RECURSOS S.A.</t>
        </is>
      </c>
      <c r="E24" s="4" t="inlineStr">
        <is>
          <t>21.813.291/0001-07</t>
        </is>
      </c>
      <c r="F24" s="4" t="inlineStr">
        <is>
          <t>BNY Mellon DTVM</t>
        </is>
      </c>
      <c r="G24" s="4" t="inlineStr">
        <is>
          <t>Ações</t>
        </is>
      </c>
      <c r="H24" s="4" t="inlineStr">
        <is>
          <t>Renda Variável Long Only</t>
        </is>
      </c>
      <c r="I24" s="7" t="n">
        <v>100</v>
      </c>
      <c r="J24" s="8" t="n">
        <v>2</v>
      </c>
      <c r="K24" s="8" t="n"/>
      <c r="L24" s="4" t="inlineStr"/>
      <c r="M24" s="5" t="n">
        <v>22</v>
      </c>
      <c r="N24" s="5" t="n">
        <v>2</v>
      </c>
      <c r="O24" s="5" t="n"/>
      <c r="P24" s="4" t="inlineStr"/>
      <c r="Q24" s="4" t="inlineStr">
        <is>
          <t>Sim</t>
        </is>
      </c>
      <c r="R24" s="4" t="inlineStr">
        <is>
          <t>Site (navegador)</t>
        </is>
      </c>
      <c r="S24" s="4" t="n">
        <v>1</v>
      </c>
      <c r="T24" s="4" t="inlineStr">
        <is>
          <t>Não</t>
        </is>
      </c>
      <c r="U24" s="4" t="inlineStr">
        <is>
          <t>Sim</t>
        </is>
      </c>
      <c r="V24" s="4" t="inlineStr">
        <is>
          <t>Não</t>
        </is>
      </c>
      <c r="W24" s="4" t="inlineStr"/>
    </row>
    <row r="25">
      <c r="A25" s="4" t="inlineStr">
        <is>
          <t>XP Investimentos</t>
        </is>
      </c>
      <c r="B25" s="4" t="inlineStr">
        <is>
          <t>Augme Prev Ficfim Cp</t>
        </is>
      </c>
      <c r="C25" s="6" t="inlineStr">
        <is>
          <t>53.482.542/0001-04</t>
        </is>
      </c>
      <c r="D25" s="4" t="inlineStr">
        <is>
          <t>XP VIDA E PREVIDÊNCIA S.A.</t>
        </is>
      </c>
      <c r="E25" s="4" t="inlineStr">
        <is>
          <t>29.408.732/0001-05</t>
        </is>
      </c>
      <c r="F25" s="4" t="inlineStr">
        <is>
          <t>Santander DTVM</t>
        </is>
      </c>
      <c r="G25" s="4" t="inlineStr">
        <is>
          <t>Multimercado</t>
        </is>
      </c>
      <c r="H25" s="4" t="inlineStr">
        <is>
          <t>Crédito High Yield</t>
        </is>
      </c>
      <c r="I25" s="7" t="n">
        <v>100</v>
      </c>
      <c r="J25" s="8" t="n">
        <v>1</v>
      </c>
      <c r="K25" s="8" t="n"/>
      <c r="L25" s="4" t="inlineStr"/>
      <c r="M25" s="5" t="n">
        <v>29</v>
      </c>
      <c r="N25" s="5" t="n">
        <v>1</v>
      </c>
      <c r="O25" s="5" t="n"/>
      <c r="P25" s="4" t="inlineStr"/>
      <c r="Q25" s="4" t="inlineStr">
        <is>
          <t>Não</t>
        </is>
      </c>
      <c r="R25" s="4" t="inlineStr">
        <is>
          <t>Site (navegador)</t>
        </is>
      </c>
      <c r="S25" s="4" t="n">
        <v>1</v>
      </c>
      <c r="T25" s="4" t="inlineStr">
        <is>
          <t>Não</t>
        </is>
      </c>
      <c r="U25" s="4" t="inlineStr">
        <is>
          <t>Sim</t>
        </is>
      </c>
      <c r="V25" s="4" t="inlineStr">
        <is>
          <t>Não</t>
        </is>
      </c>
      <c r="W25" s="4" t="inlineStr"/>
    </row>
    <row r="26">
      <c r="A26" s="4" t="inlineStr">
        <is>
          <t>XP Investimentos</t>
        </is>
      </c>
      <c r="B26" s="4" t="inlineStr">
        <is>
          <t>Augme Xp Seg Prev Hy Fif Multimercado Cp Rl</t>
        </is>
      </c>
      <c r="C26" s="6" t="inlineStr">
        <is>
          <t>60.749.195/0001-07</t>
        </is>
      </c>
      <c r="D26" s="4" t="inlineStr">
        <is>
          <t>AUGME CAPITAL GESTÃO DE RECURSOS LTDA.</t>
        </is>
      </c>
      <c r="E26" s="4" t="inlineStr">
        <is>
          <t>23.360.896/0001-15</t>
        </is>
      </c>
      <c r="F26" s="4" t="inlineStr">
        <is>
          <t>Santander DTVM</t>
        </is>
      </c>
      <c r="G26" s="4" t="inlineStr">
        <is>
          <t>Multimercado</t>
        </is>
      </c>
      <c r="H26" s="4" t="inlineStr">
        <is>
          <t>Crédito High Yield</t>
        </is>
      </c>
      <c r="I26" s="7" t="n">
        <v>100</v>
      </c>
      <c r="J26" s="8" t="n">
        <v>1.5</v>
      </c>
      <c r="K26" s="8" t="n"/>
      <c r="L26" s="4" t="inlineStr"/>
      <c r="M26" s="5" t="n">
        <v>130</v>
      </c>
      <c r="N26" s="5" t="n">
        <v>1</v>
      </c>
      <c r="O26" s="5" t="n"/>
      <c r="P26" s="4" t="inlineStr"/>
      <c r="Q26" s="4" t="inlineStr">
        <is>
          <t>Não</t>
        </is>
      </c>
      <c r="R26" s="4" t="inlineStr">
        <is>
          <t>Site (navegador)</t>
        </is>
      </c>
      <c r="S26" s="4" t="n">
        <v>1</v>
      </c>
      <c r="T26" s="4" t="inlineStr">
        <is>
          <t>Não</t>
        </is>
      </c>
      <c r="U26" s="4" t="inlineStr">
        <is>
          <t>Sim</t>
        </is>
      </c>
      <c r="V26" s="4" t="inlineStr">
        <is>
          <t>Não</t>
        </is>
      </c>
      <c r="W26" s="4" t="inlineStr"/>
    </row>
    <row r="27">
      <c r="A27" s="4" t="inlineStr">
        <is>
          <t>XP Investimentos</t>
        </is>
      </c>
      <c r="B27" s="4" t="inlineStr">
        <is>
          <t>Az Quest Altro Prev XP Seg FIC FIM CP</t>
        </is>
      </c>
      <c r="C27" s="6" t="inlineStr">
        <is>
          <t>45.298.150/0001-61</t>
        </is>
      </c>
      <c r="D27" s="4" t="inlineStr">
        <is>
          <t>XP VIDA E PREVIDÊNCIA S.A.</t>
        </is>
      </c>
      <c r="E27" s="4" t="inlineStr">
        <is>
          <t>29.408.732/0001-05</t>
        </is>
      </c>
      <c r="F27" s="4" t="inlineStr">
        <is>
          <t>XPI Administradora - Modal</t>
        </is>
      </c>
      <c r="G27" s="4" t="inlineStr">
        <is>
          <t>Multimercado</t>
        </is>
      </c>
      <c r="H27" s="4" t="inlineStr">
        <is>
          <t>Crédito High Grade</t>
        </is>
      </c>
      <c r="I27" s="7" t="n">
        <v>100</v>
      </c>
      <c r="J27" s="8" t="n">
        <v>1.15</v>
      </c>
      <c r="K27" s="8" t="n"/>
      <c r="L27" s="4" t="inlineStr"/>
      <c r="M27" s="5" t="n">
        <v>20</v>
      </c>
      <c r="N27" s="5" t="n">
        <v>1</v>
      </c>
      <c r="O27" s="5" t="n"/>
      <c r="P27" s="4" t="inlineStr"/>
      <c r="Q27" s="4" t="inlineStr">
        <is>
          <t>Não</t>
        </is>
      </c>
      <c r="R27" s="4" t="inlineStr">
        <is>
          <t>Site (navegador)</t>
        </is>
      </c>
      <c r="S27" s="4" t="n">
        <v>1</v>
      </c>
      <c r="T27" s="4" t="inlineStr">
        <is>
          <t>Não</t>
        </is>
      </c>
      <c r="U27" s="4" t="inlineStr">
        <is>
          <t>Sim</t>
        </is>
      </c>
      <c r="V27" s="4" t="inlineStr">
        <is>
          <t>Não</t>
        </is>
      </c>
      <c r="W27" s="4" t="inlineStr"/>
    </row>
    <row r="28">
      <c r="A28" s="4" t="inlineStr">
        <is>
          <t>XP Investimentos</t>
        </is>
      </c>
      <c r="B28" s="4" t="inlineStr">
        <is>
          <t>Az Quest Small Mid Caps XP Seg Prev FIE FIC FIA RL</t>
        </is>
      </c>
      <c r="C28" s="6" t="inlineStr">
        <is>
          <t>43.779.069/0001-78</t>
        </is>
      </c>
      <c r="D28" s="4" t="inlineStr">
        <is>
          <t>XP VIDA E PREVIDÊNCIA S.A.</t>
        </is>
      </c>
      <c r="E28" s="4" t="inlineStr">
        <is>
          <t>29.408.732/0001-05</t>
        </is>
      </c>
      <c r="F28" s="4" t="inlineStr">
        <is>
          <t>XPI Administradora - Modal</t>
        </is>
      </c>
      <c r="G28" s="4" t="inlineStr">
        <is>
          <t>Ações</t>
        </is>
      </c>
      <c r="H28" s="4" t="inlineStr">
        <is>
          <t>Renda Variável Small/Mid Caps</t>
        </is>
      </c>
      <c r="I28" s="7" t="n">
        <v>100</v>
      </c>
      <c r="J28" s="8" t="n">
        <v>2</v>
      </c>
      <c r="K28" s="8" t="n"/>
      <c r="L28" s="4" t="inlineStr"/>
      <c r="M28" s="5" t="n">
        <v>22</v>
      </c>
      <c r="N28" s="5" t="n">
        <v>2</v>
      </c>
      <c r="O28" s="5" t="n"/>
      <c r="P28" s="4" t="inlineStr"/>
      <c r="Q28" s="4" t="inlineStr">
        <is>
          <t>Não</t>
        </is>
      </c>
      <c r="R28" s="4" t="inlineStr">
        <is>
          <t>Site (navegador)</t>
        </is>
      </c>
      <c r="S28" s="4" t="n">
        <v>1</v>
      </c>
      <c r="T28" s="4" t="inlineStr">
        <is>
          <t>Não</t>
        </is>
      </c>
      <c r="U28" s="4" t="inlineStr">
        <is>
          <t>Sim</t>
        </is>
      </c>
      <c r="V28" s="4" t="inlineStr">
        <is>
          <t>Não</t>
        </is>
      </c>
      <c r="W28" s="4" t="inlineStr"/>
    </row>
    <row r="29">
      <c r="A29" s="4" t="inlineStr">
        <is>
          <t>XP Investimentos</t>
        </is>
      </c>
      <c r="B29" s="4" t="inlineStr">
        <is>
          <t>Az Quest XP Seg Multi Max Prev Quali FIC FIM</t>
        </is>
      </c>
      <c r="C29" s="6" t="inlineStr">
        <is>
          <t>40.799.759/0001-09</t>
        </is>
      </c>
      <c r="D29" s="4" t="inlineStr">
        <is>
          <t>XP VIDA E PREVIDÊNCIA S.A.</t>
        </is>
      </c>
      <c r="E29" s="4" t="inlineStr">
        <is>
          <t>29.408.732/0001-05</t>
        </is>
      </c>
      <c r="F29" s="4" t="inlineStr">
        <is>
          <t>XPI Administradora - Modal</t>
        </is>
      </c>
      <c r="G29" s="4" t="inlineStr">
        <is>
          <t>Multimercado</t>
        </is>
      </c>
      <c r="H29" s="4" t="inlineStr">
        <is>
          <t>Macro Alta Vol</t>
        </is>
      </c>
      <c r="I29" s="7" t="n">
        <v>100</v>
      </c>
      <c r="J29" s="8" t="n">
        <v>2</v>
      </c>
      <c r="K29" s="8" t="n"/>
      <c r="L29" s="4" t="inlineStr"/>
      <c r="M29" s="5" t="n">
        <v>22</v>
      </c>
      <c r="N29" s="5" t="n">
        <v>1</v>
      </c>
      <c r="O29" s="5" t="n"/>
      <c r="P29" s="4" t="inlineStr"/>
      <c r="Q29" s="4" t="inlineStr">
        <is>
          <t>Não</t>
        </is>
      </c>
      <c r="R29" s="4" t="inlineStr">
        <is>
          <t>Site (navegador)</t>
        </is>
      </c>
      <c r="S29" s="4" t="n">
        <v>1</v>
      </c>
      <c r="T29" s="4" t="inlineStr">
        <is>
          <t>Não</t>
        </is>
      </c>
      <c r="U29" s="4" t="inlineStr">
        <is>
          <t>Sim</t>
        </is>
      </c>
      <c r="V29" s="4" t="inlineStr">
        <is>
          <t>Não</t>
        </is>
      </c>
      <c r="W29" s="4" t="inlineStr"/>
    </row>
    <row r="30">
      <c r="A30" s="4" t="inlineStr">
        <is>
          <t>XP Investimentos</t>
        </is>
      </c>
      <c r="B30" s="4" t="inlineStr">
        <is>
          <t>Bahia Am Rf Ativo Prev Xp Seg Fic Fim</t>
        </is>
      </c>
      <c r="C30" s="6" t="inlineStr">
        <is>
          <t>45.645.241/0001-26</t>
        </is>
      </c>
      <c r="D30" s="4" t="inlineStr">
        <is>
          <t>XP VIDA E PREVIDÊNCIA S.A.</t>
        </is>
      </c>
      <c r="E30" s="4" t="inlineStr">
        <is>
          <t>29.408.732/0001-05</t>
        </is>
      </c>
      <c r="F30" s="4" t="inlineStr">
        <is>
          <t>XPI Administradora - Modal</t>
        </is>
      </c>
      <c r="G30" s="4" t="inlineStr">
        <is>
          <t>Multimercado</t>
        </is>
      </c>
      <c r="H30" s="4" t="inlineStr">
        <is>
          <t>Renda Fixa Ativo</t>
        </is>
      </c>
      <c r="I30" s="7" t="n">
        <v>100</v>
      </c>
      <c r="J30" s="8" t="n">
        <v>0.9</v>
      </c>
      <c r="K30" s="8" t="n"/>
      <c r="L30" s="4" t="inlineStr"/>
      <c r="M30" s="5" t="n">
        <v>0</v>
      </c>
      <c r="N30" s="5" t="n">
        <v>1</v>
      </c>
      <c r="O30" s="5" t="n"/>
      <c r="P30" s="4" t="inlineStr"/>
      <c r="Q30" s="4" t="inlineStr">
        <is>
          <t>Não</t>
        </is>
      </c>
      <c r="R30" s="4" t="inlineStr">
        <is>
          <t>Site (navegador)</t>
        </is>
      </c>
      <c r="S30" s="4" t="n">
        <v>1</v>
      </c>
      <c r="T30" s="4" t="inlineStr">
        <is>
          <t>Não</t>
        </is>
      </c>
      <c r="U30" s="4" t="inlineStr">
        <is>
          <t>Sim</t>
        </is>
      </c>
      <c r="V30" s="4" t="inlineStr">
        <is>
          <t>Não</t>
        </is>
      </c>
      <c r="W30" s="4" t="inlineStr"/>
    </row>
    <row r="31">
      <c r="A31" s="4" t="inlineStr">
        <is>
          <t>XP Investimentos</t>
        </is>
      </c>
      <c r="B31" s="4" t="inlineStr">
        <is>
          <t>Bnp Paribas Match Plus Xp Seguros Ficfirf Cp</t>
        </is>
      </c>
      <c r="C31" s="6" t="inlineStr">
        <is>
          <t>51.673.830/0001-10</t>
        </is>
      </c>
      <c r="D31" s="4" t="inlineStr">
        <is>
          <t>XP VIDA E PREVIDÊNCIA S.A.</t>
        </is>
      </c>
      <c r="E31" s="4" t="inlineStr">
        <is>
          <t>29.408.732/0001-05</t>
        </is>
      </c>
      <c r="F31" s="4" t="inlineStr">
        <is>
          <t>XP Investimentos</t>
        </is>
      </c>
      <c r="G31" s="4" t="inlineStr">
        <is>
          <t>Renda Fixa</t>
        </is>
      </c>
      <c r="H31" s="4" t="inlineStr">
        <is>
          <t>Crédito High Grade</t>
        </is>
      </c>
      <c r="I31" s="7" t="n">
        <v>100</v>
      </c>
      <c r="J31" s="8" t="n">
        <v>1</v>
      </c>
      <c r="K31" s="8" t="n"/>
      <c r="L31" s="4" t="inlineStr"/>
      <c r="M31" s="5" t="n">
        <v>8</v>
      </c>
      <c r="N31" s="5" t="n">
        <v>1</v>
      </c>
      <c r="O31" s="5" t="n"/>
      <c r="P31" s="4" t="inlineStr"/>
      <c r="Q31" s="4" t="inlineStr">
        <is>
          <t>Não</t>
        </is>
      </c>
      <c r="R31" s="4" t="inlineStr">
        <is>
          <t>Site (navegador)</t>
        </is>
      </c>
      <c r="S31" s="4" t="n">
        <v>1</v>
      </c>
      <c r="T31" s="4" t="inlineStr">
        <is>
          <t>Não</t>
        </is>
      </c>
      <c r="U31" s="4" t="inlineStr">
        <is>
          <t>Sim</t>
        </is>
      </c>
      <c r="V31" s="4" t="inlineStr">
        <is>
          <t>Não</t>
        </is>
      </c>
      <c r="W31" s="4" t="inlineStr"/>
    </row>
    <row r="32">
      <c r="A32" s="4" t="inlineStr">
        <is>
          <t>XP Investimentos</t>
        </is>
      </c>
      <c r="B32" s="4" t="inlineStr">
        <is>
          <t>Bradesco Ultra Xp Seg Prev Ficfirf</t>
        </is>
      </c>
      <c r="C32" s="6" t="inlineStr">
        <is>
          <t>52.986.170/0001-90</t>
        </is>
      </c>
      <c r="D32" s="4" t="inlineStr">
        <is>
          <t>XP VIDA E PREVIDÊNCIA S.A.</t>
        </is>
      </c>
      <c r="E32" s="4" t="inlineStr">
        <is>
          <t>29.408.732/0001-05</t>
        </is>
      </c>
      <c r="F32" s="4" t="inlineStr">
        <is>
          <t>XPI Administradora - Modal</t>
        </is>
      </c>
      <c r="G32" s="4" t="inlineStr">
        <is>
          <t>Renda Fixa</t>
        </is>
      </c>
      <c r="H32" s="4" t="inlineStr">
        <is>
          <t>Crédito High Grade</t>
        </is>
      </c>
      <c r="I32" s="7" t="n">
        <v>100</v>
      </c>
      <c r="J32" s="8" t="n">
        <v>0.7</v>
      </c>
      <c r="K32" s="8" t="n"/>
      <c r="L32" s="4" t="inlineStr"/>
      <c r="M32" s="5" t="n">
        <v>5</v>
      </c>
      <c r="N32" s="5" t="n">
        <v>1</v>
      </c>
      <c r="O32" s="5" t="n"/>
      <c r="P32" s="4" t="inlineStr"/>
      <c r="Q32" s="4" t="inlineStr">
        <is>
          <t>Não</t>
        </is>
      </c>
      <c r="R32" s="4" t="inlineStr">
        <is>
          <t>Site (navegador)</t>
        </is>
      </c>
      <c r="S32" s="4" t="n">
        <v>1</v>
      </c>
      <c r="T32" s="4" t="inlineStr">
        <is>
          <t>Não</t>
        </is>
      </c>
      <c r="U32" s="4" t="inlineStr">
        <is>
          <t>Sim</t>
        </is>
      </c>
      <c r="V32" s="4" t="inlineStr">
        <is>
          <t>Não</t>
        </is>
      </c>
      <c r="W32" s="4" t="inlineStr"/>
    </row>
    <row r="33">
      <c r="A33" s="4" t="inlineStr">
        <is>
          <t>XP Investimentos</t>
        </is>
      </c>
      <c r="B33" s="4" t="inlineStr">
        <is>
          <t>Brasil Capital 100 XP Seg Advisory FIC FIA RL</t>
        </is>
      </c>
      <c r="C33" s="6" t="inlineStr">
        <is>
          <t>34.187.279/0001-86</t>
        </is>
      </c>
      <c r="D33" s="4" t="inlineStr">
        <is>
          <t>XP VIDA E PREVIDÊNCIA S.A.</t>
        </is>
      </c>
      <c r="E33" s="4" t="inlineStr">
        <is>
          <t>29.408.732/0001-05</t>
        </is>
      </c>
      <c r="F33" s="4" t="inlineStr">
        <is>
          <t>BNY Mellon DTVM</t>
        </is>
      </c>
      <c r="G33" s="4" t="inlineStr">
        <is>
          <t>Ações</t>
        </is>
      </c>
      <c r="H33" s="4" t="inlineStr">
        <is>
          <t>Renda Variável Long Only</t>
        </is>
      </c>
      <c r="I33" s="7" t="n">
        <v>100</v>
      </c>
      <c r="J33" s="8" t="n">
        <v>2</v>
      </c>
      <c r="K33" s="8" t="n"/>
      <c r="L33" s="4" t="inlineStr"/>
      <c r="M33" s="5" t="n">
        <v>22</v>
      </c>
      <c r="N33" s="5" t="n">
        <v>2</v>
      </c>
      <c r="O33" s="5" t="n"/>
      <c r="P33" s="4" t="inlineStr"/>
      <c r="Q33" s="4" t="inlineStr">
        <is>
          <t>Não</t>
        </is>
      </c>
      <c r="R33" s="4" t="inlineStr">
        <is>
          <t>Site (navegador)</t>
        </is>
      </c>
      <c r="S33" s="4" t="n">
        <v>1</v>
      </c>
      <c r="T33" s="4" t="inlineStr">
        <is>
          <t>Não</t>
        </is>
      </c>
      <c r="U33" s="4" t="inlineStr">
        <is>
          <t>Sim</t>
        </is>
      </c>
      <c r="V33" s="4" t="inlineStr">
        <is>
          <t>Não</t>
        </is>
      </c>
      <c r="W33" s="4" t="inlineStr"/>
    </row>
    <row r="34">
      <c r="A34" s="4" t="inlineStr">
        <is>
          <t>XP Investimentos</t>
        </is>
      </c>
      <c r="B34" s="4" t="inlineStr">
        <is>
          <t>Brasil Capital 70 XP Seg Advisory Prev FIM RL</t>
        </is>
      </c>
      <c r="C34" s="6" t="inlineStr">
        <is>
          <t>32.892.517/0001-29</t>
        </is>
      </c>
      <c r="D34" s="4" t="inlineStr">
        <is>
          <t>BC GESTÃO DE RECURSOS LTDA</t>
        </is>
      </c>
      <c r="E34" s="4" t="inlineStr">
        <is>
          <t>08.752.088/0001-00</t>
        </is>
      </c>
      <c r="F34" s="4" t="inlineStr">
        <is>
          <t>BNY Mellon DTVM</t>
        </is>
      </c>
      <c r="G34" s="4" t="inlineStr">
        <is>
          <t>Multimercado</t>
        </is>
      </c>
      <c r="H34" s="4" t="inlineStr">
        <is>
          <t>Renda Variável Long Only</t>
        </is>
      </c>
      <c r="I34" s="7" t="n">
        <v>100</v>
      </c>
      <c r="J34" s="8" t="n">
        <v>1.6</v>
      </c>
      <c r="K34" s="8" t="n"/>
      <c r="L34" s="4" t="inlineStr"/>
      <c r="M34" s="5" t="n">
        <v>6</v>
      </c>
      <c r="N34" s="5" t="n">
        <v>3</v>
      </c>
      <c r="O34" s="5" t="n"/>
      <c r="P34" s="4" t="inlineStr"/>
      <c r="Q34" s="4" t="inlineStr">
        <is>
          <t>Não</t>
        </is>
      </c>
      <c r="R34" s="4" t="inlineStr">
        <is>
          <t>Site (navegador)</t>
        </is>
      </c>
      <c r="S34" s="4" t="n">
        <v>1</v>
      </c>
      <c r="T34" s="4" t="inlineStr">
        <is>
          <t>Não</t>
        </is>
      </c>
      <c r="U34" s="4" t="inlineStr">
        <is>
          <t>Sim</t>
        </is>
      </c>
      <c r="V34" s="4" t="inlineStr">
        <is>
          <t>Não</t>
        </is>
      </c>
      <c r="W34" s="4" t="inlineStr"/>
    </row>
    <row r="35">
      <c r="A35" s="4" t="inlineStr">
        <is>
          <t>XP Investimentos</t>
        </is>
      </c>
      <c r="B35" s="4" t="inlineStr">
        <is>
          <t>Brave Prev XP Seguros FIC FIRF CP RL</t>
        </is>
      </c>
      <c r="C35" s="6" t="inlineStr">
        <is>
          <t>51.675.926/0001-18</t>
        </is>
      </c>
      <c r="D35" s="4" t="inlineStr">
        <is>
          <t>BRAVE GESTORA DE RECURSOS LTDA.</t>
        </is>
      </c>
      <c r="E35" s="4" t="inlineStr">
        <is>
          <t>35.704.148/0001-91</t>
        </is>
      </c>
      <c r="F35" s="4" t="inlineStr">
        <is>
          <t>XP Investimentos</t>
        </is>
      </c>
      <c r="G35" s="4" t="inlineStr">
        <is>
          <t>Renda Fixa</t>
        </is>
      </c>
      <c r="H35" s="4" t="inlineStr">
        <is>
          <t>Crédito High Grade</t>
        </is>
      </c>
      <c r="I35" s="7" t="n">
        <v>100</v>
      </c>
      <c r="J35" s="8" t="n">
        <v>0.8</v>
      </c>
      <c r="K35" s="8" t="n"/>
      <c r="L35" s="4" t="inlineStr"/>
      <c r="M35" s="5" t="n">
        <v>20</v>
      </c>
      <c r="N35" s="5" t="n">
        <v>1</v>
      </c>
      <c r="O35" s="5" t="n"/>
      <c r="P35" s="4" t="inlineStr"/>
      <c r="Q35" s="4" t="inlineStr">
        <is>
          <t>Não</t>
        </is>
      </c>
      <c r="R35" s="4" t="inlineStr">
        <is>
          <t>Site (navegador)</t>
        </is>
      </c>
      <c r="S35" s="4" t="n">
        <v>1</v>
      </c>
      <c r="T35" s="4" t="inlineStr">
        <is>
          <t>Não</t>
        </is>
      </c>
      <c r="U35" s="4" t="inlineStr">
        <is>
          <t>Sim</t>
        </is>
      </c>
      <c r="V35" s="4" t="inlineStr">
        <is>
          <t>Não</t>
        </is>
      </c>
      <c r="W35" s="4" t="inlineStr"/>
    </row>
    <row r="36">
      <c r="A36" s="4" t="inlineStr">
        <is>
          <t>XP Investimentos</t>
        </is>
      </c>
      <c r="B36" s="4" t="inlineStr">
        <is>
          <t>Capitânia Prev Advisory Xp Seg Ficfirf Cp Rl</t>
        </is>
      </c>
      <c r="C36" s="6" t="inlineStr">
        <is>
          <t>32.319.658/0001-57</t>
        </is>
      </c>
      <c r="D36" s="4" t="inlineStr">
        <is>
          <t>XP VIDA E PREVIDÊNCIA S.A.</t>
        </is>
      </c>
      <c r="E36" s="4" t="inlineStr">
        <is>
          <t>29.408.732/0001-05</t>
        </is>
      </c>
      <c r="F36" s="4" t="inlineStr">
        <is>
          <t>XPI Administradora - Modal</t>
        </is>
      </c>
      <c r="G36" s="4" t="inlineStr">
        <is>
          <t>Renda Fixa</t>
        </is>
      </c>
      <c r="H36" s="4" t="inlineStr">
        <is>
          <t>Crédito High Grade</t>
        </is>
      </c>
      <c r="I36" s="7" t="n">
        <v>100</v>
      </c>
      <c r="J36" s="8" t="n">
        <v>1.25</v>
      </c>
      <c r="K36" s="8" t="n"/>
      <c r="L36" s="4" t="inlineStr"/>
      <c r="M36" s="5" t="n">
        <v>5</v>
      </c>
      <c r="N36" s="5" t="n">
        <v>1</v>
      </c>
      <c r="O36" s="5" t="n"/>
      <c r="P36" s="4" t="inlineStr"/>
      <c r="Q36" s="4" t="inlineStr">
        <is>
          <t>Não</t>
        </is>
      </c>
      <c r="R36" s="4" t="inlineStr">
        <is>
          <t>Site (navegador)</t>
        </is>
      </c>
      <c r="S36" s="4" t="n">
        <v>1</v>
      </c>
      <c r="T36" s="4" t="inlineStr">
        <is>
          <t>Não</t>
        </is>
      </c>
      <c r="U36" s="4" t="inlineStr">
        <is>
          <t>Sim</t>
        </is>
      </c>
      <c r="V36" s="4" t="inlineStr">
        <is>
          <t>Não</t>
        </is>
      </c>
      <c r="W36" s="4" t="inlineStr"/>
    </row>
    <row r="37">
      <c r="A37" s="4" t="inlineStr">
        <is>
          <t>XP Investimentos</t>
        </is>
      </c>
      <c r="B37" s="4" t="inlineStr">
        <is>
          <t>Capitânia Prev Inflação D30 XP Seg Advisory FIC FIRF CP</t>
        </is>
      </c>
      <c r="C37" s="6" t="inlineStr">
        <is>
          <t>43.779.018/0001-46</t>
        </is>
      </c>
      <c r="D37" s="4" t="inlineStr">
        <is>
          <t>XP VIDA E PREVIDÊNCIA S.A.</t>
        </is>
      </c>
      <c r="E37" s="4" t="inlineStr">
        <is>
          <t>29.408.732/0001-05</t>
        </is>
      </c>
      <c r="F37" s="4" t="inlineStr">
        <is>
          <t>XPI Administradora - Modal</t>
        </is>
      </c>
      <c r="G37" s="4" t="inlineStr">
        <is>
          <t>Renda Fixa</t>
        </is>
      </c>
      <c r="H37" s="4" t="inlineStr">
        <is>
          <t>Debêntures Incentivadas Não Hedgeado</t>
        </is>
      </c>
      <c r="I37" s="7" t="n">
        <v>100</v>
      </c>
      <c r="J37" s="8" t="n">
        <v>1.25</v>
      </c>
      <c r="K37" s="8" t="n"/>
      <c r="L37" s="4" t="inlineStr"/>
      <c r="M37" s="5" t="n">
        <v>20</v>
      </c>
      <c r="N37" s="5" t="n">
        <v>1</v>
      </c>
      <c r="O37" s="5" t="n"/>
      <c r="P37" s="4" t="inlineStr"/>
      <c r="Q37" s="4" t="inlineStr">
        <is>
          <t>Não</t>
        </is>
      </c>
      <c r="R37" s="4" t="inlineStr">
        <is>
          <t>Site (navegador)</t>
        </is>
      </c>
      <c r="S37" s="4" t="n">
        <v>1</v>
      </c>
      <c r="T37" s="4" t="inlineStr">
        <is>
          <t>Não</t>
        </is>
      </c>
      <c r="U37" s="4" t="inlineStr">
        <is>
          <t>Sim</t>
        </is>
      </c>
      <c r="V37" s="4" t="inlineStr">
        <is>
          <t>Não</t>
        </is>
      </c>
      <c r="W37" s="4" t="inlineStr"/>
    </row>
    <row r="38">
      <c r="A38" s="4" t="inlineStr">
        <is>
          <t>XP Investimentos</t>
        </is>
      </c>
      <c r="B38" s="4" t="inlineStr">
        <is>
          <t>Capitânia Previdence Xp Seg Fif Rf Cp Rl</t>
        </is>
      </c>
      <c r="C38" s="6" t="inlineStr">
        <is>
          <t>61.725.196/0001-76</t>
        </is>
      </c>
      <c r="D38" s="4" t="inlineStr">
        <is>
          <t>CAPITANIA PREV S.A.</t>
        </is>
      </c>
      <c r="E38" s="4" t="inlineStr">
        <is>
          <t>41.777.833/0001-40</t>
        </is>
      </c>
      <c r="F38" s="4" t="inlineStr">
        <is>
          <t>BNY Mellon DTVM</t>
        </is>
      </c>
      <c r="G38" s="4" t="inlineStr">
        <is>
          <t>Renda Fixa</t>
        </is>
      </c>
      <c r="H38" s="4" t="inlineStr">
        <is>
          <t>Crédito High Yield</t>
        </is>
      </c>
      <c r="I38" s="7" t="n">
        <v>100</v>
      </c>
      <c r="J38" s="8" t="n">
        <v>1.25</v>
      </c>
      <c r="K38" s="8" t="n"/>
      <c r="L38" s="4" t="inlineStr"/>
      <c r="M38" s="5" t="n">
        <v>1</v>
      </c>
      <c r="N38" s="5" t="n">
        <v>3</v>
      </c>
      <c r="O38" s="5" t="n"/>
      <c r="P38" s="4" t="inlineStr"/>
      <c r="Q38" s="4" t="inlineStr">
        <is>
          <t>Não</t>
        </is>
      </c>
      <c r="R38" s="4" t="inlineStr">
        <is>
          <t>Site (navegador)</t>
        </is>
      </c>
      <c r="S38" s="4" t="n">
        <v>1</v>
      </c>
      <c r="T38" s="4" t="inlineStr">
        <is>
          <t>Não</t>
        </is>
      </c>
      <c r="U38" s="4" t="inlineStr">
        <is>
          <t>Sim</t>
        </is>
      </c>
      <c r="V38" s="4" t="inlineStr">
        <is>
          <t>Não</t>
        </is>
      </c>
      <c r="W38" s="4" t="inlineStr"/>
    </row>
    <row r="39">
      <c r="A39" s="4" t="inlineStr">
        <is>
          <t>XP Investimentos</t>
        </is>
      </c>
      <c r="B39" s="4" t="inlineStr">
        <is>
          <t>Capitânia Reit Prev Adv XP Seg FIE I FIC FIM CP</t>
        </is>
      </c>
      <c r="C39" s="6" t="inlineStr">
        <is>
          <t>35.955.948/0001-85</t>
        </is>
      </c>
      <c r="D39" s="4" t="inlineStr">
        <is>
          <t>CAPITANIA PREV S.A.</t>
        </is>
      </c>
      <c r="E39" s="4" t="inlineStr">
        <is>
          <t>41.777.833/0001-40</t>
        </is>
      </c>
      <c r="F39" s="4" t="inlineStr">
        <is>
          <t>BNY Mellon DTVM</t>
        </is>
      </c>
      <c r="G39" s="4" t="inlineStr">
        <is>
          <t>Multimercado</t>
        </is>
      </c>
      <c r="H39" s="4" t="inlineStr">
        <is>
          <t>Crédito Híbrido</t>
        </is>
      </c>
      <c r="I39" s="7" t="n">
        <v>100</v>
      </c>
      <c r="J39" s="8" t="n">
        <v>1.25</v>
      </c>
      <c r="K39" s="8" t="n"/>
      <c r="L39" s="4" t="inlineStr"/>
      <c r="M39" s="5" t="n">
        <v>59</v>
      </c>
      <c r="N39" s="5" t="n">
        <v>1</v>
      </c>
      <c r="O39" s="5" t="n"/>
      <c r="P39" s="4" t="inlineStr"/>
      <c r="Q39" s="4" t="inlineStr">
        <is>
          <t>Não</t>
        </is>
      </c>
      <c r="R39" s="4" t="inlineStr">
        <is>
          <t>Site (navegador)</t>
        </is>
      </c>
      <c r="S39" s="4" t="n">
        <v>1</v>
      </c>
      <c r="T39" s="4" t="inlineStr">
        <is>
          <t>Não</t>
        </is>
      </c>
      <c r="U39" s="4" t="inlineStr">
        <is>
          <t>Sim</t>
        </is>
      </c>
      <c r="V39" s="4" t="inlineStr">
        <is>
          <t>Não</t>
        </is>
      </c>
      <c r="W39" s="4" t="inlineStr"/>
    </row>
    <row r="40">
      <c r="A40" s="4" t="inlineStr">
        <is>
          <t>XP Investimentos</t>
        </is>
      </c>
      <c r="B40" s="4" t="inlineStr">
        <is>
          <t>Claritas Total Return XP Seg Prev FIE FIC FIM</t>
        </is>
      </c>
      <c r="C40" s="6" t="inlineStr">
        <is>
          <t>37.396.828/0001-10</t>
        </is>
      </c>
      <c r="D40" s="4" t="inlineStr">
        <is>
          <t>Claritas Investimentos (OLD)</t>
        </is>
      </c>
      <c r="E40" s="4" t="inlineStr"/>
      <c r="F40" s="4" t="inlineStr">
        <is>
          <t>BNY Mellon DTVM</t>
        </is>
      </c>
      <c r="G40" s="4" t="inlineStr">
        <is>
          <t>Multimercado</t>
        </is>
      </c>
      <c r="H40" s="4" t="inlineStr">
        <is>
          <t>Macro Alta Vol</t>
        </is>
      </c>
      <c r="I40" s="7" t="n">
        <v>100</v>
      </c>
      <c r="J40" s="8" t="n">
        <v>2</v>
      </c>
      <c r="K40" s="8" t="n"/>
      <c r="L40" s="4" t="inlineStr"/>
      <c r="M40" s="5" t="n">
        <v>22</v>
      </c>
      <c r="N40" s="5" t="n">
        <v>2</v>
      </c>
      <c r="O40" s="5" t="n"/>
      <c r="P40" s="4" t="inlineStr"/>
      <c r="Q40" s="4" t="inlineStr">
        <is>
          <t>Sim</t>
        </is>
      </c>
      <c r="R40" s="4" t="inlineStr">
        <is>
          <t>Site (navegador)</t>
        </is>
      </c>
      <c r="S40" s="4" t="n">
        <v>1</v>
      </c>
      <c r="T40" s="4" t="inlineStr">
        <is>
          <t>Não</t>
        </is>
      </c>
      <c r="U40" s="4" t="inlineStr">
        <is>
          <t>Sim</t>
        </is>
      </c>
      <c r="V40" s="4" t="inlineStr">
        <is>
          <t>Não</t>
        </is>
      </c>
      <c r="W40" s="4" t="inlineStr"/>
    </row>
    <row r="41">
      <c r="A41" s="4" t="inlineStr">
        <is>
          <t>XP Investimentos</t>
        </is>
      </c>
      <c r="B41" s="4" t="inlineStr">
        <is>
          <t>Constellation XP Seg 100 Prev FIC FIM</t>
        </is>
      </c>
      <c r="C41" s="6" t="inlineStr">
        <is>
          <t>35.651.477/0001-11</t>
        </is>
      </c>
      <c r="D41" s="4" t="inlineStr">
        <is>
          <t>CONSTELLATION INVESTIMENTOS E PARTICIPAÇÕES LTDA</t>
        </is>
      </c>
      <c r="E41" s="4" t="inlineStr">
        <is>
          <t>06.182.127/0001-55</t>
        </is>
      </c>
      <c r="F41" s="4" t="inlineStr">
        <is>
          <t>XP Investimentos</t>
        </is>
      </c>
      <c r="G41" s="4" t="inlineStr">
        <is>
          <t>Multimercado</t>
        </is>
      </c>
      <c r="H41" s="4" t="inlineStr">
        <is>
          <t>Renda Variável Long Only</t>
        </is>
      </c>
      <c r="I41" s="7" t="n">
        <v>1000</v>
      </c>
      <c r="J41" s="8" t="n">
        <v>2</v>
      </c>
      <c r="K41" s="8" t="n"/>
      <c r="L41" s="4" t="inlineStr"/>
      <c r="M41" s="5" t="n">
        <v>40</v>
      </c>
      <c r="N41" s="5" t="n">
        <v>2</v>
      </c>
      <c r="O41" s="5" t="n"/>
      <c r="P41" s="4" t="inlineStr"/>
      <c r="Q41" s="4" t="inlineStr">
        <is>
          <t>Não</t>
        </is>
      </c>
      <c r="R41" s="4" t="inlineStr">
        <is>
          <t>Site (navegador)</t>
        </is>
      </c>
      <c r="S41" s="4" t="n">
        <v>1</v>
      </c>
      <c r="T41" s="4" t="inlineStr">
        <is>
          <t>Não</t>
        </is>
      </c>
      <c r="U41" s="4" t="inlineStr">
        <is>
          <t>Sim</t>
        </is>
      </c>
      <c r="V41" s="4" t="inlineStr">
        <is>
          <t>Não</t>
        </is>
      </c>
      <c r="W41" s="4" t="inlineStr"/>
    </row>
    <row r="42">
      <c r="A42" s="4" t="inlineStr">
        <is>
          <t>XP Investimentos</t>
        </is>
      </c>
      <c r="B42" s="4" t="inlineStr">
        <is>
          <t>DNA Energy Prev XP Seg FIM</t>
        </is>
      </c>
      <c r="C42" s="6" t="inlineStr">
        <is>
          <t>35.420.731/0001-70</t>
        </is>
      </c>
      <c r="D42" s="4" t="inlineStr">
        <is>
          <t>XP ADVISORY GESTAO DE RECURSOS LTDA</t>
        </is>
      </c>
      <c r="E42" s="4" t="inlineStr">
        <is>
          <t>15.289.957/0001-77</t>
        </is>
      </c>
      <c r="F42" s="4" t="inlineStr">
        <is>
          <t>XP Investimentos</t>
        </is>
      </c>
      <c r="G42" s="4" t="inlineStr">
        <is>
          <t>Multimercado</t>
        </is>
      </c>
      <c r="H42" s="4" t="inlineStr">
        <is>
          <t>Multiestratégia</t>
        </is>
      </c>
      <c r="I42" s="7" t="n">
        <v>100</v>
      </c>
      <c r="J42" s="8" t="n">
        <v>0.8</v>
      </c>
      <c r="K42" s="8" t="n"/>
      <c r="L42" s="4" t="inlineStr"/>
      <c r="M42" s="5" t="n">
        <v>6</v>
      </c>
      <c r="N42" s="5" t="n">
        <v>3</v>
      </c>
      <c r="O42" s="5" t="n"/>
      <c r="P42" s="4" t="inlineStr"/>
      <c r="Q42" s="4" t="inlineStr">
        <is>
          <t>Não</t>
        </is>
      </c>
      <c r="R42" s="4" t="inlineStr">
        <is>
          <t>Site (navegador)</t>
        </is>
      </c>
      <c r="S42" s="4" t="n">
        <v>1</v>
      </c>
      <c r="T42" s="4" t="inlineStr">
        <is>
          <t>Não</t>
        </is>
      </c>
      <c r="U42" s="4" t="inlineStr">
        <is>
          <t>Sim</t>
        </is>
      </c>
      <c r="V42" s="4" t="inlineStr">
        <is>
          <t>Não</t>
        </is>
      </c>
      <c r="W42" s="4" t="inlineStr"/>
    </row>
    <row r="43">
      <c r="A43" s="4" t="inlineStr">
        <is>
          <t>XP Investimentos</t>
        </is>
      </c>
      <c r="B43" s="4" t="inlineStr">
        <is>
          <t>Dahlia 100 Advisory XP Seg Prev FIC FIM</t>
        </is>
      </c>
      <c r="C43" s="6" t="inlineStr">
        <is>
          <t>36.327.214/0001-14</t>
        </is>
      </c>
      <c r="D43" s="4" t="inlineStr">
        <is>
          <t>DAHLIA CAPITAL GESTÃO DE RECURSOS LTDA.</t>
        </is>
      </c>
      <c r="E43" s="4" t="inlineStr">
        <is>
          <t>09.551.766/0001-39</t>
        </is>
      </c>
      <c r="F43" s="4" t="inlineStr">
        <is>
          <t>BNY Mellon DTVM</t>
        </is>
      </c>
      <c r="G43" s="4" t="inlineStr">
        <is>
          <t>Multimercado</t>
        </is>
      </c>
      <c r="H43" s="4" t="inlineStr">
        <is>
          <t>Renda Variável Long Only</t>
        </is>
      </c>
      <c r="I43" s="7" t="n">
        <v>100</v>
      </c>
      <c r="J43" s="8" t="n">
        <v>2</v>
      </c>
      <c r="K43" s="8" t="n"/>
      <c r="L43" s="4" t="inlineStr"/>
      <c r="M43" s="5" t="n">
        <v>10</v>
      </c>
      <c r="N43" s="5" t="n">
        <v>2</v>
      </c>
      <c r="O43" s="5" t="n"/>
      <c r="P43" s="4" t="inlineStr"/>
      <c r="Q43" s="4" t="inlineStr">
        <is>
          <t>Não</t>
        </is>
      </c>
      <c r="R43" s="4" t="inlineStr">
        <is>
          <t>Site (navegador)</t>
        </is>
      </c>
      <c r="S43" s="4" t="n">
        <v>1</v>
      </c>
      <c r="T43" s="4" t="inlineStr">
        <is>
          <t>Não</t>
        </is>
      </c>
      <c r="U43" s="4" t="inlineStr">
        <is>
          <t>Sim</t>
        </is>
      </c>
      <c r="V43" s="4" t="inlineStr">
        <is>
          <t>Não</t>
        </is>
      </c>
      <c r="W43" s="4" t="inlineStr"/>
    </row>
    <row r="44">
      <c r="A44" s="4" t="inlineStr">
        <is>
          <t>XP Investimentos</t>
        </is>
      </c>
      <c r="B44" s="4" t="inlineStr">
        <is>
          <t>Dahlia 70 Advisory Xp Seg Ii Prev Fic Fim</t>
        </is>
      </c>
      <c r="C44" s="6" t="inlineStr">
        <is>
          <t>43.761.805/0001-60</t>
        </is>
      </c>
      <c r="D44" s="4" t="inlineStr">
        <is>
          <t>XP VIDA E PREVIDÊNCIA S.A.</t>
        </is>
      </c>
      <c r="E44" s="4" t="inlineStr">
        <is>
          <t>29.408.732/0001-05</t>
        </is>
      </c>
      <c r="F44" s="4" t="inlineStr">
        <is>
          <t>XPI Administradora - Modal</t>
        </is>
      </c>
      <c r="G44" s="4" t="inlineStr">
        <is>
          <t>Multimercado</t>
        </is>
      </c>
      <c r="H44" s="4" t="inlineStr">
        <is>
          <t>Renda Variável Long Only</t>
        </is>
      </c>
      <c r="I44" s="7" t="n">
        <v>100</v>
      </c>
      <c r="J44" s="8" t="n">
        <v>1.5</v>
      </c>
      <c r="K44" s="8" t="n"/>
      <c r="L44" s="4" t="inlineStr"/>
      <c r="M44" s="5" t="n">
        <v>7</v>
      </c>
      <c r="N44" s="5" t="n">
        <v>2</v>
      </c>
      <c r="O44" s="5" t="n"/>
      <c r="P44" s="4" t="inlineStr"/>
      <c r="Q44" s="4" t="inlineStr">
        <is>
          <t>Não</t>
        </is>
      </c>
      <c r="R44" s="4" t="inlineStr">
        <is>
          <t>Site (navegador)</t>
        </is>
      </c>
      <c r="S44" s="4" t="n">
        <v>1</v>
      </c>
      <c r="T44" s="4" t="inlineStr">
        <is>
          <t>Não</t>
        </is>
      </c>
      <c r="U44" s="4" t="inlineStr">
        <is>
          <t>Sim</t>
        </is>
      </c>
      <c r="V44" s="4" t="inlineStr">
        <is>
          <t>Não</t>
        </is>
      </c>
      <c r="W44" s="4" t="inlineStr"/>
    </row>
    <row r="45">
      <c r="A45" s="4" t="inlineStr">
        <is>
          <t>XP Investimentos</t>
        </is>
      </c>
      <c r="B45" s="4" t="inlineStr">
        <is>
          <t>Dahlia Global 50 Advisory XP Seg Prev FIC FIM</t>
        </is>
      </c>
      <c r="C45" s="6" t="inlineStr">
        <is>
          <t>37.645.515/0001-59</t>
        </is>
      </c>
      <c r="D45" s="4" t="inlineStr">
        <is>
          <t>DAHLIA CAPITAL GESTÃO DE RECURSOS LTDA.</t>
        </is>
      </c>
      <c r="E45" s="4" t="inlineStr">
        <is>
          <t>09.551.766/0001-39</t>
        </is>
      </c>
      <c r="F45" s="4" t="inlineStr">
        <is>
          <t>BNY Mellon DTVM</t>
        </is>
      </c>
      <c r="G45" s="4" t="inlineStr">
        <is>
          <t>Multimercado</t>
        </is>
      </c>
      <c r="H45" s="4" t="inlineStr">
        <is>
          <t>Internacional Multimercado Não Hedgeado</t>
        </is>
      </c>
      <c r="I45" s="7" t="n">
        <v>100</v>
      </c>
      <c r="J45" s="8" t="n">
        <v>1.25</v>
      </c>
      <c r="K45" s="8" t="n"/>
      <c r="L45" s="4" t="inlineStr"/>
      <c r="M45" s="5" t="n">
        <v>7</v>
      </c>
      <c r="N45" s="5" t="n">
        <v>2</v>
      </c>
      <c r="O45" s="5" t="n"/>
      <c r="P45" s="4" t="inlineStr"/>
      <c r="Q45" s="4" t="inlineStr">
        <is>
          <t>Não</t>
        </is>
      </c>
      <c r="R45" s="4" t="inlineStr">
        <is>
          <t>Site (navegador)</t>
        </is>
      </c>
      <c r="S45" s="4" t="n">
        <v>1</v>
      </c>
      <c r="T45" s="4" t="inlineStr">
        <is>
          <t>Não</t>
        </is>
      </c>
      <c r="U45" s="4" t="inlineStr">
        <is>
          <t>Sim</t>
        </is>
      </c>
      <c r="V45" s="4" t="inlineStr">
        <is>
          <t>Não</t>
        </is>
      </c>
      <c r="W45" s="4" t="inlineStr"/>
    </row>
    <row r="46">
      <c r="A46" s="4" t="inlineStr">
        <is>
          <t>XP Investimentos</t>
        </is>
      </c>
      <c r="B46" s="4" t="inlineStr">
        <is>
          <t>Daycoval Classic Xp Seg Prev Fif Rf Cp Rl</t>
        </is>
      </c>
      <c r="C46" s="6" t="inlineStr">
        <is>
          <t>61.941.773/0001-67</t>
        </is>
      </c>
      <c r="D46" s="4" t="inlineStr">
        <is>
          <t>DAYCOVAL ASSET MANAGEMENT ADMINISTRACAO DE RECURSOS LTDA</t>
        </is>
      </c>
      <c r="E46" s="4" t="inlineStr">
        <is>
          <t>72.027.832/0001-02</t>
        </is>
      </c>
      <c r="F46" s="4" t="inlineStr">
        <is>
          <t>Banco Daycoval</t>
        </is>
      </c>
      <c r="G46" s="4" t="inlineStr">
        <is>
          <t>Renda Fixa</t>
        </is>
      </c>
      <c r="H46" s="4" t="inlineStr">
        <is>
          <t>Crédito Liquidez</t>
        </is>
      </c>
      <c r="I46" s="7" t="n">
        <v>100</v>
      </c>
      <c r="J46" s="8" t="n">
        <v>0.82</v>
      </c>
      <c r="K46" s="8" t="n"/>
      <c r="L46" s="4" t="inlineStr"/>
      <c r="M46" s="5" t="n">
        <v>0</v>
      </c>
      <c r="N46" s="5" t="n">
        <v>1</v>
      </c>
      <c r="O46" s="5" t="n"/>
      <c r="P46" s="4" t="inlineStr"/>
      <c r="Q46" s="4" t="inlineStr">
        <is>
          <t>Não</t>
        </is>
      </c>
      <c r="R46" s="4" t="inlineStr">
        <is>
          <t>Site (navegador)</t>
        </is>
      </c>
      <c r="S46" s="4" t="n">
        <v>1</v>
      </c>
      <c r="T46" s="4" t="inlineStr">
        <is>
          <t>Não</t>
        </is>
      </c>
      <c r="U46" s="4" t="inlineStr">
        <is>
          <t>Sim</t>
        </is>
      </c>
      <c r="V46" s="4" t="inlineStr">
        <is>
          <t>Não</t>
        </is>
      </c>
      <c r="W46" s="4" t="inlineStr"/>
    </row>
    <row r="47">
      <c r="A47" s="4" t="inlineStr">
        <is>
          <t>XP Investimentos</t>
        </is>
      </c>
      <c r="B47" s="4" t="inlineStr">
        <is>
          <t>Drys Shelter Prev XP FIRF CP RL</t>
        </is>
      </c>
      <c r="C47" s="6" t="inlineStr">
        <is>
          <t>63.285.329/0001-66</t>
        </is>
      </c>
      <c r="D47" s="4" t="inlineStr">
        <is>
          <t>DRYS CAPITAL LTDA</t>
        </is>
      </c>
      <c r="E47" s="4" t="inlineStr">
        <is>
          <t>08.204.817/0001-93</t>
        </is>
      </c>
      <c r="F47" s="4" t="inlineStr">
        <is>
          <t>BNY Mellon DTVM</t>
        </is>
      </c>
      <c r="G47" s="4" t="inlineStr">
        <is>
          <t>Renda Fixa</t>
        </is>
      </c>
      <c r="H47" s="4" t="inlineStr">
        <is>
          <t>Crédito Liquidez</t>
        </is>
      </c>
      <c r="I47" s="7" t="n">
        <v>100</v>
      </c>
      <c r="J47" s="8" t="n">
        <v>0.8</v>
      </c>
      <c r="K47" s="8" t="n"/>
      <c r="L47" s="4" t="inlineStr"/>
      <c r="M47" s="5" t="n">
        <v>5</v>
      </c>
      <c r="N47" s="5" t="n">
        <v>1</v>
      </c>
      <c r="O47" s="5" t="n"/>
      <c r="P47" s="4" t="inlineStr"/>
      <c r="Q47" s="4" t="inlineStr">
        <is>
          <t>Não</t>
        </is>
      </c>
      <c r="R47" s="4" t="inlineStr">
        <is>
          <t>Site (navegador)</t>
        </is>
      </c>
      <c r="S47" s="4" t="n">
        <v>1</v>
      </c>
      <c r="T47" s="4" t="inlineStr">
        <is>
          <t>Não</t>
        </is>
      </c>
      <c r="U47" s="4" t="inlineStr">
        <is>
          <t>Sim</t>
        </is>
      </c>
      <c r="V47" s="4" t="inlineStr">
        <is>
          <t>Não</t>
        </is>
      </c>
      <c r="W47" s="4" t="inlineStr"/>
    </row>
    <row r="48">
      <c r="A48" s="4" t="inlineStr">
        <is>
          <t>XP Investimentos</t>
        </is>
      </c>
      <c r="B48" s="4" t="inlineStr">
        <is>
          <t>Encore Long Biased 100 Xp Seg Prev Ficfim Rl</t>
        </is>
      </c>
      <c r="C48" s="6" t="inlineStr">
        <is>
          <t>41.866.111/0001-62</t>
        </is>
      </c>
      <c r="D48" s="4" t="inlineStr">
        <is>
          <t>XP VIDA E PREVIDÊNCIA S.A.</t>
        </is>
      </c>
      <c r="E48" s="4" t="inlineStr">
        <is>
          <t>29.408.732/0001-05</t>
        </is>
      </c>
      <c r="F48" s="4" t="inlineStr">
        <is>
          <t>XPI Administradora - Modal</t>
        </is>
      </c>
      <c r="G48" s="4" t="inlineStr">
        <is>
          <t>Multimercado</t>
        </is>
      </c>
      <c r="H48" s="4" t="inlineStr">
        <is>
          <t>Renda Variável Long Biased</t>
        </is>
      </c>
      <c r="I48" s="7" t="n">
        <v>100</v>
      </c>
      <c r="J48" s="8" t="n">
        <v>2</v>
      </c>
      <c r="K48" s="8" t="n"/>
      <c r="L48" s="4" t="inlineStr"/>
      <c r="M48" s="5" t="n">
        <v>20</v>
      </c>
      <c r="N48" s="5" t="n">
        <v>2</v>
      </c>
      <c r="O48" s="5" t="n"/>
      <c r="P48" s="4" t="inlineStr"/>
      <c r="Q48" s="4" t="inlineStr">
        <is>
          <t>Não</t>
        </is>
      </c>
      <c r="R48" s="4" t="inlineStr">
        <is>
          <t>Site (navegador)</t>
        </is>
      </c>
      <c r="S48" s="4" t="n">
        <v>1</v>
      </c>
      <c r="T48" s="4" t="inlineStr">
        <is>
          <t>Não</t>
        </is>
      </c>
      <c r="U48" s="4" t="inlineStr">
        <is>
          <t>Sim</t>
        </is>
      </c>
      <c r="V48" s="4" t="inlineStr">
        <is>
          <t>Não</t>
        </is>
      </c>
      <c r="W48" s="4" t="inlineStr"/>
    </row>
    <row r="49">
      <c r="A49" s="4" t="inlineStr">
        <is>
          <t>XP Investimentos</t>
        </is>
      </c>
      <c r="B49" s="4" t="inlineStr">
        <is>
          <t>Encore Long Biased 70 XP Seg Prev FIC FIM</t>
        </is>
      </c>
      <c r="C49" s="6" t="inlineStr">
        <is>
          <t>41.802.178/0001-33</t>
        </is>
      </c>
      <c r="D49" s="4" t="inlineStr">
        <is>
          <t>XP VIDA E PREVIDÊNCIA S.A.</t>
        </is>
      </c>
      <c r="E49" s="4" t="inlineStr">
        <is>
          <t>29.408.732/0001-05</t>
        </is>
      </c>
      <c r="F49" s="4" t="inlineStr">
        <is>
          <t>XPI Administradora - Modal</t>
        </is>
      </c>
      <c r="G49" s="4" t="inlineStr">
        <is>
          <t>Multimercado</t>
        </is>
      </c>
      <c r="H49" s="4" t="inlineStr">
        <is>
          <t>Renda Variável Long Biased</t>
        </is>
      </c>
      <c r="I49" s="7" t="n">
        <v>100</v>
      </c>
      <c r="J49" s="8" t="n">
        <v>1.5</v>
      </c>
      <c r="K49" s="8" t="n"/>
      <c r="L49" s="4" t="inlineStr"/>
      <c r="M49" s="5" t="n">
        <v>7</v>
      </c>
      <c r="N49" s="5" t="n">
        <v>2</v>
      </c>
      <c r="O49" s="5" t="n"/>
      <c r="P49" s="4" t="inlineStr"/>
      <c r="Q49" s="4" t="inlineStr">
        <is>
          <t>Não</t>
        </is>
      </c>
      <c r="R49" s="4" t="inlineStr">
        <is>
          <t>Site (navegador)</t>
        </is>
      </c>
      <c r="S49" s="4" t="n">
        <v>1</v>
      </c>
      <c r="T49" s="4" t="inlineStr">
        <is>
          <t>Não</t>
        </is>
      </c>
      <c r="U49" s="4" t="inlineStr">
        <is>
          <t>Sim</t>
        </is>
      </c>
      <c r="V49" s="4" t="inlineStr">
        <is>
          <t>Não</t>
        </is>
      </c>
      <c r="W49" s="4" t="inlineStr"/>
    </row>
    <row r="50">
      <c r="A50" s="4" t="inlineStr">
        <is>
          <t>XP Investimentos</t>
        </is>
      </c>
      <c r="B50" s="4" t="inlineStr">
        <is>
          <t>Forpus 100 XP Seg Prev FICFIA</t>
        </is>
      </c>
      <c r="C50" s="6" t="inlineStr">
        <is>
          <t>40.212.923/0001-21</t>
        </is>
      </c>
      <c r="D50" s="4" t="inlineStr">
        <is>
          <t>FORPUS CAPITAL GESTÃO DE RECURSOS LTDA.</t>
        </is>
      </c>
      <c r="E50" s="4" t="inlineStr">
        <is>
          <t>21.018.289/0001-46</t>
        </is>
      </c>
      <c r="F50" s="4" t="inlineStr">
        <is>
          <t>BNY Mellon DTVM</t>
        </is>
      </c>
      <c r="G50" s="4" t="inlineStr">
        <is>
          <t>Ações</t>
        </is>
      </c>
      <c r="H50" s="4" t="inlineStr">
        <is>
          <t>Renda Variável Long Only</t>
        </is>
      </c>
      <c r="I50" s="7" t="n">
        <v>100</v>
      </c>
      <c r="J50" s="8" t="n">
        <v>2</v>
      </c>
      <c r="K50" s="8" t="n"/>
      <c r="L50" s="4" t="inlineStr"/>
      <c r="M50" s="5" t="n">
        <v>8</v>
      </c>
      <c r="N50" s="5" t="n">
        <v>2</v>
      </c>
      <c r="O50" s="5" t="n"/>
      <c r="P50" s="4" t="inlineStr"/>
      <c r="Q50" s="4" t="inlineStr">
        <is>
          <t>Não</t>
        </is>
      </c>
      <c r="R50" s="4" t="inlineStr">
        <is>
          <t>Site (navegador)</t>
        </is>
      </c>
      <c r="S50" s="4" t="n">
        <v>1</v>
      </c>
      <c r="T50" s="4" t="inlineStr">
        <is>
          <t>Não</t>
        </is>
      </c>
      <c r="U50" s="4" t="inlineStr">
        <is>
          <t>Sim</t>
        </is>
      </c>
      <c r="V50" s="4" t="inlineStr">
        <is>
          <t>Não</t>
        </is>
      </c>
      <c r="W50" s="4" t="inlineStr"/>
    </row>
    <row r="51">
      <c r="A51" s="4" t="inlineStr">
        <is>
          <t>XP Investimentos</t>
        </is>
      </c>
      <c r="B51" s="4" t="inlineStr">
        <is>
          <t>Forpus 70 XP Seg Prev FIM</t>
        </is>
      </c>
      <c r="C51" s="6" t="inlineStr">
        <is>
          <t>42.870.699/0001-90</t>
        </is>
      </c>
      <c r="D51" s="4" t="inlineStr">
        <is>
          <t>FORPUS CAPITAL GESTÃO DE RECURSOS LTDA.</t>
        </is>
      </c>
      <c r="E51" s="4" t="inlineStr">
        <is>
          <t>21.018.289/0001-46</t>
        </is>
      </c>
      <c r="F51" s="4" t="inlineStr">
        <is>
          <t>BNY Mellon DTVM</t>
        </is>
      </c>
      <c r="G51" s="4" t="inlineStr">
        <is>
          <t>Multimercado</t>
        </is>
      </c>
      <c r="H51" s="4" t="inlineStr">
        <is>
          <t>Renda Variável Long Only</t>
        </is>
      </c>
      <c r="I51" s="7" t="n">
        <v>100</v>
      </c>
      <c r="J51" s="8" t="n">
        <v>2</v>
      </c>
      <c r="K51" s="8" t="n"/>
      <c r="L51" s="4" t="inlineStr"/>
      <c r="M51" s="5" t="n">
        <v>7</v>
      </c>
      <c r="N51" s="5" t="n">
        <v>2</v>
      </c>
      <c r="O51" s="5" t="n"/>
      <c r="P51" s="4" t="inlineStr"/>
      <c r="Q51" s="4" t="inlineStr">
        <is>
          <t>Não</t>
        </is>
      </c>
      <c r="R51" s="4" t="inlineStr">
        <is>
          <t>Site (navegador)</t>
        </is>
      </c>
      <c r="S51" s="4" t="n">
        <v>1</v>
      </c>
      <c r="T51" s="4" t="inlineStr">
        <is>
          <t>Não</t>
        </is>
      </c>
      <c r="U51" s="4" t="inlineStr">
        <is>
          <t>Sim</t>
        </is>
      </c>
      <c r="V51" s="4" t="inlineStr">
        <is>
          <t>Não</t>
        </is>
      </c>
      <c r="W51" s="4" t="inlineStr"/>
    </row>
    <row r="52">
      <c r="A52" s="4" t="inlineStr">
        <is>
          <t>XP Investimentos</t>
        </is>
      </c>
      <c r="B52" s="4" t="inlineStr">
        <is>
          <t>Franklin Valor e Liquidez 70 XP Seg FIM</t>
        </is>
      </c>
      <c r="C52" s="6" t="inlineStr">
        <is>
          <t>32.319.047/0001-09</t>
        </is>
      </c>
      <c r="D52" s="4" t="inlineStr">
        <is>
          <t>Franklin Templeton Brasil Ltda.</t>
        </is>
      </c>
      <c r="E52" s="4" t="inlineStr">
        <is>
          <t>07.437.241/0001-41</t>
        </is>
      </c>
      <c r="F52" s="4" t="inlineStr">
        <is>
          <t>BNY Mellon DTVM</t>
        </is>
      </c>
      <c r="G52" s="4" t="inlineStr">
        <is>
          <t>Multimercado</t>
        </is>
      </c>
      <c r="H52" s="4" t="inlineStr">
        <is>
          <t>Renda Variável Long Only</t>
        </is>
      </c>
      <c r="I52" s="7" t="n">
        <v>100</v>
      </c>
      <c r="J52" s="8" t="n">
        <v>2</v>
      </c>
      <c r="K52" s="8" t="n"/>
      <c r="L52" s="4" t="inlineStr"/>
      <c r="M52" s="5" t="n">
        <v>2</v>
      </c>
      <c r="N52" s="5" t="n">
        <v>2</v>
      </c>
      <c r="O52" s="5" t="n"/>
      <c r="P52" s="4" t="inlineStr"/>
      <c r="Q52" s="4" t="inlineStr">
        <is>
          <t>Não</t>
        </is>
      </c>
      <c r="R52" s="4" t="inlineStr">
        <is>
          <t>Site (navegador)</t>
        </is>
      </c>
      <c r="S52" s="4" t="n">
        <v>1</v>
      </c>
      <c r="T52" s="4" t="inlineStr">
        <is>
          <t>Não</t>
        </is>
      </c>
      <c r="U52" s="4" t="inlineStr">
        <is>
          <t>Sim</t>
        </is>
      </c>
      <c r="V52" s="4" t="inlineStr">
        <is>
          <t>Não</t>
        </is>
      </c>
      <c r="W52" s="4" t="inlineStr"/>
    </row>
    <row r="53">
      <c r="A53" s="4" t="inlineStr">
        <is>
          <t>XP Investimentos</t>
        </is>
      </c>
      <c r="B53" s="4" t="inlineStr">
        <is>
          <t>Franklin Valor e Liquidez Long Bias Prev FIC FIM</t>
        </is>
      </c>
      <c r="C53" s="6" t="inlineStr">
        <is>
          <t>40.781.467/0001-30</t>
        </is>
      </c>
      <c r="D53" s="4" t="inlineStr">
        <is>
          <t>XP VIDA E PREVIDÊNCIA S.A.</t>
        </is>
      </c>
      <c r="E53" s="4" t="inlineStr">
        <is>
          <t>29.408.732/0001-05</t>
        </is>
      </c>
      <c r="F53" s="4" t="inlineStr">
        <is>
          <t>XPI Administradora - Modal</t>
        </is>
      </c>
      <c r="G53" s="4" t="inlineStr">
        <is>
          <t>Multimercado</t>
        </is>
      </c>
      <c r="H53" s="4" t="inlineStr">
        <is>
          <t>Renda Variável Long Only</t>
        </is>
      </c>
      <c r="I53" s="7" t="n">
        <v>100</v>
      </c>
      <c r="J53" s="8" t="n">
        <v>1.8</v>
      </c>
      <c r="K53" s="8" t="n"/>
      <c r="L53" s="4" t="inlineStr"/>
      <c r="M53" s="5" t="n">
        <v>13</v>
      </c>
      <c r="N53" s="5" t="n">
        <v>2</v>
      </c>
      <c r="O53" s="5" t="n"/>
      <c r="P53" s="4" t="inlineStr"/>
      <c r="Q53" s="4" t="inlineStr">
        <is>
          <t>Não</t>
        </is>
      </c>
      <c r="R53" s="4" t="inlineStr">
        <is>
          <t>Site (navegador)</t>
        </is>
      </c>
      <c r="S53" s="4" t="n">
        <v>1</v>
      </c>
      <c r="T53" s="4" t="inlineStr">
        <is>
          <t>Não</t>
        </is>
      </c>
      <c r="U53" s="4" t="inlineStr">
        <is>
          <t>Sim</t>
        </is>
      </c>
      <c r="V53" s="4" t="inlineStr">
        <is>
          <t>Não</t>
        </is>
      </c>
      <c r="W53" s="4" t="inlineStr"/>
    </row>
    <row r="54">
      <c r="A54" s="4" t="inlineStr">
        <is>
          <t>XP Investimentos</t>
        </is>
      </c>
      <c r="B54" s="4" t="inlineStr">
        <is>
          <t>Gap Absoluto XP Seg IQ FIC FIM</t>
        </is>
      </c>
      <c r="C54" s="6" t="inlineStr">
        <is>
          <t>35.956.326/0001-71</t>
        </is>
      </c>
      <c r="D54" s="4" t="inlineStr">
        <is>
          <t>LEGACY CAPITAL GESTORA DE RECURSOS LTDA.</t>
        </is>
      </c>
      <c r="E54" s="4" t="inlineStr">
        <is>
          <t>28.674.641/0001-40</t>
        </is>
      </c>
      <c r="F54" s="4" t="inlineStr">
        <is>
          <t>BTG Pactual DTVM</t>
        </is>
      </c>
      <c r="G54" s="4" t="inlineStr">
        <is>
          <t>Multimercado</t>
        </is>
      </c>
      <c r="H54" s="4" t="inlineStr">
        <is>
          <t>Macro Alta Vol</t>
        </is>
      </c>
      <c r="I54" s="7" t="n">
        <v>100</v>
      </c>
      <c r="J54" s="8" t="n">
        <v>2</v>
      </c>
      <c r="K54" s="8" t="n"/>
      <c r="L54" s="4" t="inlineStr"/>
      <c r="M54" s="5" t="n">
        <v>7</v>
      </c>
      <c r="N54" s="5" t="n">
        <v>1</v>
      </c>
      <c r="O54" s="5" t="n"/>
      <c r="P54" s="4" t="inlineStr"/>
      <c r="Q54" s="4" t="inlineStr">
        <is>
          <t>Sim</t>
        </is>
      </c>
      <c r="R54" s="4" t="inlineStr">
        <is>
          <t>Site (navegador)</t>
        </is>
      </c>
      <c r="S54" s="4" t="n">
        <v>1</v>
      </c>
      <c r="T54" s="4" t="inlineStr">
        <is>
          <t>Não</t>
        </is>
      </c>
      <c r="U54" s="4" t="inlineStr">
        <is>
          <t>Sim</t>
        </is>
      </c>
      <c r="V54" s="4" t="inlineStr">
        <is>
          <t>Não</t>
        </is>
      </c>
      <c r="W54" s="4" t="inlineStr"/>
    </row>
    <row r="55">
      <c r="A55" s="4" t="inlineStr">
        <is>
          <t>XP Investimentos</t>
        </is>
      </c>
      <c r="B55" s="4" t="inlineStr">
        <is>
          <t>Gauss Panorama Xp Seg Iq Prev Ficfim Cp Rl</t>
        </is>
      </c>
      <c r="C55" s="6" t="inlineStr">
        <is>
          <t>43.215.421/0001-42</t>
        </is>
      </c>
      <c r="D55" s="4" t="inlineStr">
        <is>
          <t>XP VIDA E PREVIDÊNCIA S.A.</t>
        </is>
      </c>
      <c r="E55" s="4" t="inlineStr">
        <is>
          <t>29.408.732/0001-05</t>
        </is>
      </c>
      <c r="F55" s="4" t="inlineStr">
        <is>
          <t>XPI Administradora - Modal</t>
        </is>
      </c>
      <c r="G55" s="4" t="inlineStr">
        <is>
          <t>Multimercado</t>
        </is>
      </c>
      <c r="H55" s="4" t="inlineStr">
        <is>
          <t>Macro Média Vol</t>
        </is>
      </c>
      <c r="I55" s="7" t="n">
        <v>100</v>
      </c>
      <c r="J55" s="8" t="n">
        <v>2</v>
      </c>
      <c r="K55" s="8" t="n"/>
      <c r="L55" s="4" t="inlineStr"/>
      <c r="M55" s="5" t="n">
        <v>5</v>
      </c>
      <c r="N55" s="5" t="n">
        <v>1</v>
      </c>
      <c r="O55" s="5" t="n"/>
      <c r="P55" s="4" t="inlineStr"/>
      <c r="Q55" s="4" t="inlineStr">
        <is>
          <t>Sim</t>
        </is>
      </c>
      <c r="R55" s="4" t="inlineStr">
        <is>
          <t>Site (navegador)</t>
        </is>
      </c>
      <c r="S55" s="4" t="n">
        <v>1</v>
      </c>
      <c r="T55" s="4" t="inlineStr">
        <is>
          <t>Não</t>
        </is>
      </c>
      <c r="U55" s="4" t="inlineStr">
        <is>
          <t>Sim</t>
        </is>
      </c>
      <c r="V55" s="4" t="inlineStr">
        <is>
          <t>Não</t>
        </is>
      </c>
      <c r="W55" s="4" t="inlineStr"/>
    </row>
    <row r="56">
      <c r="A56" s="4" t="inlineStr">
        <is>
          <t>XP Investimentos</t>
        </is>
      </c>
      <c r="B56" s="4" t="inlineStr">
        <is>
          <t>Gavea Macro Xp Seg Prev Ficfim Cp Rl</t>
        </is>
      </c>
      <c r="C56" s="6" t="inlineStr">
        <is>
          <t>40.635.018/0001-84</t>
        </is>
      </c>
      <c r="D56" s="4" t="inlineStr">
        <is>
          <t>XP VIDA E PREVIDÊNCIA S.A.</t>
        </is>
      </c>
      <c r="E56" s="4" t="inlineStr">
        <is>
          <t>29.408.732/0001-05</t>
        </is>
      </c>
      <c r="F56" s="4" t="inlineStr">
        <is>
          <t>XPI Administradora - Modal</t>
        </is>
      </c>
      <c r="G56" s="4" t="inlineStr">
        <is>
          <t>Multimercado</t>
        </is>
      </c>
      <c r="H56" s="4" t="inlineStr">
        <is>
          <t>Macro Média Vol</t>
        </is>
      </c>
      <c r="I56" s="7" t="n">
        <v>100</v>
      </c>
      <c r="J56" s="8" t="n">
        <v>2</v>
      </c>
      <c r="K56" s="8" t="n"/>
      <c r="L56" s="4" t="inlineStr"/>
      <c r="M56" s="5" t="n">
        <v>22</v>
      </c>
      <c r="N56" s="5" t="n">
        <v>1</v>
      </c>
      <c r="O56" s="5" t="n"/>
      <c r="P56" s="4" t="inlineStr"/>
      <c r="Q56" s="4" t="inlineStr">
        <is>
          <t>Sim</t>
        </is>
      </c>
      <c r="R56" s="4" t="inlineStr">
        <is>
          <t>Site (navegador)</t>
        </is>
      </c>
      <c r="S56" s="4" t="n">
        <v>1</v>
      </c>
      <c r="T56" s="4" t="inlineStr">
        <is>
          <t>Não</t>
        </is>
      </c>
      <c r="U56" s="4" t="inlineStr">
        <is>
          <t>Sim</t>
        </is>
      </c>
      <c r="V56" s="4" t="inlineStr">
        <is>
          <t>Não</t>
        </is>
      </c>
      <c r="W56" s="4" t="inlineStr"/>
    </row>
    <row r="57">
      <c r="A57" s="4" t="inlineStr">
        <is>
          <t>XP Investimentos</t>
        </is>
      </c>
      <c r="B57" s="4" t="inlineStr">
        <is>
          <t>Genoa Capital Cruise Prev XP Seg FIC FIM</t>
        </is>
      </c>
      <c r="C57" s="6" t="inlineStr">
        <is>
          <t>42.535.297/0001-30</t>
        </is>
      </c>
      <c r="D57" s="4" t="inlineStr">
        <is>
          <t>GENOA CAPITAL GESTORA DE RECURSOS LTDA</t>
        </is>
      </c>
      <c r="E57" s="4" t="inlineStr">
        <is>
          <t>34.276.448/0001-54</t>
        </is>
      </c>
      <c r="F57" s="4" t="inlineStr">
        <is>
          <t>Intrag DTVM</t>
        </is>
      </c>
      <c r="G57" s="4" t="inlineStr">
        <is>
          <t>Multimercado</t>
        </is>
      </c>
      <c r="H57" s="4" t="inlineStr">
        <is>
          <t>Macro Alta Vol</t>
        </is>
      </c>
      <c r="I57" s="7" t="n">
        <v>100</v>
      </c>
      <c r="J57" s="8" t="n">
        <v>2</v>
      </c>
      <c r="K57" s="8" t="n"/>
      <c r="L57" s="4" t="inlineStr"/>
      <c r="M57" s="5" t="n">
        <v>5</v>
      </c>
      <c r="N57" s="5" t="n">
        <v>2</v>
      </c>
      <c r="O57" s="5" t="n"/>
      <c r="P57" s="4" t="inlineStr"/>
      <c r="Q57" s="4" t="inlineStr">
        <is>
          <t>Não</t>
        </is>
      </c>
      <c r="R57" s="4" t="inlineStr">
        <is>
          <t>Site (navegador)</t>
        </is>
      </c>
      <c r="S57" s="4" t="n">
        <v>1</v>
      </c>
      <c r="T57" s="4" t="inlineStr">
        <is>
          <t>Não</t>
        </is>
      </c>
      <c r="U57" s="4" t="inlineStr">
        <is>
          <t>Sim</t>
        </is>
      </c>
      <c r="V57" s="4" t="inlineStr">
        <is>
          <t>Não</t>
        </is>
      </c>
      <c r="W57" s="4" t="inlineStr"/>
    </row>
    <row r="58">
      <c r="A58" s="4" t="inlineStr">
        <is>
          <t>XP Investimentos</t>
        </is>
      </c>
      <c r="B58" s="4" t="inlineStr">
        <is>
          <t>Genoa Capital Sagres XP Seg Prev FIF CIC Multi RL</t>
        </is>
      </c>
      <c r="C58" s="6" t="inlineStr">
        <is>
          <t>64.195.667/0001-70</t>
        </is>
      </c>
      <c r="D58" s="4" t="inlineStr">
        <is>
          <t>GENOA CAPITAL GESTORA DE RECURSOS LTDA</t>
        </is>
      </c>
      <c r="E58" s="4" t="inlineStr">
        <is>
          <t>34.276.448/0001-54</t>
        </is>
      </c>
      <c r="F58" s="4" t="inlineStr">
        <is>
          <t>Intrag DTVM</t>
        </is>
      </c>
      <c r="G58" s="4" t="inlineStr">
        <is>
          <t>Multimercado</t>
        </is>
      </c>
      <c r="H58" s="4" t="inlineStr">
        <is>
          <t>Quantitativo</t>
        </is>
      </c>
      <c r="I58" s="7" t="n">
        <v>100</v>
      </c>
      <c r="J58" s="8" t="n">
        <v>2</v>
      </c>
      <c r="K58" s="8" t="n"/>
      <c r="L58" s="4" t="inlineStr"/>
      <c r="M58" s="5" t="n">
        <v>22</v>
      </c>
      <c r="N58" s="5" t="n">
        <v>2</v>
      </c>
      <c r="O58" s="5" t="n"/>
      <c r="P58" s="4" t="inlineStr"/>
      <c r="Q58" s="4" t="inlineStr">
        <is>
          <t>Não</t>
        </is>
      </c>
      <c r="R58" s="4" t="inlineStr">
        <is>
          <t>Site (navegador)</t>
        </is>
      </c>
      <c r="S58" s="4" t="n">
        <v>1</v>
      </c>
      <c r="T58" s="4" t="inlineStr">
        <is>
          <t>Não</t>
        </is>
      </c>
      <c r="U58" s="4" t="inlineStr">
        <is>
          <t>Sim</t>
        </is>
      </c>
      <c r="V58" s="4" t="inlineStr">
        <is>
          <t>Não</t>
        </is>
      </c>
      <c r="W58" s="4" t="inlineStr"/>
    </row>
    <row r="59">
      <c r="A59" s="4" t="inlineStr">
        <is>
          <t>XP Investimentos</t>
        </is>
      </c>
      <c r="B59" s="4" t="inlineStr">
        <is>
          <t>Geo Empresas Globais Em Dólares Xp Seg Prev Ficfim Rl</t>
        </is>
      </c>
      <c r="C59" s="6" t="inlineStr">
        <is>
          <t>43.859.993/0001-64</t>
        </is>
      </c>
      <c r="D59" s="4" t="inlineStr">
        <is>
          <t>XP VIDA E PREVIDÊNCIA S.A.</t>
        </is>
      </c>
      <c r="E59" s="4" t="inlineStr">
        <is>
          <t>29.408.732/0001-05</t>
        </is>
      </c>
      <c r="F59" s="4" t="inlineStr">
        <is>
          <t>XPI Administradora - Modal</t>
        </is>
      </c>
      <c r="G59" s="4" t="inlineStr">
        <is>
          <t>Multimercado</t>
        </is>
      </c>
      <c r="H59" s="4" t="inlineStr">
        <is>
          <t>Internacional Ações Não Hedgeado</t>
        </is>
      </c>
      <c r="I59" s="7" t="n">
        <v>100</v>
      </c>
      <c r="J59" s="8" t="n">
        <v>1</v>
      </c>
      <c r="K59" s="8" t="n"/>
      <c r="L59" s="4" t="inlineStr"/>
      <c r="M59" s="5" t="n">
        <v>22</v>
      </c>
      <c r="N59" s="5" t="n">
        <v>3</v>
      </c>
      <c r="O59" s="5" t="n"/>
      <c r="P59" s="4" t="inlineStr"/>
      <c r="Q59" s="4" t="inlineStr">
        <is>
          <t>Não</t>
        </is>
      </c>
      <c r="R59" s="4" t="inlineStr">
        <is>
          <t>Site (navegador)</t>
        </is>
      </c>
      <c r="S59" s="4" t="n">
        <v>1</v>
      </c>
      <c r="T59" s="4" t="inlineStr">
        <is>
          <t>Não</t>
        </is>
      </c>
      <c r="U59" s="4" t="inlineStr">
        <is>
          <t>Sim</t>
        </is>
      </c>
      <c r="V59" s="4" t="inlineStr">
        <is>
          <t>Não</t>
        </is>
      </c>
      <c r="W59" s="4" t="inlineStr"/>
    </row>
    <row r="60">
      <c r="A60" s="4" t="inlineStr">
        <is>
          <t>XP Investimentos</t>
        </is>
      </c>
      <c r="B60" s="4" t="inlineStr">
        <is>
          <t>Giant Prev FIE FIC FIM</t>
        </is>
      </c>
      <c r="C60" s="6" t="inlineStr">
        <is>
          <t>32.847.791/0001-86</t>
        </is>
      </c>
      <c r="D60" s="4" t="inlineStr">
        <is>
          <t>XP VIDA E PREVIDÊNCIA S.A.</t>
        </is>
      </c>
      <c r="E60" s="4" t="inlineStr">
        <is>
          <t>29.408.732/0001-05</t>
        </is>
      </c>
      <c r="F60" s="4" t="inlineStr">
        <is>
          <t>BNY Mellon DTVM</t>
        </is>
      </c>
      <c r="G60" s="4" t="inlineStr">
        <is>
          <t>Multimercado</t>
        </is>
      </c>
      <c r="H60" s="4" t="inlineStr">
        <is>
          <t>Quantitativo</t>
        </is>
      </c>
      <c r="I60" s="7" t="n">
        <v>100</v>
      </c>
      <c r="J60" s="8" t="n">
        <v>1.5</v>
      </c>
      <c r="K60" s="8" t="n"/>
      <c r="L60" s="4" t="inlineStr"/>
      <c r="M60" s="5" t="n">
        <v>7</v>
      </c>
      <c r="N60" s="5" t="n">
        <v>1</v>
      </c>
      <c r="O60" s="5" t="n"/>
      <c r="P60" s="4" t="inlineStr"/>
      <c r="Q60" s="4" t="inlineStr">
        <is>
          <t>Não</t>
        </is>
      </c>
      <c r="R60" s="4" t="inlineStr">
        <is>
          <t>Site (navegador)</t>
        </is>
      </c>
      <c r="S60" s="4" t="n">
        <v>1</v>
      </c>
      <c r="T60" s="4" t="inlineStr">
        <is>
          <t>Não</t>
        </is>
      </c>
      <c r="U60" s="4" t="inlineStr">
        <is>
          <t>Sim</t>
        </is>
      </c>
      <c r="V60" s="4" t="inlineStr">
        <is>
          <t>Não</t>
        </is>
      </c>
      <c r="W60" s="4" t="inlineStr"/>
    </row>
    <row r="61">
      <c r="A61" s="4" t="inlineStr">
        <is>
          <t>XP Investimentos</t>
        </is>
      </c>
      <c r="B61" s="4" t="inlineStr">
        <is>
          <t>Giant Zarathustra 80 Prev Xp Seg Fic Fim Rl</t>
        </is>
      </c>
      <c r="C61" s="6" t="inlineStr">
        <is>
          <t>47.020.660/0001-06</t>
        </is>
      </c>
      <c r="D61" s="4" t="inlineStr">
        <is>
          <t>XP VIDA E PREVIDÊNCIA S.A.</t>
        </is>
      </c>
      <c r="E61" s="4" t="inlineStr">
        <is>
          <t>29.408.732/0001-05</t>
        </is>
      </c>
      <c r="F61" s="4" t="inlineStr">
        <is>
          <t>XPI Administradora - Modal</t>
        </is>
      </c>
      <c r="G61" s="4" t="inlineStr">
        <is>
          <t>Multimercado</t>
        </is>
      </c>
      <c r="H61" s="4" t="inlineStr">
        <is>
          <t>Quantitativo</t>
        </is>
      </c>
      <c r="I61" s="7" t="n">
        <v>100</v>
      </c>
      <c r="J61" s="8" t="n">
        <v>1</v>
      </c>
      <c r="K61" s="8" t="n"/>
      <c r="L61" s="4" t="inlineStr"/>
      <c r="M61" s="5" t="n">
        <v>5</v>
      </c>
      <c r="N61" s="5" t="n">
        <v>2</v>
      </c>
      <c r="O61" s="5" t="n"/>
      <c r="P61" s="4" t="inlineStr"/>
      <c r="Q61" s="4" t="inlineStr">
        <is>
          <t>Não</t>
        </is>
      </c>
      <c r="R61" s="4" t="inlineStr">
        <is>
          <t>Site (navegador)</t>
        </is>
      </c>
      <c r="S61" s="4" t="n">
        <v>1</v>
      </c>
      <c r="T61" s="4" t="inlineStr">
        <is>
          <t>Não</t>
        </is>
      </c>
      <c r="U61" s="4" t="inlineStr">
        <is>
          <t>Sim</t>
        </is>
      </c>
      <c r="V61" s="4" t="inlineStr">
        <is>
          <t>Não</t>
        </is>
      </c>
      <c r="W61" s="4" t="inlineStr"/>
    </row>
    <row r="62">
      <c r="A62" s="4" t="inlineStr">
        <is>
          <t>XP Investimentos</t>
        </is>
      </c>
      <c r="B62" s="4" t="inlineStr">
        <is>
          <t>Guepardo 70 Xp Seg Prev Ficfim</t>
        </is>
      </c>
      <c r="C62" s="6" t="inlineStr">
        <is>
          <t>44.409.327/0001-97</t>
        </is>
      </c>
      <c r="D62" s="4" t="inlineStr">
        <is>
          <t>XP VIDA E PREVIDÊNCIA S.A.</t>
        </is>
      </c>
      <c r="E62" s="4" t="inlineStr">
        <is>
          <t>29.408.732/0001-05</t>
        </is>
      </c>
      <c r="F62" s="4" t="inlineStr">
        <is>
          <t>XP Investimentos</t>
        </is>
      </c>
      <c r="G62" s="4" t="inlineStr">
        <is>
          <t>Multimercado</t>
        </is>
      </c>
      <c r="H62" s="4" t="inlineStr">
        <is>
          <t>Renda Variável Long Only</t>
        </is>
      </c>
      <c r="I62" s="7" t="n">
        <v>100</v>
      </c>
      <c r="J62" s="8" t="n">
        <v>1.5</v>
      </c>
      <c r="K62" s="8" t="n"/>
      <c r="L62" s="4" t="inlineStr"/>
      <c r="M62" s="5" t="n">
        <v>7</v>
      </c>
      <c r="N62" s="5" t="n">
        <v>2</v>
      </c>
      <c r="O62" s="5" t="n"/>
      <c r="P62" s="4" t="inlineStr"/>
      <c r="Q62" s="4" t="inlineStr">
        <is>
          <t>Não</t>
        </is>
      </c>
      <c r="R62" s="4" t="inlineStr">
        <is>
          <t>Site (navegador)</t>
        </is>
      </c>
      <c r="S62" s="4" t="n">
        <v>1</v>
      </c>
      <c r="T62" s="4" t="inlineStr">
        <is>
          <t>Não</t>
        </is>
      </c>
      <c r="U62" s="4" t="inlineStr">
        <is>
          <t>Sim</t>
        </is>
      </c>
      <c r="V62" s="4" t="inlineStr">
        <is>
          <t>Não</t>
        </is>
      </c>
      <c r="W62" s="4" t="inlineStr"/>
    </row>
    <row r="63">
      <c r="A63" s="4" t="inlineStr">
        <is>
          <t>XP Investimentos</t>
        </is>
      </c>
      <c r="B63" s="4" t="inlineStr">
        <is>
          <t>Guepardo XP Seg Prev FIC FIM</t>
        </is>
      </c>
      <c r="C63" s="6" t="inlineStr">
        <is>
          <t>35.956.641/0001-07</t>
        </is>
      </c>
      <c r="D63" s="4" t="inlineStr">
        <is>
          <t>XP VIDA E PREVIDÊNCIA S.A.</t>
        </is>
      </c>
      <c r="E63" s="4" t="inlineStr">
        <is>
          <t>29.408.732/0001-05</t>
        </is>
      </c>
      <c r="F63" s="4" t="inlineStr">
        <is>
          <t>BTG Pactual DTVM</t>
        </is>
      </c>
      <c r="G63" s="4" t="inlineStr">
        <is>
          <t>Multimercado</t>
        </is>
      </c>
      <c r="H63" s="4" t="inlineStr">
        <is>
          <t>Renda Variável Long Only</t>
        </is>
      </c>
      <c r="I63" s="7" t="n">
        <v>100</v>
      </c>
      <c r="J63" s="8" t="n">
        <v>2</v>
      </c>
      <c r="K63" s="8" t="n"/>
      <c r="L63" s="4" t="inlineStr"/>
      <c r="M63" s="5" t="n">
        <v>21</v>
      </c>
      <c r="N63" s="5" t="n">
        <v>2</v>
      </c>
      <c r="O63" s="5" t="n"/>
      <c r="P63" s="4" t="inlineStr"/>
      <c r="Q63" s="4" t="inlineStr">
        <is>
          <t>Não</t>
        </is>
      </c>
      <c r="R63" s="4" t="inlineStr">
        <is>
          <t>Site (navegador)</t>
        </is>
      </c>
      <c r="S63" s="4" t="n">
        <v>1</v>
      </c>
      <c r="T63" s="4" t="inlineStr">
        <is>
          <t>Não</t>
        </is>
      </c>
      <c r="U63" s="4" t="inlineStr">
        <is>
          <t>Sim</t>
        </is>
      </c>
      <c r="V63" s="4" t="inlineStr">
        <is>
          <t>Não</t>
        </is>
      </c>
      <c r="W63" s="4" t="inlineStr"/>
    </row>
    <row r="64">
      <c r="A64" s="4" t="inlineStr">
        <is>
          <t>XP Investimentos</t>
        </is>
      </c>
      <c r="B64" s="4" t="inlineStr">
        <is>
          <t>Hashdex 40 Nasdaq Crypto Index Xp Seg Prev Ficfim Rl</t>
        </is>
      </c>
      <c r="C64" s="6" t="inlineStr">
        <is>
          <t>39.992.897/0001-12</t>
        </is>
      </c>
      <c r="D64" s="4" t="inlineStr">
        <is>
          <t>XP VIDA E PREVIDÊNCIA S.A.</t>
        </is>
      </c>
      <c r="E64" s="4" t="inlineStr">
        <is>
          <t>29.408.732/0001-05</t>
        </is>
      </c>
      <c r="F64" s="4" t="inlineStr">
        <is>
          <t>XPI Administradora - Modal</t>
        </is>
      </c>
      <c r="G64" s="4" t="inlineStr">
        <is>
          <t>Multimercado</t>
        </is>
      </c>
      <c r="H64" s="4" t="inlineStr">
        <is>
          <t>Alternativo Líquido</t>
        </is>
      </c>
      <c r="I64" s="7" t="n">
        <v>100</v>
      </c>
      <c r="J64" s="8" t="n">
        <v>1.5</v>
      </c>
      <c r="K64" s="8" t="n"/>
      <c r="L64" s="4" t="inlineStr"/>
      <c r="M64" s="5" t="n">
        <v>5</v>
      </c>
      <c r="N64" s="5" t="n">
        <v>2</v>
      </c>
      <c r="O64" s="5" t="n"/>
      <c r="P64" s="4" t="inlineStr"/>
      <c r="Q64" s="4" t="inlineStr">
        <is>
          <t>Não</t>
        </is>
      </c>
      <c r="R64" s="4" t="inlineStr">
        <is>
          <t>Site (navegador)</t>
        </is>
      </c>
      <c r="S64" s="4" t="n">
        <v>1</v>
      </c>
      <c r="T64" s="4" t="inlineStr">
        <is>
          <t>Não</t>
        </is>
      </c>
      <c r="U64" s="4" t="inlineStr">
        <is>
          <t>Sim</t>
        </is>
      </c>
      <c r="V64" s="4" t="inlineStr">
        <is>
          <t>Não</t>
        </is>
      </c>
      <c r="W64" s="4" t="inlineStr"/>
    </row>
    <row r="65">
      <c r="A65" s="4" t="inlineStr">
        <is>
          <t>XP Investimentos</t>
        </is>
      </c>
      <c r="B65" s="4" t="inlineStr">
        <is>
          <t>Hix Xp Seg Prev Fic Fim</t>
        </is>
      </c>
      <c r="C65" s="6" t="inlineStr">
        <is>
          <t>40.779.216/0001-11</t>
        </is>
      </c>
      <c r="D65" s="4" t="inlineStr">
        <is>
          <t>XP VIDA E PREVIDÊNCIA S.A.</t>
        </is>
      </c>
      <c r="E65" s="4" t="inlineStr">
        <is>
          <t>29.408.732/0001-05</t>
        </is>
      </c>
      <c r="F65" s="4" t="inlineStr">
        <is>
          <t>XPI Administradora</t>
        </is>
      </c>
      <c r="G65" s="4" t="inlineStr">
        <is>
          <t>Multimercado</t>
        </is>
      </c>
      <c r="H65" s="4" t="inlineStr">
        <is>
          <t>Renda Variável Long Only</t>
        </is>
      </c>
      <c r="I65" s="7" t="n">
        <v>5000</v>
      </c>
      <c r="J65" s="8" t="n">
        <v>2</v>
      </c>
      <c r="K65" s="8" t="n"/>
      <c r="L65" s="4" t="inlineStr"/>
      <c r="M65" s="5" t="n">
        <v>60</v>
      </c>
      <c r="N65" s="5" t="n">
        <v>2</v>
      </c>
      <c r="O65" s="5" t="n"/>
      <c r="P65" s="4" t="inlineStr"/>
      <c r="Q65" s="4" t="inlineStr">
        <is>
          <t>Não</t>
        </is>
      </c>
      <c r="R65" s="4" t="inlineStr">
        <is>
          <t>Site (navegador)</t>
        </is>
      </c>
      <c r="S65" s="4" t="n">
        <v>1</v>
      </c>
      <c r="T65" s="4" t="inlineStr">
        <is>
          <t>Não</t>
        </is>
      </c>
      <c r="U65" s="4" t="inlineStr">
        <is>
          <t>Sim</t>
        </is>
      </c>
      <c r="V65" s="4" t="inlineStr">
        <is>
          <t>Não</t>
        </is>
      </c>
      <c r="W65" s="4" t="inlineStr"/>
    </row>
    <row r="66">
      <c r="A66" s="4" t="inlineStr">
        <is>
          <t>XP Investimentos</t>
        </is>
      </c>
      <c r="B66" s="4" t="inlineStr">
        <is>
          <t>IP Prev XP Seg IQ FIC FIM</t>
        </is>
      </c>
      <c r="C66" s="6" t="inlineStr">
        <is>
          <t>35.955.960/0001-90</t>
        </is>
      </c>
      <c r="D66" s="4" t="inlineStr">
        <is>
          <t>INVESTIDOR PROFISSIONAL GESTÃO DE RECURSOS LTDA</t>
        </is>
      </c>
      <c r="E66" s="4" t="inlineStr">
        <is>
          <t>32.319.907/0001-04</t>
        </is>
      </c>
      <c r="F66" s="4" t="inlineStr">
        <is>
          <t>BNY Mellon DTVM</t>
        </is>
      </c>
      <c r="G66" s="4" t="inlineStr">
        <is>
          <t>Multimercado</t>
        </is>
      </c>
      <c r="H66" s="4" t="inlineStr">
        <is>
          <t>Renda Variável Long Only</t>
        </is>
      </c>
      <c r="I66" s="7" t="n">
        <v>100</v>
      </c>
      <c r="J66" s="8" t="n">
        <v>2</v>
      </c>
      <c r="K66" s="8" t="n"/>
      <c r="L66" s="4" t="inlineStr"/>
      <c r="M66" s="5" t="n">
        <v>20</v>
      </c>
      <c r="N66" s="5" t="n">
        <v>2</v>
      </c>
      <c r="O66" s="5" t="n"/>
      <c r="P66" s="4" t="inlineStr"/>
      <c r="Q66" s="4" t="inlineStr">
        <is>
          <t>Não</t>
        </is>
      </c>
      <c r="R66" s="4" t="inlineStr">
        <is>
          <t>Site (navegador)</t>
        </is>
      </c>
      <c r="S66" s="4" t="n">
        <v>1</v>
      </c>
      <c r="T66" s="4" t="inlineStr">
        <is>
          <t>Não</t>
        </is>
      </c>
      <c r="U66" s="4" t="inlineStr">
        <is>
          <t>Sim</t>
        </is>
      </c>
      <c r="V66" s="4" t="inlineStr">
        <is>
          <t>Não</t>
        </is>
      </c>
      <c r="W66" s="4" t="inlineStr"/>
    </row>
    <row r="67">
      <c r="A67" s="4" t="inlineStr">
        <is>
          <t>XP Investimentos</t>
        </is>
      </c>
      <c r="B67" s="4" t="inlineStr">
        <is>
          <t>Ibiuna Credit Xp Seg Prev Ficfim Cp Rl</t>
        </is>
      </c>
      <c r="C67" s="6" t="inlineStr">
        <is>
          <t>44.409.353/0001-15</t>
        </is>
      </c>
      <c r="D67" s="4" t="inlineStr">
        <is>
          <t>XP VIDA E PREVIDÊNCIA S.A.</t>
        </is>
      </c>
      <c r="E67" s="4" t="inlineStr">
        <is>
          <t>29.408.732/0001-05</t>
        </is>
      </c>
      <c r="F67" s="4" t="inlineStr">
        <is>
          <t>XPI Administradora - Modal</t>
        </is>
      </c>
      <c r="G67" s="4" t="inlineStr">
        <is>
          <t>Multimercado</t>
        </is>
      </c>
      <c r="H67" s="4" t="inlineStr">
        <is>
          <t>Crédito High Grade</t>
        </is>
      </c>
      <c r="I67" s="7" t="n">
        <v>100</v>
      </c>
      <c r="J67" s="8" t="n">
        <v>0.8</v>
      </c>
      <c r="K67" s="8" t="n"/>
      <c r="L67" s="4" t="inlineStr"/>
      <c r="M67" s="5" t="n">
        <v>22</v>
      </c>
      <c r="N67" s="5" t="n">
        <v>1</v>
      </c>
      <c r="O67" s="5" t="n"/>
      <c r="P67" s="4" t="inlineStr"/>
      <c r="Q67" s="4" t="inlineStr">
        <is>
          <t>Não</t>
        </is>
      </c>
      <c r="R67" s="4" t="inlineStr">
        <is>
          <t>Site (navegador)</t>
        </is>
      </c>
      <c r="S67" s="4" t="n">
        <v>1</v>
      </c>
      <c r="T67" s="4" t="inlineStr">
        <is>
          <t>Não</t>
        </is>
      </c>
      <c r="U67" s="4" t="inlineStr">
        <is>
          <t>Sim</t>
        </is>
      </c>
      <c r="V67" s="4" t="inlineStr">
        <is>
          <t>Não</t>
        </is>
      </c>
      <c r="W67" s="4" t="inlineStr"/>
    </row>
    <row r="68">
      <c r="A68" s="4" t="inlineStr">
        <is>
          <t>XP Investimentos</t>
        </is>
      </c>
      <c r="B68" s="4" t="inlineStr">
        <is>
          <t>Ibiuna Prev Xp Seg Ficfim</t>
        </is>
      </c>
      <c r="C68" s="6" t="inlineStr">
        <is>
          <t>36.620.088/0001-91</t>
        </is>
      </c>
      <c r="D68" s="4" t="inlineStr">
        <is>
          <t>XP VIDA E PREVIDÊNCIA S.A.</t>
        </is>
      </c>
      <c r="E68" s="4" t="inlineStr">
        <is>
          <t>29.408.732/0001-05</t>
        </is>
      </c>
      <c r="F68" s="4" t="inlineStr">
        <is>
          <t>XP Serviços Financeiros DTVM LTDA</t>
        </is>
      </c>
      <c r="G68" s="4" t="inlineStr">
        <is>
          <t>Multimercado</t>
        </is>
      </c>
      <c r="H68" s="4" t="inlineStr">
        <is>
          <t>Macro Média Vol</t>
        </is>
      </c>
      <c r="I68" s="7" t="n">
        <v>100</v>
      </c>
      <c r="J68" s="8" t="n">
        <v>1.96</v>
      </c>
      <c r="K68" s="8" t="n"/>
      <c r="L68" s="4" t="inlineStr"/>
      <c r="M68" s="5" t="n">
        <v>0</v>
      </c>
      <c r="N68" s="5" t="n">
        <v>2</v>
      </c>
      <c r="O68" s="5" t="n"/>
      <c r="P68" s="4" t="inlineStr"/>
      <c r="Q68" s="4" t="inlineStr">
        <is>
          <t>Não</t>
        </is>
      </c>
      <c r="R68" s="4" t="inlineStr">
        <is>
          <t>Site (navegador)</t>
        </is>
      </c>
      <c r="S68" s="4" t="n">
        <v>1</v>
      </c>
      <c r="T68" s="4" t="inlineStr">
        <is>
          <t>Não</t>
        </is>
      </c>
      <c r="U68" s="4" t="inlineStr">
        <is>
          <t>Sim</t>
        </is>
      </c>
      <c r="V68" s="4" t="inlineStr">
        <is>
          <t>Não</t>
        </is>
      </c>
      <c r="W68" s="4" t="inlineStr"/>
    </row>
    <row r="69">
      <c r="A69" s="4" t="inlineStr">
        <is>
          <t>XP Investimentos</t>
        </is>
      </c>
      <c r="B69" s="4" t="inlineStr">
        <is>
          <t>Ibiuna RF Ativo XP Seg Prev FIE I FIF CI RF RL</t>
        </is>
      </c>
      <c r="C69" s="6" t="inlineStr">
        <is>
          <t>65.536.263/0001-65</t>
        </is>
      </c>
      <c r="D69" s="4" t="inlineStr">
        <is>
          <t>IBIUNA PREVIDÊNCIA GESTÃO DE RECURSOS LTDA.</t>
        </is>
      </c>
      <c r="E69" s="4" t="inlineStr">
        <is>
          <t>49.223.404/0001-33</t>
        </is>
      </c>
      <c r="F69" s="4" t="inlineStr">
        <is>
          <t>BEM DTVM</t>
        </is>
      </c>
      <c r="G69" s="4" t="inlineStr">
        <is>
          <t>Renda Fixa</t>
        </is>
      </c>
      <c r="H69" s="4" t="inlineStr">
        <is>
          <t>Renda Fixa Ativo</t>
        </is>
      </c>
      <c r="I69" s="7" t="n">
        <v>100</v>
      </c>
      <c r="J69" s="8" t="n">
        <v>0.8</v>
      </c>
      <c r="K69" s="8" t="n"/>
      <c r="L69" s="4" t="inlineStr"/>
      <c r="M69" s="5" t="n">
        <v>3</v>
      </c>
      <c r="N69" s="5" t="n">
        <v>1</v>
      </c>
      <c r="O69" s="5" t="n"/>
      <c r="P69" s="4" t="inlineStr"/>
      <c r="Q69" s="4" t="inlineStr">
        <is>
          <t>Não</t>
        </is>
      </c>
      <c r="R69" s="4" t="inlineStr">
        <is>
          <t>Site (navegador)</t>
        </is>
      </c>
      <c r="S69" s="4" t="n">
        <v>1</v>
      </c>
      <c r="T69" s="4" t="inlineStr">
        <is>
          <t>Não</t>
        </is>
      </c>
      <c r="U69" s="4" t="inlineStr">
        <is>
          <t>Sim</t>
        </is>
      </c>
      <c r="V69" s="4" t="inlineStr">
        <is>
          <t>Não</t>
        </is>
      </c>
      <c r="W69" s="4" t="inlineStr"/>
    </row>
    <row r="70">
      <c r="A70" s="4" t="inlineStr">
        <is>
          <t>XP Investimentos</t>
        </is>
      </c>
      <c r="B70" s="4" t="inlineStr">
        <is>
          <t>Ibiuna ST XP Seg Prev FIC FIM CP</t>
        </is>
      </c>
      <c r="C70" s="6" t="inlineStr">
        <is>
          <t>44.409.430/0001-37</t>
        </is>
      </c>
      <c r="D70" s="4" t="inlineStr">
        <is>
          <t>XP VIDA E PREVIDÊNCIA S.A.</t>
        </is>
      </c>
      <c r="E70" s="4" t="inlineStr">
        <is>
          <t>29.408.732/0001-05</t>
        </is>
      </c>
      <c r="F70" s="4" t="inlineStr">
        <is>
          <t>XPI Administradora - Modal</t>
        </is>
      </c>
      <c r="G70" s="4" t="inlineStr">
        <is>
          <t>Multimercado</t>
        </is>
      </c>
      <c r="H70" s="4" t="inlineStr">
        <is>
          <t>Macro Alta Vol</t>
        </is>
      </c>
      <c r="I70" s="7" t="n">
        <v>100</v>
      </c>
      <c r="J70" s="8" t="n">
        <v>2</v>
      </c>
      <c r="K70" s="8" t="n"/>
      <c r="L70" s="4" t="inlineStr"/>
      <c r="M70" s="5" t="n">
        <v>22</v>
      </c>
      <c r="N70" s="5" t="n">
        <v>1</v>
      </c>
      <c r="O70" s="5" t="n"/>
      <c r="P70" s="4" t="inlineStr"/>
      <c r="Q70" s="4" t="inlineStr">
        <is>
          <t>Não</t>
        </is>
      </c>
      <c r="R70" s="4" t="inlineStr">
        <is>
          <t>Site (navegador)</t>
        </is>
      </c>
      <c r="S70" s="4" t="n">
        <v>1</v>
      </c>
      <c r="T70" s="4" t="inlineStr">
        <is>
          <t>Não</t>
        </is>
      </c>
      <c r="U70" s="4" t="inlineStr">
        <is>
          <t>Sim</t>
        </is>
      </c>
      <c r="V70" s="4" t="inlineStr">
        <is>
          <t>Não</t>
        </is>
      </c>
      <c r="W70" s="4" t="inlineStr"/>
    </row>
    <row r="71">
      <c r="A71" s="4" t="inlineStr">
        <is>
          <t>XP Investimentos</t>
        </is>
      </c>
      <c r="B71" s="4" t="inlineStr">
        <is>
          <t>Icatu Vanguarda Absoluto II Xp Seg Fundo De Investimento Renda Fixa Crédito Priv</t>
        </is>
      </c>
      <c r="C71" s="6" t="inlineStr">
        <is>
          <t>52.986.251/0001-90</t>
        </is>
      </c>
      <c r="D71" s="4" t="inlineStr">
        <is>
          <t>ICATU VANGUARDA GESTÃO DE RECURSOS LTDA</t>
        </is>
      </c>
      <c r="E71" s="4" t="inlineStr">
        <is>
          <t>68.622.174/0001-20</t>
        </is>
      </c>
      <c r="F71" s="4" t="inlineStr">
        <is>
          <t>XP Investimentos</t>
        </is>
      </c>
      <c r="G71" s="4" t="inlineStr">
        <is>
          <t>Renda Fixa</t>
        </is>
      </c>
      <c r="H71" s="4" t="inlineStr">
        <is>
          <t>Crédito High Grade</t>
        </is>
      </c>
      <c r="I71" s="7" t="n">
        <v>100</v>
      </c>
      <c r="J71" s="8" t="n">
        <v>0.8</v>
      </c>
      <c r="K71" s="8" t="n"/>
      <c r="L71" s="4" t="inlineStr"/>
      <c r="M71" s="5" t="n">
        <v>9</v>
      </c>
      <c r="N71" s="5" t="n">
        <v>1</v>
      </c>
      <c r="O71" s="5" t="n"/>
      <c r="P71" s="4" t="inlineStr"/>
      <c r="Q71" s="4" t="inlineStr">
        <is>
          <t>Não</t>
        </is>
      </c>
      <c r="R71" s="4" t="inlineStr">
        <is>
          <t>Site (navegador)</t>
        </is>
      </c>
      <c r="S71" s="4" t="n">
        <v>1</v>
      </c>
      <c r="T71" s="4" t="inlineStr">
        <is>
          <t>Não</t>
        </is>
      </c>
      <c r="U71" s="4" t="inlineStr">
        <is>
          <t>Sim</t>
        </is>
      </c>
      <c r="V71" s="4" t="inlineStr">
        <is>
          <t>Não</t>
        </is>
      </c>
      <c r="W71" s="4" t="inlineStr"/>
    </row>
    <row r="72">
      <c r="A72" s="4" t="inlineStr">
        <is>
          <t>XP Investimentos</t>
        </is>
      </c>
      <c r="B72" s="4" t="inlineStr">
        <is>
          <t>Icatu Vanguarda Absoluto Inflação Xp Seg Cp Prev Rl</t>
        </is>
      </c>
      <c r="C72" s="6" t="inlineStr">
        <is>
          <t>52.986.103/0001-76</t>
        </is>
      </c>
      <c r="D72" s="4" t="inlineStr">
        <is>
          <t>ICATU VANGUARDA GESTÃO DE RECURSOS LTDA</t>
        </is>
      </c>
      <c r="E72" s="4" t="inlineStr">
        <is>
          <t>68.622.174/0001-20</t>
        </is>
      </c>
      <c r="F72" s="4" t="inlineStr">
        <is>
          <t>XP Investimentos</t>
        </is>
      </c>
      <c r="G72" s="4" t="inlineStr">
        <is>
          <t>Renda Fixa</t>
        </is>
      </c>
      <c r="H72" s="4" t="inlineStr">
        <is>
          <t>Renda Fixa Inflação</t>
        </is>
      </c>
      <c r="I72" s="7" t="n">
        <v>100</v>
      </c>
      <c r="J72" s="8" t="n">
        <v>0.83</v>
      </c>
      <c r="K72" s="8" t="n"/>
      <c r="L72" s="4" t="inlineStr"/>
      <c r="M72" s="5" t="n">
        <v>9</v>
      </c>
      <c r="N72" s="5" t="n">
        <v>1</v>
      </c>
      <c r="O72" s="5" t="n"/>
      <c r="P72" s="4" t="inlineStr"/>
      <c r="Q72" s="4" t="inlineStr">
        <is>
          <t>Não</t>
        </is>
      </c>
      <c r="R72" s="4" t="inlineStr">
        <is>
          <t>Site (navegador)</t>
        </is>
      </c>
      <c r="S72" s="4" t="n">
        <v>1</v>
      </c>
      <c r="T72" s="4" t="inlineStr">
        <is>
          <t>Não</t>
        </is>
      </c>
      <c r="U72" s="4" t="inlineStr">
        <is>
          <t>Sim</t>
        </is>
      </c>
      <c r="V72" s="4" t="inlineStr">
        <is>
          <t>Não</t>
        </is>
      </c>
      <c r="W72" s="4" t="inlineStr"/>
    </row>
    <row r="73">
      <c r="A73" s="4" t="inlineStr">
        <is>
          <t>XP Investimentos</t>
        </is>
      </c>
      <c r="B73" s="4" t="inlineStr">
        <is>
          <t>Icatu Vanguarda Absoluto Plus Qualificado Xp Seg FI RF CP PREV RL</t>
        </is>
      </c>
      <c r="C73" s="6" t="inlineStr">
        <is>
          <t>53.990.350/0001-09</t>
        </is>
      </c>
      <c r="D73" s="4" t="inlineStr">
        <is>
          <t>ICATU VANGUARDA GESTÃO DE RECURSOS LTDA</t>
        </is>
      </c>
      <c r="E73" s="4" t="inlineStr">
        <is>
          <t>68.622.174/0001-20</t>
        </is>
      </c>
      <c r="F73" s="4" t="inlineStr">
        <is>
          <t>XP Investimentos</t>
        </is>
      </c>
      <c r="G73" s="4" t="inlineStr">
        <is>
          <t>Renda Fixa</t>
        </is>
      </c>
      <c r="H73" s="4" t="inlineStr">
        <is>
          <t>Crédito High Grade</t>
        </is>
      </c>
      <c r="I73" s="7" t="n">
        <v>100</v>
      </c>
      <c r="J73" s="8" t="n">
        <v>0.73</v>
      </c>
      <c r="K73" s="8" t="n"/>
      <c r="L73" s="4" t="inlineStr"/>
      <c r="M73" s="5" t="n">
        <v>20</v>
      </c>
      <c r="N73" s="5" t="n">
        <v>1</v>
      </c>
      <c r="O73" s="5" t="n"/>
      <c r="P73" s="4" t="inlineStr"/>
      <c r="Q73" s="4" t="inlineStr">
        <is>
          <t>Não</t>
        </is>
      </c>
      <c r="R73" s="4" t="inlineStr">
        <is>
          <t>Site (navegador)</t>
        </is>
      </c>
      <c r="S73" s="4" t="n">
        <v>1</v>
      </c>
      <c r="T73" s="4" t="inlineStr">
        <is>
          <t>Não</t>
        </is>
      </c>
      <c r="U73" s="4" t="inlineStr">
        <is>
          <t>Sim</t>
        </is>
      </c>
      <c r="V73" s="4" t="inlineStr">
        <is>
          <t>Não</t>
        </is>
      </c>
      <c r="W73" s="4" t="inlineStr"/>
    </row>
    <row r="74">
      <c r="A74" s="4" t="inlineStr">
        <is>
          <t>XP Investimentos</t>
        </is>
      </c>
      <c r="B74" s="4" t="inlineStr">
        <is>
          <t>Icatu Vanguarda Dinâmico Cdi Xp Seg Fim Crédito Rl</t>
        </is>
      </c>
      <c r="C74" s="6" t="inlineStr">
        <is>
          <t>53.990.541/0001-70</t>
        </is>
      </c>
      <c r="D74" s="4" t="inlineStr">
        <is>
          <t>ICATU VANGUARDA GESTÃO DE RECURSOS LTDA</t>
        </is>
      </c>
      <c r="E74" s="4" t="inlineStr">
        <is>
          <t>68.622.174/0001-20</t>
        </is>
      </c>
      <c r="F74" s="4" t="inlineStr">
        <is>
          <t>XP Investimentos</t>
        </is>
      </c>
      <c r="G74" s="4" t="inlineStr">
        <is>
          <t>Multimercado</t>
        </is>
      </c>
      <c r="H74" s="4" t="inlineStr">
        <is>
          <t>Renda Fixa Ativo</t>
        </is>
      </c>
      <c r="I74" s="7" t="n">
        <v>100</v>
      </c>
      <c r="J74" s="8" t="n">
        <v>0.9</v>
      </c>
      <c r="K74" s="8" t="n"/>
      <c r="L74" s="4" t="inlineStr"/>
      <c r="M74" s="5" t="n">
        <v>8</v>
      </c>
      <c r="N74" s="5" t="n">
        <v>2</v>
      </c>
      <c r="O74" s="5" t="n"/>
      <c r="P74" s="4" t="inlineStr"/>
      <c r="Q74" s="4" t="inlineStr">
        <is>
          <t>Não</t>
        </is>
      </c>
      <c r="R74" s="4" t="inlineStr">
        <is>
          <t>Site (navegador)</t>
        </is>
      </c>
      <c r="S74" s="4" t="n">
        <v>1</v>
      </c>
      <c r="T74" s="4" t="inlineStr">
        <is>
          <t>Não</t>
        </is>
      </c>
      <c r="U74" s="4" t="inlineStr">
        <is>
          <t>Sim</t>
        </is>
      </c>
      <c r="V74" s="4" t="inlineStr">
        <is>
          <t>Não</t>
        </is>
      </c>
      <c r="W74" s="4" t="inlineStr"/>
    </row>
    <row r="75">
      <c r="A75" s="4" t="inlineStr">
        <is>
          <t>XP Investimentos</t>
        </is>
      </c>
      <c r="B75" s="4" t="inlineStr">
        <is>
          <t>Icatu Vanguarda Dinâmico Ipca Xp Seg Fim Cp Prev Rl</t>
        </is>
      </c>
      <c r="C75" s="6" t="inlineStr">
        <is>
          <t>47.020.699/0001-15</t>
        </is>
      </c>
      <c r="D75" s="4" t="inlineStr">
        <is>
          <t>ICATU VANGUARDA GESTÃO DE RECURSOS LTDA</t>
        </is>
      </c>
      <c r="E75" s="4" t="inlineStr">
        <is>
          <t>68.622.174/0001-20</t>
        </is>
      </c>
      <c r="F75" s="4" t="inlineStr">
        <is>
          <t>XP Investimentos</t>
        </is>
      </c>
      <c r="G75" s="4" t="inlineStr">
        <is>
          <t>Multimercado</t>
        </is>
      </c>
      <c r="H75" s="4" t="inlineStr">
        <is>
          <t>Inflação/Pré Indexado</t>
        </is>
      </c>
      <c r="I75" s="7" t="n">
        <v>100</v>
      </c>
      <c r="J75" s="8" t="n">
        <v>0.98</v>
      </c>
      <c r="K75" s="8" t="n"/>
      <c r="L75" s="4" t="inlineStr"/>
      <c r="M75" s="5" t="n">
        <v>8</v>
      </c>
      <c r="N75" s="5" t="n">
        <v>2</v>
      </c>
      <c r="O75" s="5" t="n"/>
      <c r="P75" s="4" t="inlineStr"/>
      <c r="Q75" s="4" t="inlineStr">
        <is>
          <t>Não</t>
        </is>
      </c>
      <c r="R75" s="4" t="inlineStr">
        <is>
          <t>Site (navegador)</t>
        </is>
      </c>
      <c r="S75" s="4" t="n">
        <v>1</v>
      </c>
      <c r="T75" s="4" t="inlineStr">
        <is>
          <t>Não</t>
        </is>
      </c>
      <c r="U75" s="4" t="inlineStr">
        <is>
          <t>Sim</t>
        </is>
      </c>
      <c r="V75" s="4" t="inlineStr">
        <is>
          <t>Não</t>
        </is>
      </c>
      <c r="W75" s="4" t="inlineStr"/>
    </row>
    <row r="76">
      <c r="A76" s="4" t="inlineStr">
        <is>
          <t>XP Investimentos</t>
        </is>
      </c>
      <c r="B76" s="4" t="inlineStr">
        <is>
          <t>Icatu Vanguarda Igaraté Xp Seg Fic Multimercado Cp Prev Rl</t>
        </is>
      </c>
      <c r="C76" s="6" t="inlineStr">
        <is>
          <t>49.228.291/0001-69</t>
        </is>
      </c>
      <c r="D76" s="4" t="inlineStr">
        <is>
          <t>ICATU VANGUARDA GESTÃO DE RECURSOS LTDA</t>
        </is>
      </c>
      <c r="E76" s="4" t="inlineStr">
        <is>
          <t>68.622.174/0001-20</t>
        </is>
      </c>
      <c r="F76" s="4" t="inlineStr">
        <is>
          <t>XP Investimentos</t>
        </is>
      </c>
      <c r="G76" s="4" t="inlineStr">
        <is>
          <t>Multimercado</t>
        </is>
      </c>
      <c r="H76" s="4" t="inlineStr">
        <is>
          <t>Renda Variável Long Biased</t>
        </is>
      </c>
      <c r="I76" s="7" t="n">
        <v>100</v>
      </c>
      <c r="J76" s="8" t="n">
        <v>2</v>
      </c>
      <c r="K76" s="8" t="n"/>
      <c r="L76" s="4" t="inlineStr"/>
      <c r="M76" s="5" t="n">
        <v>8</v>
      </c>
      <c r="N76" s="5" t="n">
        <v>2</v>
      </c>
      <c r="O76" s="5" t="n"/>
      <c r="P76" s="4" t="inlineStr"/>
      <c r="Q76" s="4" t="inlineStr">
        <is>
          <t>Não</t>
        </is>
      </c>
      <c r="R76" s="4" t="inlineStr">
        <is>
          <t>Site (navegador)</t>
        </is>
      </c>
      <c r="S76" s="4" t="n">
        <v>1</v>
      </c>
      <c r="T76" s="4" t="inlineStr">
        <is>
          <t>Não</t>
        </is>
      </c>
      <c r="U76" s="4" t="inlineStr">
        <is>
          <t>Sim</t>
        </is>
      </c>
      <c r="V76" s="4" t="inlineStr">
        <is>
          <t>Não</t>
        </is>
      </c>
      <c r="W76" s="4" t="inlineStr"/>
    </row>
    <row r="77">
      <c r="A77" s="4" t="inlineStr">
        <is>
          <t>XP Investimentos</t>
        </is>
      </c>
      <c r="B77" s="4" t="inlineStr">
        <is>
          <t>Icatu Vanguarda Plus Xp Seg Firf Rl</t>
        </is>
      </c>
      <c r="C77" s="6" t="inlineStr">
        <is>
          <t>53.074.033/0001-42</t>
        </is>
      </c>
      <c r="D77" s="4" t="inlineStr">
        <is>
          <t>ICATU VANGUARDA GESTÃO DE RECURSOS LTDA</t>
        </is>
      </c>
      <c r="E77" s="4" t="inlineStr">
        <is>
          <t>68.622.174/0001-20</t>
        </is>
      </c>
      <c r="F77" s="4" t="inlineStr">
        <is>
          <t>XP Investimentos</t>
        </is>
      </c>
      <c r="G77" s="4" t="inlineStr">
        <is>
          <t>Renda Fixa</t>
        </is>
      </c>
      <c r="H77" s="4" t="inlineStr">
        <is>
          <t>Renda Fixa Ativo</t>
        </is>
      </c>
      <c r="I77" s="7" t="n">
        <v>100</v>
      </c>
      <c r="J77" s="8" t="n">
        <v>0.75</v>
      </c>
      <c r="K77" s="8" t="n"/>
      <c r="L77" s="4" t="inlineStr"/>
      <c r="M77" s="5" t="n">
        <v>1</v>
      </c>
      <c r="N77" s="5" t="n">
        <v>1</v>
      </c>
      <c r="O77" s="5" t="n"/>
      <c r="P77" s="4" t="inlineStr"/>
      <c r="Q77" s="4" t="inlineStr">
        <is>
          <t>Não</t>
        </is>
      </c>
      <c r="R77" s="4" t="inlineStr">
        <is>
          <t>Site (navegador)</t>
        </is>
      </c>
      <c r="S77" s="4" t="n">
        <v>1</v>
      </c>
      <c r="T77" s="4" t="inlineStr">
        <is>
          <t>Não</t>
        </is>
      </c>
      <c r="U77" s="4" t="inlineStr">
        <is>
          <t>Sim</t>
        </is>
      </c>
      <c r="V77" s="4" t="inlineStr">
        <is>
          <t>Não</t>
        </is>
      </c>
      <c r="W77" s="4" t="inlineStr"/>
    </row>
    <row r="78">
      <c r="A78" s="4" t="inlineStr">
        <is>
          <t>XP Investimentos</t>
        </is>
      </c>
      <c r="B78" s="4" t="inlineStr">
        <is>
          <t>Indie 100 Xp Seg Prev Ficfim Rl</t>
        </is>
      </c>
      <c r="C78" s="6" t="inlineStr">
        <is>
          <t>40.655.014/0001-68</t>
        </is>
      </c>
      <c r="D78" s="4" t="inlineStr">
        <is>
          <t>XP VIDA E PREVIDÊNCIA S.A.</t>
        </is>
      </c>
      <c r="E78" s="4" t="inlineStr">
        <is>
          <t>29.408.732/0001-05</t>
        </is>
      </c>
      <c r="F78" s="4" t="inlineStr">
        <is>
          <t>XPI Administradora - Modal</t>
        </is>
      </c>
      <c r="G78" s="4" t="inlineStr">
        <is>
          <t>Multimercado</t>
        </is>
      </c>
      <c r="H78" s="4" t="inlineStr">
        <is>
          <t>Renda Variável Long Only</t>
        </is>
      </c>
      <c r="I78" s="7" t="n">
        <v>100</v>
      </c>
      <c r="J78" s="8" t="n">
        <v>2</v>
      </c>
      <c r="K78" s="8" t="n"/>
      <c r="L78" s="4" t="inlineStr"/>
      <c r="M78" s="5" t="n">
        <v>20</v>
      </c>
      <c r="N78" s="5" t="n">
        <v>2</v>
      </c>
      <c r="O78" s="5" t="n"/>
      <c r="P78" s="4" t="inlineStr"/>
      <c r="Q78" s="4" t="inlineStr">
        <is>
          <t>Não</t>
        </is>
      </c>
      <c r="R78" s="4" t="inlineStr">
        <is>
          <t>Site (navegador)</t>
        </is>
      </c>
      <c r="S78" s="4" t="n">
        <v>1</v>
      </c>
      <c r="T78" s="4" t="inlineStr">
        <is>
          <t>Não</t>
        </is>
      </c>
      <c r="U78" s="4" t="inlineStr">
        <is>
          <t>Sim</t>
        </is>
      </c>
      <c r="V78" s="4" t="inlineStr">
        <is>
          <t>Não</t>
        </is>
      </c>
      <c r="W78" s="4" t="inlineStr"/>
    </row>
    <row r="79">
      <c r="A79" s="4" t="inlineStr">
        <is>
          <t>XP Investimentos</t>
        </is>
      </c>
      <c r="B79" s="4" t="inlineStr">
        <is>
          <t>Investo Renda Fixa SELIC Global BRL XP Seg Prev FIRF RL</t>
        </is>
      </c>
      <c r="C79" s="6" t="inlineStr">
        <is>
          <t>68.007.229/0001-91</t>
        </is>
      </c>
      <c r="D79" s="4" t="inlineStr">
        <is>
          <t>INVESTO GESTÃO DE RECURSOS LTDA.</t>
        </is>
      </c>
      <c r="E79" s="4" t="inlineStr">
        <is>
          <t>37.788.647/0001-30</t>
        </is>
      </c>
      <c r="F79" s="4" t="inlineStr">
        <is>
          <t>BNY Mellon DTVM</t>
        </is>
      </c>
      <c r="G79" s="4" t="inlineStr">
        <is>
          <t>Renda Fixa</t>
        </is>
      </c>
      <c r="H79" s="4" t="inlineStr">
        <is>
          <t>Crédito Híbrido</t>
        </is>
      </c>
      <c r="I79" s="7" t="n">
        <v>100</v>
      </c>
      <c r="J79" s="8" t="n">
        <v>0.6</v>
      </c>
      <c r="K79" s="8" t="n"/>
      <c r="L79" s="4" t="inlineStr"/>
      <c r="M79" s="5" t="n">
        <v>2</v>
      </c>
      <c r="N79" s="5" t="n">
        <v>1</v>
      </c>
      <c r="O79" s="5" t="n"/>
      <c r="P79" s="4" t="inlineStr"/>
      <c r="Q79" s="4" t="inlineStr">
        <is>
          <t>Não</t>
        </is>
      </c>
      <c r="R79" s="4" t="inlineStr">
        <is>
          <t>Site (navegador)</t>
        </is>
      </c>
      <c r="S79" s="4" t="n">
        <v>1</v>
      </c>
      <c r="T79" s="4" t="inlineStr">
        <is>
          <t>Não</t>
        </is>
      </c>
      <c r="U79" s="4" t="inlineStr">
        <is>
          <t>Sim</t>
        </is>
      </c>
      <c r="V79" s="4" t="inlineStr">
        <is>
          <t>Não</t>
        </is>
      </c>
      <c r="W79" s="4" t="inlineStr"/>
    </row>
    <row r="80">
      <c r="A80" s="4" t="inlineStr">
        <is>
          <t>XP Investimentos</t>
        </is>
      </c>
      <c r="B80" s="4" t="inlineStr">
        <is>
          <t>Iridium Apollo Advisory Xp Seg Fic Firf Cp Rl</t>
        </is>
      </c>
      <c r="C80" s="6" t="inlineStr">
        <is>
          <t>32.849.785/0001-68</t>
        </is>
      </c>
      <c r="D80" s="4" t="inlineStr">
        <is>
          <t>XP VIDA E PREVIDÊNCIA S.A.</t>
        </is>
      </c>
      <c r="E80" s="4" t="inlineStr">
        <is>
          <t>29.408.732/0001-05</t>
        </is>
      </c>
      <c r="F80" s="4" t="inlineStr">
        <is>
          <t>XPI Administradora - Modal</t>
        </is>
      </c>
      <c r="G80" s="4" t="inlineStr">
        <is>
          <t>Renda Fixa</t>
        </is>
      </c>
      <c r="H80" s="4" t="inlineStr">
        <is>
          <t>Crédito Liquidez</t>
        </is>
      </c>
      <c r="I80" s="7" t="n">
        <v>100</v>
      </c>
      <c r="J80" s="8" t="n">
        <v>0.7</v>
      </c>
      <c r="K80" s="8" t="n"/>
      <c r="L80" s="4" t="inlineStr"/>
      <c r="M80" s="5" t="n">
        <v>5</v>
      </c>
      <c r="N80" s="5" t="n">
        <v>1</v>
      </c>
      <c r="O80" s="5" t="n"/>
      <c r="P80" s="4" t="inlineStr"/>
      <c r="Q80" s="4" t="inlineStr">
        <is>
          <t>Não</t>
        </is>
      </c>
      <c r="R80" s="4" t="inlineStr">
        <is>
          <t>Site (navegador)</t>
        </is>
      </c>
      <c r="S80" s="4" t="n">
        <v>1</v>
      </c>
      <c r="T80" s="4" t="inlineStr">
        <is>
          <t>Não</t>
        </is>
      </c>
      <c r="U80" s="4" t="inlineStr">
        <is>
          <t>Sim</t>
        </is>
      </c>
      <c r="V80" s="4" t="inlineStr">
        <is>
          <t>Não</t>
        </is>
      </c>
      <c r="W80" s="4" t="inlineStr"/>
    </row>
    <row r="81">
      <c r="A81" s="4" t="inlineStr">
        <is>
          <t>XP Investimentos</t>
        </is>
      </c>
      <c r="B81" s="4" t="inlineStr">
        <is>
          <t>Itaú Dual Advanced XP Seg I FIF CIC Multi CP RL</t>
        </is>
      </c>
      <c r="C81" s="6" t="inlineStr">
        <is>
          <t>68.097.895/0001-68</t>
        </is>
      </c>
      <c r="D81" s="4" t="inlineStr">
        <is>
          <t>ITAU UNIBANCO ASSET MANAGEMENT LTDA.</t>
        </is>
      </c>
      <c r="E81" s="4" t="inlineStr">
        <is>
          <t>40.430.971/0001-96</t>
        </is>
      </c>
      <c r="F81" s="4" t="inlineStr">
        <is>
          <t>Intrag DTVM</t>
        </is>
      </c>
      <c r="G81" s="4" t="inlineStr">
        <is>
          <t>Multimercado</t>
        </is>
      </c>
      <c r="H81" s="4" t="inlineStr">
        <is>
          <t>Crédito High Grade</t>
        </is>
      </c>
      <c r="I81" s="7" t="n">
        <v>100</v>
      </c>
      <c r="J81" s="8" t="n">
        <v>0.7</v>
      </c>
      <c r="K81" s="8" t="n"/>
      <c r="L81" s="4" t="inlineStr"/>
      <c r="M81" s="5" t="n">
        <v>10</v>
      </c>
      <c r="N81" s="5" t="n">
        <v>2</v>
      </c>
      <c r="O81" s="5" t="n"/>
      <c r="P81" s="4" t="inlineStr"/>
      <c r="Q81" s="4" t="inlineStr">
        <is>
          <t>Sim</t>
        </is>
      </c>
      <c r="R81" s="4" t="inlineStr">
        <is>
          <t>Site (navegador)</t>
        </is>
      </c>
      <c r="S81" s="4" t="n">
        <v>1</v>
      </c>
      <c r="T81" s="4" t="inlineStr">
        <is>
          <t>Não</t>
        </is>
      </c>
      <c r="U81" s="4" t="inlineStr">
        <is>
          <t>Sim</t>
        </is>
      </c>
      <c r="V81" s="4" t="inlineStr">
        <is>
          <t>Não</t>
        </is>
      </c>
      <c r="W81" s="4" t="inlineStr"/>
    </row>
    <row r="82">
      <c r="A82" s="4" t="inlineStr">
        <is>
          <t>XP Investimentos</t>
        </is>
      </c>
      <c r="B82" s="4" t="inlineStr">
        <is>
          <t>Itaú Global Dinâmico RF Prev XP Advisory Longo Prazo FIC FIM RL</t>
        </is>
      </c>
      <c r="C82" s="6" t="inlineStr">
        <is>
          <t>50.236.261/0001-83</t>
        </is>
      </c>
      <c r="D82" s="4" t="inlineStr">
        <is>
          <t>ITAU UNIBANCO ASSET MANAGEMENT LTDA.</t>
        </is>
      </c>
      <c r="E82" s="4" t="inlineStr">
        <is>
          <t>40.430.971/0001-96</t>
        </is>
      </c>
      <c r="F82" s="4" t="inlineStr">
        <is>
          <t>Intrag DTVM</t>
        </is>
      </c>
      <c r="G82" s="4" t="inlineStr">
        <is>
          <t>Renda Fixa</t>
        </is>
      </c>
      <c r="H82" s="4" t="inlineStr">
        <is>
          <t>Multiestratégia</t>
        </is>
      </c>
      <c r="I82" s="7" t="n">
        <v>100</v>
      </c>
      <c r="J82" s="8" t="n">
        <v>0.9</v>
      </c>
      <c r="K82" s="8" t="n"/>
      <c r="L82" s="4" t="inlineStr"/>
      <c r="M82" s="5" t="n">
        <v>0</v>
      </c>
      <c r="N82" s="5" t="n">
        <v>1</v>
      </c>
      <c r="O82" s="5" t="n"/>
      <c r="P82" s="4" t="inlineStr"/>
      <c r="Q82" s="4" t="inlineStr">
        <is>
          <t>Não</t>
        </is>
      </c>
      <c r="R82" s="4" t="inlineStr">
        <is>
          <t>Site (navegador)</t>
        </is>
      </c>
      <c r="S82" s="4" t="n">
        <v>1</v>
      </c>
      <c r="T82" s="4" t="inlineStr">
        <is>
          <t>Não</t>
        </is>
      </c>
      <c r="U82" s="4" t="inlineStr">
        <is>
          <t>Sim</t>
        </is>
      </c>
      <c r="V82" s="4" t="inlineStr">
        <is>
          <t>Não</t>
        </is>
      </c>
      <c r="W82" s="4" t="inlineStr"/>
    </row>
    <row r="83">
      <c r="A83" s="4" t="inlineStr">
        <is>
          <t>XP Investimentos</t>
        </is>
      </c>
      <c r="B83" s="4" t="inlineStr">
        <is>
          <t>Itaú High Yield II FIC FIM CP RL</t>
        </is>
      </c>
      <c r="C83" s="6" t="inlineStr">
        <is>
          <t>49.227.982/0001-48</t>
        </is>
      </c>
      <c r="D83" s="4" t="inlineStr">
        <is>
          <t>ITAU UNIBANCO ASSET MANAGEMENT LTDA.</t>
        </is>
      </c>
      <c r="E83" s="4" t="inlineStr">
        <is>
          <t>40.430.971/0001-96</t>
        </is>
      </c>
      <c r="F83" s="4" t="inlineStr">
        <is>
          <t>Intrag DTVM</t>
        </is>
      </c>
      <c r="G83" s="4" t="inlineStr">
        <is>
          <t>Multimercado</t>
        </is>
      </c>
      <c r="H83" s="4" t="inlineStr">
        <is>
          <t>Crédito High Grade</t>
        </is>
      </c>
      <c r="I83" s="7" t="n">
        <v>100</v>
      </c>
      <c r="J83" s="8" t="n">
        <v>0.6</v>
      </c>
      <c r="K83" s="8" t="n"/>
      <c r="L83" s="4" t="inlineStr"/>
      <c r="M83" s="5" t="n">
        <v>2</v>
      </c>
      <c r="N83" s="5" t="n">
        <v>1</v>
      </c>
      <c r="O83" s="5" t="n"/>
      <c r="P83" s="4" t="inlineStr"/>
      <c r="Q83" s="4" t="inlineStr">
        <is>
          <t>Não</t>
        </is>
      </c>
      <c r="R83" s="4" t="inlineStr">
        <is>
          <t>Site (navegador)</t>
        </is>
      </c>
      <c r="S83" s="4" t="n">
        <v>1</v>
      </c>
      <c r="T83" s="4" t="inlineStr">
        <is>
          <t>Não</t>
        </is>
      </c>
      <c r="U83" s="4" t="inlineStr">
        <is>
          <t>Sim</t>
        </is>
      </c>
      <c r="V83" s="4" t="inlineStr">
        <is>
          <t>Não</t>
        </is>
      </c>
      <c r="W83" s="4" t="inlineStr"/>
    </row>
    <row r="84">
      <c r="A84" s="4" t="inlineStr">
        <is>
          <t>XP Investimentos</t>
        </is>
      </c>
      <c r="B84" s="4" t="inlineStr">
        <is>
          <t>Itaú Janeiro XP Seg FIF CIC MM RL</t>
        </is>
      </c>
      <c r="C84" s="6" t="inlineStr">
        <is>
          <t>61.922.156/0001-14</t>
        </is>
      </c>
      <c r="D84" s="4" t="inlineStr">
        <is>
          <t>ITAU UNIBANCO ASSET MANAGEMENT LTDA.</t>
        </is>
      </c>
      <c r="E84" s="4" t="inlineStr">
        <is>
          <t>40.430.971/0001-96</t>
        </is>
      </c>
      <c r="F84" s="4" t="inlineStr">
        <is>
          <t>Intrag DTVM</t>
        </is>
      </c>
      <c r="G84" s="4" t="inlineStr">
        <is>
          <t>Multimercado</t>
        </is>
      </c>
      <c r="H84" s="4" t="inlineStr">
        <is>
          <t>Macro Média Vol</t>
        </is>
      </c>
      <c r="I84" s="7" t="n">
        <v>100</v>
      </c>
      <c r="J84" s="8" t="n">
        <v>2</v>
      </c>
      <c r="K84" s="8" t="n"/>
      <c r="L84" s="4" t="inlineStr"/>
      <c r="M84" s="5" t="n">
        <v>21</v>
      </c>
      <c r="N84" s="5" t="n">
        <v>1</v>
      </c>
      <c r="O84" s="5" t="n"/>
      <c r="P84" s="4" t="inlineStr"/>
      <c r="Q84" s="4" t="inlineStr">
        <is>
          <t>Sim</t>
        </is>
      </c>
      <c r="R84" s="4" t="inlineStr">
        <is>
          <t>Site (navegador)</t>
        </is>
      </c>
      <c r="S84" s="4" t="n">
        <v>1</v>
      </c>
      <c r="T84" s="4" t="inlineStr">
        <is>
          <t>Não</t>
        </is>
      </c>
      <c r="U84" s="4" t="inlineStr">
        <is>
          <t>Sim</t>
        </is>
      </c>
      <c r="V84" s="4" t="inlineStr">
        <is>
          <t>Não</t>
        </is>
      </c>
      <c r="W84" s="4" t="inlineStr"/>
    </row>
    <row r="85">
      <c r="A85" s="4" t="inlineStr">
        <is>
          <t>XP Investimentos</t>
        </is>
      </c>
      <c r="B85" s="4" t="inlineStr">
        <is>
          <t>Itaú Optimus RF XP Seg Prev FIC FIM RL</t>
        </is>
      </c>
      <c r="C85" s="6" t="inlineStr">
        <is>
          <t>47.020.776/0001-37</t>
        </is>
      </c>
      <c r="D85" s="4" t="inlineStr">
        <is>
          <t>ITAU UNIBANCO ASSET MANAGEMENT LTDA.</t>
        </is>
      </c>
      <c r="E85" s="4" t="inlineStr">
        <is>
          <t>40.430.971/0001-96</t>
        </is>
      </c>
      <c r="F85" s="4" t="inlineStr">
        <is>
          <t>Intrag DTVM</t>
        </is>
      </c>
      <c r="G85" s="4" t="inlineStr">
        <is>
          <t>Renda Fixa</t>
        </is>
      </c>
      <c r="H85" s="4" t="inlineStr">
        <is>
          <t>Renda Fixa Ativo</t>
        </is>
      </c>
      <c r="I85" s="7" t="n">
        <v>100</v>
      </c>
      <c r="J85" s="8" t="n">
        <v>0.9</v>
      </c>
      <c r="K85" s="8" t="n"/>
      <c r="L85" s="4" t="inlineStr"/>
      <c r="M85" s="5" t="n">
        <v>0</v>
      </c>
      <c r="N85" s="5" t="n">
        <v>1</v>
      </c>
      <c r="O85" s="5" t="n"/>
      <c r="P85" s="4" t="inlineStr"/>
      <c r="Q85" s="4" t="inlineStr">
        <is>
          <t>Não</t>
        </is>
      </c>
      <c r="R85" s="4" t="inlineStr">
        <is>
          <t>Site (navegador)</t>
        </is>
      </c>
      <c r="S85" s="4" t="n">
        <v>1</v>
      </c>
      <c r="T85" s="4" t="inlineStr">
        <is>
          <t>Não</t>
        </is>
      </c>
      <c r="U85" s="4" t="inlineStr">
        <is>
          <t>Sim</t>
        </is>
      </c>
      <c r="V85" s="4" t="inlineStr">
        <is>
          <t>Não</t>
        </is>
      </c>
      <c r="W85" s="4" t="inlineStr"/>
    </row>
    <row r="86">
      <c r="A86" s="4" t="inlineStr">
        <is>
          <t>XP Investimentos</t>
        </is>
      </c>
      <c r="B86" s="4" t="inlineStr">
        <is>
          <t>Itaú Optimus Titan XP Seg FIC FIM RL</t>
        </is>
      </c>
      <c r="C86" s="6" t="inlineStr">
        <is>
          <t>45.756.511/0001-76</t>
        </is>
      </c>
      <c r="D86" s="4" t="inlineStr">
        <is>
          <t>ITAU UNIBANCO ASSET MANAGEMENT LTDA.</t>
        </is>
      </c>
      <c r="E86" s="4" t="inlineStr">
        <is>
          <t>40.430.971/0001-96</t>
        </is>
      </c>
      <c r="F86" s="4" t="inlineStr">
        <is>
          <t>Intrag DTVM</t>
        </is>
      </c>
      <c r="G86" s="4" t="inlineStr">
        <is>
          <t>Multimercado</t>
        </is>
      </c>
      <c r="H86" s="4" t="inlineStr">
        <is>
          <t>Macro Média Vol</t>
        </is>
      </c>
      <c r="I86" s="7" t="n">
        <v>100</v>
      </c>
      <c r="J86" s="8" t="n">
        <v>2</v>
      </c>
      <c r="K86" s="8" t="n"/>
      <c r="L86" s="4" t="inlineStr"/>
      <c r="M86" s="5" t="n">
        <v>21</v>
      </c>
      <c r="N86" s="5" t="n">
        <v>1</v>
      </c>
      <c r="O86" s="5" t="n"/>
      <c r="P86" s="4" t="inlineStr"/>
      <c r="Q86" s="4" t="inlineStr">
        <is>
          <t>Não</t>
        </is>
      </c>
      <c r="R86" s="4" t="inlineStr">
        <is>
          <t>Site (navegador)</t>
        </is>
      </c>
      <c r="S86" s="4" t="n">
        <v>1</v>
      </c>
      <c r="T86" s="4" t="inlineStr">
        <is>
          <t>Não</t>
        </is>
      </c>
      <c r="U86" s="4" t="inlineStr">
        <is>
          <t>Sim</t>
        </is>
      </c>
      <c r="V86" s="4" t="inlineStr">
        <is>
          <t>Não</t>
        </is>
      </c>
      <c r="W86" s="4" t="inlineStr"/>
    </row>
    <row r="87">
      <c r="A87" s="4" t="inlineStr">
        <is>
          <t>XP Investimentos</t>
        </is>
      </c>
      <c r="B87" s="4" t="inlineStr">
        <is>
          <t>Itaú Sinfonia XP Seg Prev FIC FIM CP RL</t>
        </is>
      </c>
      <c r="C87" s="6" t="inlineStr">
        <is>
          <t>47.020.727/0001-02</t>
        </is>
      </c>
      <c r="D87" s="4" t="inlineStr">
        <is>
          <t>ITAU UNIBANCO ASSET MANAGEMENT LTDA.</t>
        </is>
      </c>
      <c r="E87" s="4" t="inlineStr">
        <is>
          <t>40.430.971/0001-96</t>
        </is>
      </c>
      <c r="F87" s="4" t="inlineStr">
        <is>
          <t>Intrag DTVM</t>
        </is>
      </c>
      <c r="G87" s="4" t="inlineStr">
        <is>
          <t>Multimercado</t>
        </is>
      </c>
      <c r="H87" s="4" t="inlineStr">
        <is>
          <t>Crédito Híbrido</t>
        </is>
      </c>
      <c r="I87" s="7" t="n">
        <v>100</v>
      </c>
      <c r="J87" s="8" t="n">
        <v>0.64</v>
      </c>
      <c r="K87" s="8" t="n"/>
      <c r="L87" s="4" t="inlineStr"/>
      <c r="M87" s="5" t="n">
        <v>9</v>
      </c>
      <c r="N87" s="5" t="n">
        <v>1</v>
      </c>
      <c r="O87" s="5" t="n"/>
      <c r="P87" s="4" t="inlineStr"/>
      <c r="Q87" s="4" t="inlineStr">
        <is>
          <t>Não</t>
        </is>
      </c>
      <c r="R87" s="4" t="inlineStr">
        <is>
          <t>Site (navegador)</t>
        </is>
      </c>
      <c r="S87" s="4" t="n">
        <v>1</v>
      </c>
      <c r="T87" s="4" t="inlineStr">
        <is>
          <t>Não</t>
        </is>
      </c>
      <c r="U87" s="4" t="inlineStr">
        <is>
          <t>Sim</t>
        </is>
      </c>
      <c r="V87" s="4" t="inlineStr">
        <is>
          <t>Não</t>
        </is>
      </c>
      <c r="W87" s="4" t="inlineStr"/>
    </row>
    <row r="88">
      <c r="A88" s="4" t="inlineStr">
        <is>
          <t>XP Investimentos</t>
        </is>
      </c>
      <c r="B88" s="4" t="inlineStr">
        <is>
          <t>JGP Ações 100 Prev XP Seg FIC FIA</t>
        </is>
      </c>
      <c r="C88" s="6" t="inlineStr">
        <is>
          <t>35.704.530/0001-03</t>
        </is>
      </c>
      <c r="D88" s="4" t="inlineStr">
        <is>
          <t>JGP GESTÃO DE RECURSOS LTDA</t>
        </is>
      </c>
      <c r="E88" s="4" t="inlineStr">
        <is>
          <t>02.312.792/0001-65</t>
        </is>
      </c>
      <c r="F88" s="4" t="inlineStr">
        <is>
          <t>BNY Mellon DTVM</t>
        </is>
      </c>
      <c r="G88" s="4" t="inlineStr">
        <is>
          <t>Ações</t>
        </is>
      </c>
      <c r="H88" s="4" t="inlineStr">
        <is>
          <t>Renda Variável Long Only</t>
        </is>
      </c>
      <c r="I88" s="7" t="n">
        <v>100</v>
      </c>
      <c r="J88" s="8" t="n">
        <v>2</v>
      </c>
      <c r="K88" s="8" t="n"/>
      <c r="L88" s="4" t="inlineStr"/>
      <c r="M88" s="5" t="n">
        <v>2</v>
      </c>
      <c r="N88" s="5" t="n">
        <v>2</v>
      </c>
      <c r="O88" s="5" t="n"/>
      <c r="P88" s="4" t="inlineStr"/>
      <c r="Q88" s="4" t="inlineStr">
        <is>
          <t>Sim</t>
        </is>
      </c>
      <c r="R88" s="4" t="inlineStr">
        <is>
          <t>Site (navegador)</t>
        </is>
      </c>
      <c r="S88" s="4" t="n">
        <v>1</v>
      </c>
      <c r="T88" s="4" t="inlineStr">
        <is>
          <t>Não</t>
        </is>
      </c>
      <c r="U88" s="4" t="inlineStr">
        <is>
          <t>Sim</t>
        </is>
      </c>
      <c r="V88" s="4" t="inlineStr">
        <is>
          <t>Não</t>
        </is>
      </c>
      <c r="W88" s="4" t="inlineStr"/>
    </row>
    <row r="89">
      <c r="A89" s="4" t="inlineStr">
        <is>
          <t>XP Investimentos</t>
        </is>
      </c>
      <c r="B89" s="4" t="inlineStr">
        <is>
          <t>JGP Crédito Prev Advisory XP Seg FIC RF CP</t>
        </is>
      </c>
      <c r="C89" s="6" t="inlineStr">
        <is>
          <t>32.319.225/0001-00</t>
        </is>
      </c>
      <c r="D89" s="4" t="inlineStr">
        <is>
          <t>LETO ASSET MANAGEMENT LTDA</t>
        </is>
      </c>
      <c r="E89" s="4" t="inlineStr">
        <is>
          <t>13.189.882/0001-27</t>
        </is>
      </c>
      <c r="F89" s="4" t="inlineStr">
        <is>
          <t>BNY Mellon DTVM</t>
        </is>
      </c>
      <c r="G89" s="4" t="inlineStr">
        <is>
          <t>Renda Fixa</t>
        </is>
      </c>
      <c r="H89" s="4" t="inlineStr">
        <is>
          <t>Crédito High Grade</t>
        </is>
      </c>
      <c r="I89" s="7" t="n">
        <v>100</v>
      </c>
      <c r="J89" s="8" t="n">
        <v>1.1</v>
      </c>
      <c r="K89" s="8" t="n"/>
      <c r="L89" s="4" t="inlineStr"/>
      <c r="M89" s="5" t="n">
        <v>5</v>
      </c>
      <c r="N89" s="5" t="n">
        <v>2</v>
      </c>
      <c r="O89" s="5" t="n"/>
      <c r="P89" s="4" t="inlineStr"/>
      <c r="Q89" s="4" t="inlineStr">
        <is>
          <t>Não</t>
        </is>
      </c>
      <c r="R89" s="4" t="inlineStr">
        <is>
          <t>Site (navegador)</t>
        </is>
      </c>
      <c r="S89" s="4" t="n">
        <v>1</v>
      </c>
      <c r="T89" s="4" t="inlineStr">
        <is>
          <t>Não</t>
        </is>
      </c>
      <c r="U89" s="4" t="inlineStr">
        <is>
          <t>Sim</t>
        </is>
      </c>
      <c r="V89" s="4" t="inlineStr">
        <is>
          <t>Não</t>
        </is>
      </c>
      <c r="W89" s="4" t="inlineStr"/>
    </row>
    <row r="90">
      <c r="A90" s="4" t="inlineStr">
        <is>
          <t>XP Investimentos</t>
        </is>
      </c>
      <c r="B90" s="4" t="inlineStr">
        <is>
          <t>JGP Multimercado Prev Advisory XP Seg FICFI</t>
        </is>
      </c>
      <c r="C90" s="6" t="inlineStr">
        <is>
          <t>34.474.500/0001-87</t>
        </is>
      </c>
      <c r="D90" s="4" t="inlineStr">
        <is>
          <t>JGP GESTÃO DE RECURSOS LTDA</t>
        </is>
      </c>
      <c r="E90" s="4" t="inlineStr">
        <is>
          <t>02.312.792/0001-65</t>
        </is>
      </c>
      <c r="F90" s="4" t="inlineStr">
        <is>
          <t>BNY Mellon DTVM</t>
        </is>
      </c>
      <c r="G90" s="4" t="inlineStr">
        <is>
          <t>Multimercado</t>
        </is>
      </c>
      <c r="H90" s="4" t="inlineStr">
        <is>
          <t>Macro Média Vol</t>
        </is>
      </c>
      <c r="I90" s="7" t="n">
        <v>100</v>
      </c>
      <c r="J90" s="8" t="n">
        <v>2</v>
      </c>
      <c r="K90" s="8" t="n"/>
      <c r="L90" s="4" t="inlineStr"/>
      <c r="M90" s="5" t="n">
        <v>1</v>
      </c>
      <c r="N90" s="5" t="n">
        <v>2</v>
      </c>
      <c r="O90" s="5" t="n"/>
      <c r="P90" s="4" t="inlineStr"/>
      <c r="Q90" s="4" t="inlineStr">
        <is>
          <t>Não</t>
        </is>
      </c>
      <c r="R90" s="4" t="inlineStr">
        <is>
          <t>Site (navegador)</t>
        </is>
      </c>
      <c r="S90" s="4" t="n">
        <v>1</v>
      </c>
      <c r="T90" s="4" t="inlineStr">
        <is>
          <t>Não</t>
        </is>
      </c>
      <c r="U90" s="4" t="inlineStr">
        <is>
          <t>Sim</t>
        </is>
      </c>
      <c r="V90" s="4" t="inlineStr">
        <is>
          <t>Não</t>
        </is>
      </c>
      <c r="W90" s="4" t="inlineStr"/>
    </row>
    <row r="91">
      <c r="A91" s="4" t="inlineStr">
        <is>
          <t>XP Investimentos</t>
        </is>
      </c>
      <c r="B91" s="4" t="inlineStr">
        <is>
          <t>JGP Strategy XP Seg Prev Qualificado FIC FIM RL</t>
        </is>
      </c>
      <c r="C91" s="6" t="inlineStr">
        <is>
          <t>62.403.552/0001-06</t>
        </is>
      </c>
      <c r="D91" s="4" t="inlineStr">
        <is>
          <t>JGP GESTÃO DE RECURSOS LTDA</t>
        </is>
      </c>
      <c r="E91" s="4" t="inlineStr">
        <is>
          <t>02.312.792/0001-65</t>
        </is>
      </c>
      <c r="F91" s="4" t="inlineStr">
        <is>
          <t>BNY Mellon DTVM</t>
        </is>
      </c>
      <c r="G91" s="4" t="inlineStr">
        <is>
          <t>Multimercado</t>
        </is>
      </c>
      <c r="H91" s="4" t="inlineStr">
        <is>
          <t>Macro Média Vol</t>
        </is>
      </c>
      <c r="I91" s="7" t="n">
        <v>100</v>
      </c>
      <c r="J91" s="8" t="n">
        <v>2</v>
      </c>
      <c r="K91" s="8" t="n"/>
      <c r="L91" s="4" t="inlineStr"/>
      <c r="M91" s="5" t="n">
        <v>22</v>
      </c>
      <c r="N91" s="5" t="n">
        <v>1</v>
      </c>
      <c r="O91" s="5" t="n"/>
      <c r="P91" s="4" t="inlineStr"/>
      <c r="Q91" s="4" t="inlineStr">
        <is>
          <t>Não</t>
        </is>
      </c>
      <c r="R91" s="4" t="inlineStr">
        <is>
          <t>Site (navegador)</t>
        </is>
      </c>
      <c r="S91" s="4" t="n">
        <v>1</v>
      </c>
      <c r="T91" s="4" t="inlineStr">
        <is>
          <t>Não</t>
        </is>
      </c>
      <c r="U91" s="4" t="inlineStr">
        <is>
          <t>Sim</t>
        </is>
      </c>
      <c r="V91" s="4" t="inlineStr">
        <is>
          <t>Não</t>
        </is>
      </c>
      <c r="W91" s="4" t="inlineStr"/>
    </row>
    <row r="92">
      <c r="A92" s="4" t="inlineStr">
        <is>
          <t>XP Investimentos</t>
        </is>
      </c>
      <c r="B92" s="4" t="inlineStr">
        <is>
          <t>Jive Soul 45 Xp Seg Prev Fic Multimercado Cp Rl</t>
        </is>
      </c>
      <c r="C92" s="6" t="inlineStr">
        <is>
          <t>53.990.872/0001-00</t>
        </is>
      </c>
      <c r="D92" s="4" t="inlineStr">
        <is>
          <t>JIVE HIGH YIELD GESTÃO DE RECURSOS LTDA.</t>
        </is>
      </c>
      <c r="E92" s="4" t="inlineStr">
        <is>
          <t>07.170.960/0001-49</t>
        </is>
      </c>
      <c r="F92" s="4" t="inlineStr">
        <is>
          <t>XP Investimentos</t>
        </is>
      </c>
      <c r="G92" s="4" t="inlineStr">
        <is>
          <t>Multimercado</t>
        </is>
      </c>
      <c r="H92" s="4" t="inlineStr">
        <is>
          <t>Crédito Privado High Yield</t>
        </is>
      </c>
      <c r="I92" s="7" t="n">
        <v>100</v>
      </c>
      <c r="J92" s="8" t="n">
        <v>1.5</v>
      </c>
      <c r="K92" s="8" t="n"/>
      <c r="L92" s="4" t="inlineStr"/>
      <c r="M92" s="5" t="n">
        <v>45</v>
      </c>
      <c r="N92" s="5" t="n">
        <v>2</v>
      </c>
      <c r="O92" s="5" t="n"/>
      <c r="P92" s="4" t="inlineStr"/>
      <c r="Q92" s="4" t="inlineStr">
        <is>
          <t>Não</t>
        </is>
      </c>
      <c r="R92" s="4" t="inlineStr">
        <is>
          <t>Site (navegador)</t>
        </is>
      </c>
      <c r="S92" s="4" t="n">
        <v>1</v>
      </c>
      <c r="T92" s="4" t="inlineStr">
        <is>
          <t>Não</t>
        </is>
      </c>
      <c r="U92" s="4" t="inlineStr">
        <is>
          <t>Sim</t>
        </is>
      </c>
      <c r="V92" s="4" t="inlineStr">
        <is>
          <t>Não</t>
        </is>
      </c>
      <c r="W92" s="4" t="inlineStr"/>
    </row>
    <row r="93">
      <c r="A93" s="4" t="inlineStr">
        <is>
          <t>XP Investimentos</t>
        </is>
      </c>
      <c r="B93" s="4" t="inlineStr">
        <is>
          <t>Kad Ima-B Xp Seg Prev Ficfim Rl</t>
        </is>
      </c>
      <c r="C93" s="6" t="inlineStr">
        <is>
          <t>44.434.888/0001-46</t>
        </is>
      </c>
      <c r="D93" s="4" t="inlineStr">
        <is>
          <t>XP VIDA E PREVIDÊNCIA S.A.</t>
        </is>
      </c>
      <c r="E93" s="4" t="inlineStr">
        <is>
          <t>29.408.732/0001-05</t>
        </is>
      </c>
      <c r="F93" s="4" t="inlineStr">
        <is>
          <t>XPI Administradora - Modal</t>
        </is>
      </c>
      <c r="G93" s="4" t="inlineStr">
        <is>
          <t>Multimercado</t>
        </is>
      </c>
      <c r="H93" s="4" t="inlineStr">
        <is>
          <t>Renda Fixa Inflação</t>
        </is>
      </c>
      <c r="I93" s="7" t="n">
        <v>100</v>
      </c>
      <c r="J93" s="8" t="n">
        <v>0.8</v>
      </c>
      <c r="K93" s="8" t="n"/>
      <c r="L93" s="4" t="inlineStr"/>
      <c r="M93" s="5" t="n">
        <v>5</v>
      </c>
      <c r="N93" s="5" t="n">
        <v>1</v>
      </c>
      <c r="O93" s="5" t="n"/>
      <c r="P93" s="4" t="inlineStr"/>
      <c r="Q93" s="4" t="inlineStr">
        <is>
          <t>Não</t>
        </is>
      </c>
      <c r="R93" s="4" t="inlineStr">
        <is>
          <t>Site (navegador)</t>
        </is>
      </c>
      <c r="S93" s="4" t="n">
        <v>1</v>
      </c>
      <c r="T93" s="4" t="inlineStr">
        <is>
          <t>Não</t>
        </is>
      </c>
      <c r="U93" s="4" t="inlineStr">
        <is>
          <t>Sim</t>
        </is>
      </c>
      <c r="V93" s="4" t="inlineStr">
        <is>
          <t>Não</t>
        </is>
      </c>
      <c r="W93" s="4" t="inlineStr"/>
    </row>
    <row r="94">
      <c r="A94" s="4" t="inlineStr">
        <is>
          <t>XP Investimentos</t>
        </is>
      </c>
      <c r="B94" s="4" t="inlineStr">
        <is>
          <t>Kadima Long Bias Xp Seg Prev Fic Fim Rl</t>
        </is>
      </c>
      <c r="C94" s="6" t="inlineStr">
        <is>
          <t>40.781.292/0001-61</t>
        </is>
      </c>
      <c r="D94" s="4" t="inlineStr">
        <is>
          <t>XP VIDA E PREVIDÊNCIA S.A.</t>
        </is>
      </c>
      <c r="E94" s="4" t="inlineStr">
        <is>
          <t>29.408.732/0001-05</t>
        </is>
      </c>
      <c r="F94" s="4" t="inlineStr">
        <is>
          <t>XPI Administradora - Modal</t>
        </is>
      </c>
      <c r="G94" s="4" t="inlineStr">
        <is>
          <t>Multimercado</t>
        </is>
      </c>
      <c r="H94" s="4" t="inlineStr">
        <is>
          <t>Quantitativo</t>
        </is>
      </c>
      <c r="I94" s="7" t="n">
        <v>100</v>
      </c>
      <c r="J94" s="8" t="n">
        <v>1.75</v>
      </c>
      <c r="K94" s="8" t="n"/>
      <c r="L94" s="4" t="inlineStr"/>
      <c r="M94" s="5" t="n">
        <v>5</v>
      </c>
      <c r="N94" s="5" t="n">
        <v>2</v>
      </c>
      <c r="O94" s="5" t="n"/>
      <c r="P94" s="4" t="inlineStr"/>
      <c r="Q94" s="4" t="inlineStr">
        <is>
          <t>Não</t>
        </is>
      </c>
      <c r="R94" s="4" t="inlineStr">
        <is>
          <t>Site (navegador)</t>
        </is>
      </c>
      <c r="S94" s="4" t="n">
        <v>1</v>
      </c>
      <c r="T94" s="4" t="inlineStr">
        <is>
          <t>Não</t>
        </is>
      </c>
      <c r="U94" s="4" t="inlineStr">
        <is>
          <t>Sim</t>
        </is>
      </c>
      <c r="V94" s="4" t="inlineStr">
        <is>
          <t>Não</t>
        </is>
      </c>
      <c r="W94" s="4" t="inlineStr"/>
    </row>
    <row r="95">
      <c r="A95" s="4" t="inlineStr">
        <is>
          <t>XP Investimentos</t>
        </is>
      </c>
      <c r="B95" s="4" t="inlineStr">
        <is>
          <t>Kadima Xp Seg Prev Fie Fic Fim Rl</t>
        </is>
      </c>
      <c r="C95" s="6" t="inlineStr">
        <is>
          <t>30.898.110/0001-83</t>
        </is>
      </c>
      <c r="D95" s="4" t="inlineStr">
        <is>
          <t>XP VIDA E PREVIDÊNCIA S.A.</t>
        </is>
      </c>
      <c r="E95" s="4" t="inlineStr">
        <is>
          <t>29.408.732/0001-05</t>
        </is>
      </c>
      <c r="F95" s="4" t="inlineStr">
        <is>
          <t>XPI Administradora - Modal</t>
        </is>
      </c>
      <c r="G95" s="4" t="inlineStr">
        <is>
          <t>Multimercado</t>
        </is>
      </c>
      <c r="H95" s="4" t="inlineStr">
        <is>
          <t>Quantitativo</t>
        </is>
      </c>
      <c r="I95" s="7" t="n">
        <v>100</v>
      </c>
      <c r="J95" s="8" t="n">
        <v>2</v>
      </c>
      <c r="K95" s="8" t="n"/>
      <c r="L95" s="4" t="inlineStr"/>
      <c r="M95" s="5" t="n">
        <v>2</v>
      </c>
      <c r="N95" s="5" t="n">
        <v>1</v>
      </c>
      <c r="O95" s="5" t="n"/>
      <c r="P95" s="4" t="inlineStr"/>
      <c r="Q95" s="4" t="inlineStr">
        <is>
          <t>Não</t>
        </is>
      </c>
      <c r="R95" s="4" t="inlineStr">
        <is>
          <t>Site (navegador)</t>
        </is>
      </c>
      <c r="S95" s="4" t="n">
        <v>1</v>
      </c>
      <c r="T95" s="4" t="inlineStr">
        <is>
          <t>Não</t>
        </is>
      </c>
      <c r="U95" s="4" t="inlineStr">
        <is>
          <t>Sim</t>
        </is>
      </c>
      <c r="V95" s="4" t="inlineStr">
        <is>
          <t>Não</t>
        </is>
      </c>
      <c r="W95" s="4" t="inlineStr"/>
    </row>
    <row r="96">
      <c r="A96" s="4" t="inlineStr">
        <is>
          <t>XP Investimentos</t>
        </is>
      </c>
      <c r="B96" s="4" t="inlineStr">
        <is>
          <t>Kadima Xp Seg Prev Long Short Ficfim</t>
        </is>
      </c>
      <c r="C96" s="6" t="inlineStr">
        <is>
          <t>40.635.009/0001-93</t>
        </is>
      </c>
      <c r="D96" s="4" t="inlineStr">
        <is>
          <t>XP VIDA E PREVIDÊNCIA S.A.</t>
        </is>
      </c>
      <c r="E96" s="4" t="inlineStr">
        <is>
          <t>29.408.732/0001-05</t>
        </is>
      </c>
      <c r="F96" s="4" t="inlineStr">
        <is>
          <t>XP Investimentos</t>
        </is>
      </c>
      <c r="G96" s="4" t="inlineStr">
        <is>
          <t>Multimercado</t>
        </is>
      </c>
      <c r="H96" s="4" t="inlineStr">
        <is>
          <t>Long Short Direcional</t>
        </is>
      </c>
      <c r="I96" s="7" t="n">
        <v>100</v>
      </c>
      <c r="J96" s="8" t="n">
        <v>1.9</v>
      </c>
      <c r="K96" s="8" t="n"/>
      <c r="L96" s="4" t="inlineStr"/>
      <c r="M96" s="5" t="n">
        <v>5</v>
      </c>
      <c r="N96" s="5" t="n">
        <v>2</v>
      </c>
      <c r="O96" s="5" t="n"/>
      <c r="P96" s="4" t="inlineStr"/>
      <c r="Q96" s="4" t="inlineStr">
        <is>
          <t>Não</t>
        </is>
      </c>
      <c r="R96" s="4" t="inlineStr">
        <is>
          <t>Site (navegador)</t>
        </is>
      </c>
      <c r="S96" s="4" t="n">
        <v>1</v>
      </c>
      <c r="T96" s="4" t="inlineStr">
        <is>
          <t>Não</t>
        </is>
      </c>
      <c r="U96" s="4" t="inlineStr">
        <is>
          <t>Sim</t>
        </is>
      </c>
      <c r="V96" s="4" t="inlineStr">
        <is>
          <t>Não</t>
        </is>
      </c>
      <c r="W96" s="4" t="inlineStr"/>
    </row>
    <row r="97">
      <c r="A97" s="4" t="inlineStr">
        <is>
          <t>XP Investimentos</t>
        </is>
      </c>
      <c r="B97" s="4" t="inlineStr">
        <is>
          <t>Kapitalo K10 Global Prev Xp Seg Advisory Fic Fim Rl</t>
        </is>
      </c>
      <c r="C97" s="6" t="inlineStr">
        <is>
          <t>40.679.129/0001-92</t>
        </is>
      </c>
      <c r="D97" s="4" t="inlineStr">
        <is>
          <t>XP VIDA E PREVIDÊNCIA S.A.</t>
        </is>
      </c>
      <c r="E97" s="4" t="inlineStr">
        <is>
          <t>29.408.732/0001-05</t>
        </is>
      </c>
      <c r="F97" s="4" t="inlineStr">
        <is>
          <t>XPI Administradora - Modal</t>
        </is>
      </c>
      <c r="G97" s="4" t="inlineStr">
        <is>
          <t>Multimercado</t>
        </is>
      </c>
      <c r="H97" s="4" t="inlineStr">
        <is>
          <t>Macro Alta Vol</t>
        </is>
      </c>
      <c r="I97" s="7" t="n">
        <v>100</v>
      </c>
      <c r="J97" s="8" t="n">
        <v>2</v>
      </c>
      <c r="K97" s="8" t="n"/>
      <c r="L97" s="4" t="inlineStr"/>
      <c r="M97" s="5" t="n">
        <v>7</v>
      </c>
      <c r="N97" s="5" t="n">
        <v>2</v>
      </c>
      <c r="O97" s="5" t="n"/>
      <c r="P97" s="4" t="inlineStr"/>
      <c r="Q97" s="4" t="inlineStr">
        <is>
          <t>Não</t>
        </is>
      </c>
      <c r="R97" s="4" t="inlineStr">
        <is>
          <t>Site (navegador)</t>
        </is>
      </c>
      <c r="S97" s="4" t="n">
        <v>1</v>
      </c>
      <c r="T97" s="4" t="inlineStr">
        <is>
          <t>Não</t>
        </is>
      </c>
      <c r="U97" s="4" t="inlineStr">
        <is>
          <t>Sim</t>
        </is>
      </c>
      <c r="V97" s="4" t="inlineStr">
        <is>
          <t>Não</t>
        </is>
      </c>
      <c r="W97" s="4" t="inlineStr"/>
    </row>
    <row r="98">
      <c r="A98" s="4" t="inlineStr">
        <is>
          <t>XP Investimentos</t>
        </is>
      </c>
      <c r="B98" s="4" t="inlineStr">
        <is>
          <t>Kapitalo Kappa Prev Xp Seg Ficfim Rl</t>
        </is>
      </c>
      <c r="C98" s="6" t="inlineStr">
        <is>
          <t>42.847.502/0001-00</t>
        </is>
      </c>
      <c r="D98" s="4" t="inlineStr">
        <is>
          <t>XP VIDA E PREVIDÊNCIA S.A.</t>
        </is>
      </c>
      <c r="E98" s="4" t="inlineStr">
        <is>
          <t>29.408.732/0001-05</t>
        </is>
      </c>
      <c r="F98" s="4" t="inlineStr">
        <is>
          <t>XPI Administradora - Modal</t>
        </is>
      </c>
      <c r="G98" s="4" t="inlineStr">
        <is>
          <t>Multimercado</t>
        </is>
      </c>
      <c r="H98" s="4" t="inlineStr">
        <is>
          <t>Macro Alta Vol</t>
        </is>
      </c>
      <c r="I98" s="7" t="n">
        <v>100</v>
      </c>
      <c r="J98" s="8" t="n">
        <v>2</v>
      </c>
      <c r="K98" s="8" t="n"/>
      <c r="L98" s="4" t="inlineStr"/>
      <c r="M98" s="5" t="n">
        <v>22</v>
      </c>
      <c r="N98" s="5" t="n">
        <v>2</v>
      </c>
      <c r="O98" s="5" t="n"/>
      <c r="P98" s="4" t="inlineStr"/>
      <c r="Q98" s="4" t="inlineStr">
        <is>
          <t>Não</t>
        </is>
      </c>
      <c r="R98" s="4" t="inlineStr">
        <is>
          <t>Site (navegador)</t>
        </is>
      </c>
      <c r="S98" s="4" t="n">
        <v>1</v>
      </c>
      <c r="T98" s="4" t="inlineStr">
        <is>
          <t>Não</t>
        </is>
      </c>
      <c r="U98" s="4" t="inlineStr">
        <is>
          <t>Sim</t>
        </is>
      </c>
      <c r="V98" s="4" t="inlineStr">
        <is>
          <t>Não</t>
        </is>
      </c>
      <c r="W98" s="4" t="inlineStr"/>
    </row>
    <row r="99">
      <c r="A99" s="4" t="inlineStr">
        <is>
          <t>XP Investimentos</t>
        </is>
      </c>
      <c r="B99" s="4" t="inlineStr">
        <is>
          <t>Kapitalo Zeta XP Seg Prev FIF CIC Multimercado RL</t>
        </is>
      </c>
      <c r="C99" s="6" t="inlineStr">
        <is>
          <t>58.841.072/0001-41</t>
        </is>
      </c>
      <c r="D99" s="4" t="inlineStr">
        <is>
          <t>KAPITALO INVESTIMENTOS LTDA.</t>
        </is>
      </c>
      <c r="E99" s="4" t="inlineStr">
        <is>
          <t>11.180.009/0001-48</t>
        </is>
      </c>
      <c r="F99" s="4" t="inlineStr">
        <is>
          <t>Intrag DTVM</t>
        </is>
      </c>
      <c r="G99" s="4" t="inlineStr">
        <is>
          <t>Multimercado</t>
        </is>
      </c>
      <c r="H99" s="4" t="inlineStr">
        <is>
          <t>Macro Alta Vol</t>
        </is>
      </c>
      <c r="I99" s="7" t="n">
        <v>100</v>
      </c>
      <c r="J99" s="8" t="n">
        <v>2</v>
      </c>
      <c r="K99" s="8" t="n"/>
      <c r="L99" s="4" t="inlineStr"/>
      <c r="M99" s="5" t="n">
        <v>44</v>
      </c>
      <c r="N99" s="5" t="n">
        <v>2</v>
      </c>
      <c r="O99" s="5" t="n"/>
      <c r="P99" s="4" t="inlineStr"/>
      <c r="Q99" s="4" t="inlineStr">
        <is>
          <t>Não</t>
        </is>
      </c>
      <c r="R99" s="4" t="inlineStr">
        <is>
          <t>Site (navegador)</t>
        </is>
      </c>
      <c r="S99" s="4" t="n">
        <v>1</v>
      </c>
      <c r="T99" s="4" t="inlineStr">
        <is>
          <t>Não</t>
        </is>
      </c>
      <c r="U99" s="4" t="inlineStr">
        <is>
          <t>Sim</t>
        </is>
      </c>
      <c r="V99" s="4" t="inlineStr">
        <is>
          <t>Não</t>
        </is>
      </c>
      <c r="W99" s="4" t="inlineStr"/>
    </row>
    <row r="100">
      <c r="A100" s="4" t="inlineStr">
        <is>
          <t>XP Investimentos</t>
        </is>
      </c>
      <c r="B100" s="4" t="inlineStr">
        <is>
          <t>Kinea Alpes Prev Xp Seg Mm Cp Ficfi</t>
        </is>
      </c>
      <c r="C100" s="6" t="inlineStr">
        <is>
          <t>43.636.203/0001-81</t>
        </is>
      </c>
      <c r="D100" s="4" t="inlineStr">
        <is>
          <t>XP VIDA E PREVIDÊNCIA S.A.</t>
        </is>
      </c>
      <c r="E100" s="4" t="inlineStr">
        <is>
          <t>29.408.732/0001-05</t>
        </is>
      </c>
      <c r="F100" s="4" t="inlineStr">
        <is>
          <t>XPI Administradora - Modal</t>
        </is>
      </c>
      <c r="G100" s="4" t="inlineStr">
        <is>
          <t>Multimercado</t>
        </is>
      </c>
      <c r="H100" s="4" t="inlineStr">
        <is>
          <t>Crédito High Grade</t>
        </is>
      </c>
      <c r="I100" s="7" t="n">
        <v>100</v>
      </c>
      <c r="J100" s="8" t="n">
        <v>1</v>
      </c>
      <c r="K100" s="8" t="n"/>
      <c r="L100" s="4" t="inlineStr"/>
      <c r="M100" s="5" t="n">
        <v>8</v>
      </c>
      <c r="N100" s="5" t="n">
        <v>1</v>
      </c>
      <c r="O100" s="5" t="n"/>
      <c r="P100" s="4" t="inlineStr"/>
      <c r="Q100" s="4" t="inlineStr">
        <is>
          <t>Não</t>
        </is>
      </c>
      <c r="R100" s="4" t="inlineStr">
        <is>
          <t>Site (navegador)</t>
        </is>
      </c>
      <c r="S100" s="4" t="n">
        <v>1</v>
      </c>
      <c r="T100" s="4" t="inlineStr">
        <is>
          <t>Não</t>
        </is>
      </c>
      <c r="U100" s="4" t="inlineStr">
        <is>
          <t>Sim</t>
        </is>
      </c>
      <c r="V100" s="4" t="inlineStr">
        <is>
          <t>Não</t>
        </is>
      </c>
      <c r="W100" s="4" t="inlineStr"/>
    </row>
    <row r="101">
      <c r="A101" s="4" t="inlineStr">
        <is>
          <t>XP Investimentos</t>
        </is>
      </c>
      <c r="B101" s="4" t="inlineStr">
        <is>
          <t>Kinea Apolo Advisory Xp Seg Prev Fic Fim Rl</t>
        </is>
      </c>
      <c r="C101" s="6" t="inlineStr">
        <is>
          <t>35.162.484/0001-50</t>
        </is>
      </c>
      <c r="D101" s="4" t="inlineStr">
        <is>
          <t>XP VIDA E PREVIDÊNCIA S.A.</t>
        </is>
      </c>
      <c r="E101" s="4" t="inlineStr">
        <is>
          <t>29.408.732/0001-05</t>
        </is>
      </c>
      <c r="F101" s="4" t="inlineStr">
        <is>
          <t>XPI Administradora - Modal</t>
        </is>
      </c>
      <c r="G101" s="4" t="inlineStr">
        <is>
          <t>Multimercado</t>
        </is>
      </c>
      <c r="H101" s="4" t="inlineStr">
        <is>
          <t>Macro Baixa Vol</t>
        </is>
      </c>
      <c r="I101" s="7" t="n">
        <v>100</v>
      </c>
      <c r="J101" s="8" t="n">
        <v>0.8</v>
      </c>
      <c r="K101" s="8" t="n"/>
      <c r="L101" s="4" t="inlineStr"/>
      <c r="M101" s="5" t="n">
        <v>0</v>
      </c>
      <c r="N101" s="5" t="n">
        <v>1</v>
      </c>
      <c r="O101" s="5" t="n"/>
      <c r="P101" s="4" t="inlineStr"/>
      <c r="Q101" s="4" t="inlineStr">
        <is>
          <t>Não</t>
        </is>
      </c>
      <c r="R101" s="4" t="inlineStr">
        <is>
          <t>Site (navegador)</t>
        </is>
      </c>
      <c r="S101" s="4" t="n">
        <v>1</v>
      </c>
      <c r="T101" s="4" t="inlineStr">
        <is>
          <t>Não</t>
        </is>
      </c>
      <c r="U101" s="4" t="inlineStr">
        <is>
          <t>Sim</t>
        </is>
      </c>
      <c r="V101" s="4" t="inlineStr">
        <is>
          <t>Não</t>
        </is>
      </c>
      <c r="W101" s="4" t="inlineStr"/>
    </row>
    <row r="102">
      <c r="A102" s="4" t="inlineStr">
        <is>
          <t>XP Investimentos</t>
        </is>
      </c>
      <c r="B102" s="4" t="inlineStr">
        <is>
          <t>Kinea Ações Advisory Xp Seg Prev Fic Fim Rl</t>
        </is>
      </c>
      <c r="C102" s="6" t="inlineStr">
        <is>
          <t>32.973.280/0001-00</t>
        </is>
      </c>
      <c r="D102" s="4" t="inlineStr">
        <is>
          <t>XP VIDA E PREVIDÊNCIA S.A.</t>
        </is>
      </c>
      <c r="E102" s="4" t="inlineStr">
        <is>
          <t>29.408.732/0001-05</t>
        </is>
      </c>
      <c r="F102" s="4" t="inlineStr">
        <is>
          <t>XP Investimentos</t>
        </is>
      </c>
      <c r="G102" s="4" t="inlineStr">
        <is>
          <t>Ações</t>
        </is>
      </c>
      <c r="H102" s="4" t="inlineStr">
        <is>
          <t>Renda Variável Long Only</t>
        </is>
      </c>
      <c r="I102" s="7" t="n">
        <v>100</v>
      </c>
      <c r="J102" s="8" t="n">
        <v>2</v>
      </c>
      <c r="K102" s="8" t="n"/>
      <c r="L102" s="4" t="inlineStr"/>
      <c r="M102" s="5" t="n">
        <v>1</v>
      </c>
      <c r="N102" s="5" t="n">
        <v>2</v>
      </c>
      <c r="O102" s="5" t="n"/>
      <c r="P102" s="4" t="inlineStr"/>
      <c r="Q102" s="4" t="inlineStr">
        <is>
          <t>Não</t>
        </is>
      </c>
      <c r="R102" s="4" t="inlineStr">
        <is>
          <t>Site (navegador)</t>
        </is>
      </c>
      <c r="S102" s="4" t="n">
        <v>1</v>
      </c>
      <c r="T102" s="4" t="inlineStr">
        <is>
          <t>Não</t>
        </is>
      </c>
      <c r="U102" s="4" t="inlineStr">
        <is>
          <t>Sim</t>
        </is>
      </c>
      <c r="V102" s="4" t="inlineStr">
        <is>
          <t>Não</t>
        </is>
      </c>
      <c r="W102" s="4" t="inlineStr"/>
    </row>
    <row r="103">
      <c r="A103" s="4" t="inlineStr">
        <is>
          <t>XP Investimentos</t>
        </is>
      </c>
      <c r="B103" s="4" t="inlineStr">
        <is>
          <t>Kinea Dakar Xp Seg Fic Rf Lp</t>
        </is>
      </c>
      <c r="C103" s="6" t="inlineStr">
        <is>
          <t>52.998.678/0001-09</t>
        </is>
      </c>
      <c r="D103" s="4" t="inlineStr">
        <is>
          <t>KINEA INVESTIMENTOS LTDA.</t>
        </is>
      </c>
      <c r="E103" s="4" t="inlineStr">
        <is>
          <t>08.604.187/0001-44</t>
        </is>
      </c>
      <c r="F103" s="4" t="inlineStr">
        <is>
          <t>Intrag DTVM</t>
        </is>
      </c>
      <c r="G103" s="4" t="inlineStr">
        <is>
          <t>Renda Fixa</t>
        </is>
      </c>
      <c r="H103" s="4" t="inlineStr">
        <is>
          <t>Renda Fixa Ativo</t>
        </is>
      </c>
      <c r="I103" s="7" t="n">
        <v>100</v>
      </c>
      <c r="J103" s="8" t="n">
        <v>0.9</v>
      </c>
      <c r="K103" s="8" t="n"/>
      <c r="L103" s="4" t="inlineStr"/>
      <c r="M103" s="5" t="n">
        <v>0</v>
      </c>
      <c r="N103" s="5" t="n">
        <v>1</v>
      </c>
      <c r="O103" s="5" t="n"/>
      <c r="P103" s="4" t="inlineStr"/>
      <c r="Q103" s="4" t="inlineStr">
        <is>
          <t>Não</t>
        </is>
      </c>
      <c r="R103" s="4" t="inlineStr">
        <is>
          <t>Site (navegador)</t>
        </is>
      </c>
      <c r="S103" s="4" t="n">
        <v>1</v>
      </c>
      <c r="T103" s="4" t="inlineStr">
        <is>
          <t>Não</t>
        </is>
      </c>
      <c r="U103" s="4" t="inlineStr">
        <is>
          <t>Sim</t>
        </is>
      </c>
      <c r="V103" s="4" t="inlineStr">
        <is>
          <t>Não</t>
        </is>
      </c>
      <c r="W103" s="4" t="inlineStr"/>
    </row>
    <row r="104">
      <c r="A104" s="4" t="inlineStr">
        <is>
          <t>XP Investimentos</t>
        </is>
      </c>
      <c r="B104" s="4" t="inlineStr">
        <is>
          <t>Kinea Prev Atlas XP Seg FIC FIM</t>
        </is>
      </c>
      <c r="C104" s="6" t="inlineStr">
        <is>
          <t>37.728.799/0001-47</t>
        </is>
      </c>
      <c r="D104" s="4" t="inlineStr">
        <is>
          <t>XP VIDA E PREVIDÊNCIA S.A.</t>
        </is>
      </c>
      <c r="E104" s="4" t="inlineStr">
        <is>
          <t>29.408.732/0001-05</t>
        </is>
      </c>
      <c r="F104" s="4" t="inlineStr">
        <is>
          <t>XPI Administradora - Modal</t>
        </is>
      </c>
      <c r="G104" s="4" t="inlineStr">
        <is>
          <t>Multimercado</t>
        </is>
      </c>
      <c r="H104" s="4" t="inlineStr">
        <is>
          <t>Macro Alta Vol</t>
        </is>
      </c>
      <c r="I104" s="7" t="n">
        <v>100</v>
      </c>
      <c r="J104" s="8" t="n">
        <v>2</v>
      </c>
      <c r="K104" s="8" t="n"/>
      <c r="L104" s="4" t="inlineStr"/>
      <c r="M104" s="5" t="n">
        <v>20</v>
      </c>
      <c r="N104" s="5" t="n">
        <v>1</v>
      </c>
      <c r="O104" s="5" t="n"/>
      <c r="P104" s="4" t="inlineStr"/>
      <c r="Q104" s="4" t="inlineStr">
        <is>
          <t>Não</t>
        </is>
      </c>
      <c r="R104" s="4" t="inlineStr">
        <is>
          <t>Site (navegador)</t>
        </is>
      </c>
      <c r="S104" s="4" t="n">
        <v>1</v>
      </c>
      <c r="T104" s="4" t="inlineStr">
        <is>
          <t>Não</t>
        </is>
      </c>
      <c r="U104" s="4" t="inlineStr">
        <is>
          <t>Sim</t>
        </is>
      </c>
      <c r="V104" s="4" t="inlineStr">
        <is>
          <t>Não</t>
        </is>
      </c>
      <c r="W104" s="4" t="inlineStr"/>
    </row>
    <row r="105">
      <c r="A105" s="4" t="inlineStr">
        <is>
          <t>XP Investimentos</t>
        </is>
      </c>
      <c r="B105" s="4" t="inlineStr">
        <is>
          <t>Kinea Prev Mont Blanc Xp Fif Cotas Rf Cp Rl</t>
        </is>
      </c>
      <c r="C105" s="6" t="inlineStr">
        <is>
          <t>61.182.246/0001-16</t>
        </is>
      </c>
      <c r="D105" s="4" t="inlineStr">
        <is>
          <t>KINEA INVESTIMENTOS LTDA.</t>
        </is>
      </c>
      <c r="E105" s="4" t="inlineStr">
        <is>
          <t>08.604.187/0001-44</t>
        </is>
      </c>
      <c r="F105" s="4" t="inlineStr">
        <is>
          <t>Intrag DTVM</t>
        </is>
      </c>
      <c r="G105" s="4" t="inlineStr">
        <is>
          <t>Renda Fixa</t>
        </is>
      </c>
      <c r="H105" s="4" t="inlineStr">
        <is>
          <t>Crédito High Grade</t>
        </is>
      </c>
      <c r="I105" s="7" t="n">
        <v>100</v>
      </c>
      <c r="J105" s="8" t="n">
        <v>1.2</v>
      </c>
      <c r="K105" s="8" t="n"/>
      <c r="L105" s="4" t="inlineStr"/>
      <c r="M105" s="5" t="n">
        <v>0</v>
      </c>
      <c r="N105" s="5" t="n">
        <v>1</v>
      </c>
      <c r="O105" s="5" t="n"/>
      <c r="P105" s="4" t="inlineStr"/>
      <c r="Q105" s="4" t="inlineStr">
        <is>
          <t>Não</t>
        </is>
      </c>
      <c r="R105" s="4" t="inlineStr">
        <is>
          <t>Site (navegador)</t>
        </is>
      </c>
      <c r="S105" s="4" t="n">
        <v>1</v>
      </c>
      <c r="T105" s="4" t="inlineStr">
        <is>
          <t>Não</t>
        </is>
      </c>
      <c r="U105" s="4" t="inlineStr">
        <is>
          <t>Sim</t>
        </is>
      </c>
      <c r="V105" s="4" t="inlineStr">
        <is>
          <t>Não</t>
        </is>
      </c>
      <c r="W105" s="4" t="inlineStr"/>
    </row>
    <row r="106">
      <c r="A106" s="4" t="inlineStr">
        <is>
          <t>XP Investimentos</t>
        </is>
      </c>
      <c r="B106" s="4" t="inlineStr">
        <is>
          <t>Kinea Prev XP Seg IPCA Dinâmico FICFI RF</t>
        </is>
      </c>
      <c r="C106" s="6" t="inlineStr">
        <is>
          <t>37.053.502/0001-90</t>
        </is>
      </c>
      <c r="D106" s="4" t="inlineStr">
        <is>
          <t>XP VIDA E PREVIDÊNCIA S.A.</t>
        </is>
      </c>
      <c r="E106" s="4" t="inlineStr">
        <is>
          <t>29.408.732/0001-05</t>
        </is>
      </c>
      <c r="F106" s="4" t="inlineStr">
        <is>
          <t>XPI Administradora - Modal</t>
        </is>
      </c>
      <c r="G106" s="4" t="inlineStr">
        <is>
          <t>Renda Fixa</t>
        </is>
      </c>
      <c r="H106" s="4" t="inlineStr">
        <is>
          <t>Renda Fixa Ativo</t>
        </is>
      </c>
      <c r="I106" s="7" t="n">
        <v>100</v>
      </c>
      <c r="J106" s="8" t="n">
        <v>1</v>
      </c>
      <c r="K106" s="8" t="n"/>
      <c r="L106" s="4" t="inlineStr"/>
      <c r="M106" s="5" t="n">
        <v>0</v>
      </c>
      <c r="N106" s="5" t="n">
        <v>1</v>
      </c>
      <c r="O106" s="5" t="n"/>
      <c r="P106" s="4" t="inlineStr"/>
      <c r="Q106" s="4" t="inlineStr">
        <is>
          <t>Não</t>
        </is>
      </c>
      <c r="R106" s="4" t="inlineStr">
        <is>
          <t>Site (navegador)</t>
        </is>
      </c>
      <c r="S106" s="4" t="n">
        <v>1</v>
      </c>
      <c r="T106" s="4" t="inlineStr">
        <is>
          <t>Não</t>
        </is>
      </c>
      <c r="U106" s="4" t="inlineStr">
        <is>
          <t>Sim</t>
        </is>
      </c>
      <c r="V106" s="4" t="inlineStr">
        <is>
          <t>Não</t>
        </is>
      </c>
      <c r="W106" s="4" t="inlineStr"/>
    </row>
    <row r="107">
      <c r="A107" s="4" t="inlineStr">
        <is>
          <t>XP Investimentos</t>
        </is>
      </c>
      <c r="B107" s="4" t="inlineStr">
        <is>
          <t>Kinea Xtr Xp Seg Prev Fic Fim</t>
        </is>
      </c>
      <c r="C107" s="6" t="inlineStr">
        <is>
          <t>32.864.403/0001-75</t>
        </is>
      </c>
      <c r="D107" s="4" t="inlineStr">
        <is>
          <t>XP VIDA E PREVIDÊNCIA S.A.</t>
        </is>
      </c>
      <c r="E107" s="4" t="inlineStr">
        <is>
          <t>29.408.732/0001-05</t>
        </is>
      </c>
      <c r="F107" s="4" t="inlineStr">
        <is>
          <t>XP Investimentos</t>
        </is>
      </c>
      <c r="G107" s="4" t="inlineStr">
        <is>
          <t>Multimercado</t>
        </is>
      </c>
      <c r="H107" s="4" t="inlineStr">
        <is>
          <t>Macro Média Vol</t>
        </is>
      </c>
      <c r="I107" s="7" t="n">
        <v>100</v>
      </c>
      <c r="J107" s="8" t="n">
        <v>1.5</v>
      </c>
      <c r="K107" s="8" t="n"/>
      <c r="L107" s="4" t="inlineStr"/>
      <c r="M107" s="5" t="n">
        <v>0</v>
      </c>
      <c r="N107" s="5" t="n">
        <v>1</v>
      </c>
      <c r="O107" s="5" t="n"/>
      <c r="P107" s="4" t="inlineStr"/>
      <c r="Q107" s="4" t="inlineStr">
        <is>
          <t>Não</t>
        </is>
      </c>
      <c r="R107" s="4" t="inlineStr">
        <is>
          <t>Site (navegador)</t>
        </is>
      </c>
      <c r="S107" s="4" t="n">
        <v>1</v>
      </c>
      <c r="T107" s="4" t="inlineStr">
        <is>
          <t>Não</t>
        </is>
      </c>
      <c r="U107" s="4" t="inlineStr">
        <is>
          <t>Sim</t>
        </is>
      </c>
      <c r="V107" s="4" t="inlineStr">
        <is>
          <t>Não</t>
        </is>
      </c>
      <c r="W107" s="4" t="inlineStr"/>
    </row>
    <row r="108">
      <c r="A108" s="4" t="inlineStr">
        <is>
          <t>XP Investimentos</t>
        </is>
      </c>
      <c r="B108" s="4" t="inlineStr">
        <is>
          <t>Kiron Prev XP Seg FIE FIA</t>
        </is>
      </c>
      <c r="C108" s="6" t="inlineStr">
        <is>
          <t>36.352.287/0001-66</t>
        </is>
      </c>
      <c r="D108" s="4" t="inlineStr">
        <is>
          <t>KIRON CAPITAL GESTÃO DE RECURSOS LTDA.</t>
        </is>
      </c>
      <c r="E108" s="4" t="inlineStr">
        <is>
          <t>22.688.191/0001-69</t>
        </is>
      </c>
      <c r="F108" s="4" t="inlineStr">
        <is>
          <t>BNY Mellon DTVM</t>
        </is>
      </c>
      <c r="G108" s="4" t="inlineStr">
        <is>
          <t>Ações</t>
        </is>
      </c>
      <c r="H108" s="4" t="inlineStr">
        <is>
          <t>Renda Variável Long Only</t>
        </is>
      </c>
      <c r="I108" s="7" t="n">
        <v>100</v>
      </c>
      <c r="J108" s="8" t="n">
        <v>2</v>
      </c>
      <c r="K108" s="8" t="n"/>
      <c r="L108" s="4" t="inlineStr"/>
      <c r="M108" s="5" t="n">
        <v>22</v>
      </c>
      <c r="N108" s="5" t="n">
        <v>2</v>
      </c>
      <c r="O108" s="5" t="n"/>
      <c r="P108" s="4" t="inlineStr"/>
      <c r="Q108" s="4" t="inlineStr">
        <is>
          <t>Não</t>
        </is>
      </c>
      <c r="R108" s="4" t="inlineStr">
        <is>
          <t>Site (navegador)</t>
        </is>
      </c>
      <c r="S108" s="4" t="n">
        <v>1</v>
      </c>
      <c r="T108" s="4" t="inlineStr">
        <is>
          <t>Não</t>
        </is>
      </c>
      <c r="U108" s="4" t="inlineStr">
        <is>
          <t>Sim</t>
        </is>
      </c>
      <c r="V108" s="4" t="inlineStr">
        <is>
          <t>Não</t>
        </is>
      </c>
      <c r="W108" s="4" t="inlineStr"/>
    </row>
    <row r="109">
      <c r="A109" s="4" t="inlineStr">
        <is>
          <t>XP Investimentos</t>
        </is>
      </c>
      <c r="B109" s="4" t="inlineStr">
        <is>
          <t>Leblon 100 XP Seg Prev FIM</t>
        </is>
      </c>
      <c r="C109" s="6" t="inlineStr">
        <is>
          <t>34.462.068/0001-04</t>
        </is>
      </c>
      <c r="D109" s="4" t="inlineStr">
        <is>
          <t>LEBLON EQUITIES GESTAO DE RECURSOS LTDA</t>
        </is>
      </c>
      <c r="E109" s="4" t="inlineStr">
        <is>
          <t>10.240.925/0001-63</t>
        </is>
      </c>
      <c r="F109" s="4" t="inlineStr">
        <is>
          <t>BNY Mellon DTVM</t>
        </is>
      </c>
      <c r="G109" s="4" t="inlineStr">
        <is>
          <t>Multimercado</t>
        </is>
      </c>
      <c r="H109" s="4" t="inlineStr">
        <is>
          <t>Renda Variável Long Only</t>
        </is>
      </c>
      <c r="I109" s="7" t="n">
        <v>100</v>
      </c>
      <c r="J109" s="8" t="n">
        <v>2</v>
      </c>
      <c r="K109" s="8" t="n"/>
      <c r="L109" s="4" t="inlineStr"/>
      <c r="M109" s="5" t="n">
        <v>28</v>
      </c>
      <c r="N109" s="5" t="n">
        <v>2</v>
      </c>
      <c r="O109" s="5" t="n"/>
      <c r="P109" s="4" t="inlineStr"/>
      <c r="Q109" s="4" t="inlineStr">
        <is>
          <t>Não</t>
        </is>
      </c>
      <c r="R109" s="4" t="inlineStr">
        <is>
          <t>Site (navegador)</t>
        </is>
      </c>
      <c r="S109" s="4" t="n">
        <v>1</v>
      </c>
      <c r="T109" s="4" t="inlineStr">
        <is>
          <t>Não</t>
        </is>
      </c>
      <c r="U109" s="4" t="inlineStr">
        <is>
          <t>Sim</t>
        </is>
      </c>
      <c r="V109" s="4" t="inlineStr">
        <is>
          <t>Não</t>
        </is>
      </c>
      <c r="W109" s="4" t="inlineStr"/>
    </row>
    <row r="110">
      <c r="A110" s="4" t="inlineStr">
        <is>
          <t>XP Investimentos</t>
        </is>
      </c>
      <c r="B110" s="4" t="inlineStr">
        <is>
          <t>Leblon 70 XP Seg Prev FIM</t>
        </is>
      </c>
      <c r="C110" s="6" t="inlineStr">
        <is>
          <t>27.793.095/0001-02</t>
        </is>
      </c>
      <c r="D110" s="4" t="inlineStr">
        <is>
          <t>LEBLON EQUITIES GESTAO DE RECURSOS LTDA</t>
        </is>
      </c>
      <c r="E110" s="4" t="inlineStr">
        <is>
          <t>10.240.925/0001-63</t>
        </is>
      </c>
      <c r="F110" s="4" t="inlineStr">
        <is>
          <t>BNY Mellon DTVM</t>
        </is>
      </c>
      <c r="G110" s="4" t="inlineStr">
        <is>
          <t>Multimercado</t>
        </is>
      </c>
      <c r="H110" s="4" t="inlineStr">
        <is>
          <t>Renda Variável Long Only</t>
        </is>
      </c>
      <c r="I110" s="7" t="n">
        <v>100</v>
      </c>
      <c r="J110" s="8" t="n">
        <v>2</v>
      </c>
      <c r="K110" s="8" t="n"/>
      <c r="L110" s="4" t="inlineStr"/>
      <c r="M110" s="5" t="n">
        <v>2</v>
      </c>
      <c r="N110" s="5" t="n">
        <v>2</v>
      </c>
      <c r="O110" s="5" t="n"/>
      <c r="P110" s="4" t="inlineStr"/>
      <c r="Q110" s="4" t="inlineStr">
        <is>
          <t>Não</t>
        </is>
      </c>
      <c r="R110" s="4" t="inlineStr">
        <is>
          <t>Site (navegador)</t>
        </is>
      </c>
      <c r="S110" s="4" t="n">
        <v>1</v>
      </c>
      <c r="T110" s="4" t="inlineStr">
        <is>
          <t>Não</t>
        </is>
      </c>
      <c r="U110" s="4" t="inlineStr">
        <is>
          <t>Sim</t>
        </is>
      </c>
      <c r="V110" s="4" t="inlineStr">
        <is>
          <t>Não</t>
        </is>
      </c>
      <c r="W110" s="4" t="inlineStr"/>
    </row>
    <row r="111">
      <c r="A111" s="4" t="inlineStr">
        <is>
          <t>XP Investimentos</t>
        </is>
      </c>
      <c r="B111" s="4" t="inlineStr">
        <is>
          <t>Legacy Capital Prev Advisory Ii Xp Seg Ficfim</t>
        </is>
      </c>
      <c r="C111" s="6" t="inlineStr">
        <is>
          <t>45.645.166/0001-01</t>
        </is>
      </c>
      <c r="D111" s="4" t="inlineStr">
        <is>
          <t>XP VIDA E PREVIDÊNCIA S.A.</t>
        </is>
      </c>
      <c r="E111" s="4" t="inlineStr">
        <is>
          <t>29.408.732/0001-05</t>
        </is>
      </c>
      <c r="F111" s="4" t="inlineStr">
        <is>
          <t>XP Investimentos</t>
        </is>
      </c>
      <c r="G111" s="4" t="inlineStr">
        <is>
          <t>Multimercado</t>
        </is>
      </c>
      <c r="H111" s="4" t="inlineStr">
        <is>
          <t>Macro Alta Vol</t>
        </is>
      </c>
      <c r="I111" s="7" t="n">
        <v>100</v>
      </c>
      <c r="J111" s="8" t="n">
        <v>2</v>
      </c>
      <c r="K111" s="8" t="n"/>
      <c r="L111" s="4" t="inlineStr"/>
      <c r="M111" s="5" t="n">
        <v>3</v>
      </c>
      <c r="N111" s="5" t="n">
        <v>1</v>
      </c>
      <c r="O111" s="5" t="n"/>
      <c r="P111" s="4" t="inlineStr"/>
      <c r="Q111" s="4" t="inlineStr">
        <is>
          <t>Não</t>
        </is>
      </c>
      <c r="R111" s="4" t="inlineStr">
        <is>
          <t>Site (navegador)</t>
        </is>
      </c>
      <c r="S111" s="4" t="n">
        <v>1</v>
      </c>
      <c r="T111" s="4" t="inlineStr">
        <is>
          <t>Não</t>
        </is>
      </c>
      <c r="U111" s="4" t="inlineStr">
        <is>
          <t>Sim</t>
        </is>
      </c>
      <c r="V111" s="4" t="inlineStr">
        <is>
          <t>Não</t>
        </is>
      </c>
      <c r="W111" s="4" t="inlineStr"/>
    </row>
    <row r="112">
      <c r="A112" s="4" t="inlineStr">
        <is>
          <t>XP Investimentos</t>
        </is>
      </c>
      <c r="B112" s="4" t="inlineStr">
        <is>
          <t>Legacy Crédito Prev Advisory XP Seg FIC FIRF CP</t>
        </is>
      </c>
      <c r="C112" s="6" t="inlineStr">
        <is>
          <t>42.195.844/0001-85</t>
        </is>
      </c>
      <c r="D112" s="4" t="inlineStr">
        <is>
          <t>LEGACY CAPITAL GESTORA DE RECURSOS LTDA.</t>
        </is>
      </c>
      <c r="E112" s="4" t="inlineStr">
        <is>
          <t>28.674.641/0001-40</t>
        </is>
      </c>
      <c r="F112" s="4" t="inlineStr">
        <is>
          <t>Intrag DTVM</t>
        </is>
      </c>
      <c r="G112" s="4" t="inlineStr">
        <is>
          <t>Renda Fixa</t>
        </is>
      </c>
      <c r="H112" s="4" t="inlineStr">
        <is>
          <t>Crédito Híbrido</t>
        </is>
      </c>
      <c r="I112" s="7" t="n">
        <v>100</v>
      </c>
      <c r="J112" s="8" t="n">
        <v>1</v>
      </c>
      <c r="K112" s="8" t="n"/>
      <c r="L112" s="4" t="inlineStr"/>
      <c r="M112" s="5" t="n">
        <v>5</v>
      </c>
      <c r="N112" s="5" t="n">
        <v>1</v>
      </c>
      <c r="O112" s="5" t="n"/>
      <c r="P112" s="4" t="inlineStr"/>
      <c r="Q112" s="4" t="inlineStr">
        <is>
          <t>Não</t>
        </is>
      </c>
      <c r="R112" s="4" t="inlineStr">
        <is>
          <t>Site (navegador)</t>
        </is>
      </c>
      <c r="S112" s="4" t="n">
        <v>1</v>
      </c>
      <c r="T112" s="4" t="inlineStr">
        <is>
          <t>Não</t>
        </is>
      </c>
      <c r="U112" s="4" t="inlineStr">
        <is>
          <t>Sim</t>
        </is>
      </c>
      <c r="V112" s="4" t="inlineStr">
        <is>
          <t>Não</t>
        </is>
      </c>
      <c r="W112" s="4" t="inlineStr"/>
    </row>
    <row r="113">
      <c r="A113" s="4" t="inlineStr">
        <is>
          <t>XP Investimentos</t>
        </is>
      </c>
      <c r="B113" s="4" t="inlineStr">
        <is>
          <t>Lis 100 Prev Xp Seguros Ficfim Rl</t>
        </is>
      </c>
      <c r="C113" s="6" t="inlineStr">
        <is>
          <t>47.033.051/0001-83</t>
        </is>
      </c>
      <c r="D113" s="4" t="inlineStr">
        <is>
          <t>XP VIDA E PREVIDÊNCIA S.A.</t>
        </is>
      </c>
      <c r="E113" s="4" t="inlineStr">
        <is>
          <t>29.408.732/0001-05</t>
        </is>
      </c>
      <c r="F113" s="4" t="inlineStr">
        <is>
          <t>XP Investimentos</t>
        </is>
      </c>
      <c r="G113" s="4" t="inlineStr">
        <is>
          <t>Multimercado</t>
        </is>
      </c>
      <c r="H113" s="4" t="inlineStr">
        <is>
          <t>Renda Variável Small/Mid Caps</t>
        </is>
      </c>
      <c r="I113" s="7" t="n">
        <v>100</v>
      </c>
      <c r="J113" s="8" t="n">
        <v>2</v>
      </c>
      <c r="K113" s="8" t="n"/>
      <c r="L113" s="4" t="inlineStr"/>
      <c r="M113" s="5" t="n">
        <v>30</v>
      </c>
      <c r="N113" s="5" t="n">
        <v>2</v>
      </c>
      <c r="O113" s="5" t="n"/>
      <c r="P113" s="4" t="inlineStr"/>
      <c r="Q113" s="4" t="inlineStr">
        <is>
          <t>Não</t>
        </is>
      </c>
      <c r="R113" s="4" t="inlineStr">
        <is>
          <t>Site (navegador)</t>
        </is>
      </c>
      <c r="S113" s="4" t="n">
        <v>1</v>
      </c>
      <c r="T113" s="4" t="inlineStr">
        <is>
          <t>Não</t>
        </is>
      </c>
      <c r="U113" s="4" t="inlineStr">
        <is>
          <t>Sim</t>
        </is>
      </c>
      <c r="V113" s="4" t="inlineStr">
        <is>
          <t>Não</t>
        </is>
      </c>
      <c r="W113" s="4" t="inlineStr"/>
    </row>
    <row r="114">
      <c r="A114" s="4" t="inlineStr">
        <is>
          <t>XP Investimentos</t>
        </is>
      </c>
      <c r="B114" s="4" t="inlineStr">
        <is>
          <t>Lis 70 Xp Seg Prev Ficfim Rl</t>
        </is>
      </c>
      <c r="C114" s="6" t="inlineStr">
        <is>
          <t>43.860.692/0001-50</t>
        </is>
      </c>
      <c r="D114" s="4" t="inlineStr">
        <is>
          <t>XP Vida e Previdência</t>
        </is>
      </c>
      <c r="E114" s="4" t="inlineStr"/>
      <c r="F114" s="4" t="inlineStr">
        <is>
          <t>XP Investimentos</t>
        </is>
      </c>
      <c r="G114" s="4" t="inlineStr">
        <is>
          <t>Multimercado</t>
        </is>
      </c>
      <c r="H114" s="4" t="inlineStr">
        <is>
          <t>Renda Variável Small/Mid Caps</t>
        </is>
      </c>
      <c r="I114" s="7" t="n">
        <v>100</v>
      </c>
      <c r="J114" s="8" t="n">
        <v>2</v>
      </c>
      <c r="K114" s="8" t="n"/>
      <c r="L114" s="4" t="inlineStr"/>
      <c r="M114" s="5" t="n">
        <v>7</v>
      </c>
      <c r="N114" s="5" t="n">
        <v>2</v>
      </c>
      <c r="O114" s="5" t="n"/>
      <c r="P114" s="4" t="inlineStr"/>
      <c r="Q114" s="4" t="inlineStr">
        <is>
          <t>Sim</t>
        </is>
      </c>
      <c r="R114" s="4" t="inlineStr">
        <is>
          <t>Site (navegador)</t>
        </is>
      </c>
      <c r="S114" s="4" t="n">
        <v>1</v>
      </c>
      <c r="T114" s="4" t="inlineStr">
        <is>
          <t>Não</t>
        </is>
      </c>
      <c r="U114" s="4" t="inlineStr">
        <is>
          <t>Sim</t>
        </is>
      </c>
      <c r="V114" s="4" t="inlineStr">
        <is>
          <t>Não</t>
        </is>
      </c>
      <c r="W114" s="4" t="inlineStr"/>
    </row>
    <row r="115">
      <c r="A115" s="4" t="inlineStr">
        <is>
          <t>XP Investimentos</t>
        </is>
      </c>
      <c r="B115" s="4" t="inlineStr">
        <is>
          <t>M Global 40 Xp Seg Prev Fic Fim Rl</t>
        </is>
      </c>
      <c r="C115" s="6" t="inlineStr">
        <is>
          <t>40.682.081/0001-71</t>
        </is>
      </c>
      <c r="D115" s="4" t="inlineStr">
        <is>
          <t>XP ALLOCATION ASSET MANAGEMENT LTDA</t>
        </is>
      </c>
      <c r="E115" s="4" t="inlineStr">
        <is>
          <t>37.918.829/0001-88</t>
        </is>
      </c>
      <c r="F115" s="4" t="inlineStr">
        <is>
          <t>XP Investimentos</t>
        </is>
      </c>
      <c r="G115" s="4" t="inlineStr">
        <is>
          <t>Multimercado</t>
        </is>
      </c>
      <c r="H115" s="4" t="inlineStr">
        <is>
          <t>Internacional Ações Não Hedgeado</t>
        </is>
      </c>
      <c r="I115" s="7" t="n">
        <v>100</v>
      </c>
      <c r="J115" s="8" t="n">
        <v>0.9399999999999999</v>
      </c>
      <c r="K115" s="8" t="n"/>
      <c r="L115" s="4" t="inlineStr"/>
      <c r="M115" s="5" t="n">
        <v>3</v>
      </c>
      <c r="N115" s="5" t="n">
        <v>3</v>
      </c>
      <c r="O115" s="5" t="n"/>
      <c r="P115" s="4" t="inlineStr"/>
      <c r="Q115" s="4" t="inlineStr">
        <is>
          <t>Não</t>
        </is>
      </c>
      <c r="R115" s="4" t="inlineStr">
        <is>
          <t>Site (navegador)</t>
        </is>
      </c>
      <c r="S115" s="4" t="n">
        <v>1</v>
      </c>
      <c r="T115" s="4" t="inlineStr">
        <is>
          <t>Não</t>
        </is>
      </c>
      <c r="U115" s="4" t="inlineStr">
        <is>
          <t>Sim</t>
        </is>
      </c>
      <c r="V115" s="4" t="inlineStr">
        <is>
          <t>Não</t>
        </is>
      </c>
      <c r="W115" s="4" t="inlineStr"/>
    </row>
    <row r="116">
      <c r="A116" s="4" t="inlineStr">
        <is>
          <t>XP Investimentos</t>
        </is>
      </c>
      <c r="B116" s="4" t="inlineStr">
        <is>
          <t>M8 Capital XP Seg Previdência FIC FIRF CP RL</t>
        </is>
      </c>
      <c r="C116" s="6" t="inlineStr">
        <is>
          <t>61.539.506/0001-68</t>
        </is>
      </c>
      <c r="D116" s="4" t="inlineStr">
        <is>
          <t>M8 PARTNERS GESTORA DE RECURSOS LTDA.</t>
        </is>
      </c>
      <c r="E116" s="4" t="inlineStr">
        <is>
          <t>18.038.439/0001-79</t>
        </is>
      </c>
      <c r="F116" s="4" t="inlineStr">
        <is>
          <t>BTG Pactual DTVM</t>
        </is>
      </c>
      <c r="G116" s="4" t="inlineStr">
        <is>
          <t>Renda Fixa</t>
        </is>
      </c>
      <c r="H116" s="4" t="inlineStr">
        <is>
          <t>Crédito High Yield</t>
        </is>
      </c>
      <c r="I116" s="7" t="n">
        <v>100</v>
      </c>
      <c r="J116" s="8" t="n">
        <v>1</v>
      </c>
      <c r="K116" s="8" t="n"/>
      <c r="L116" s="4" t="inlineStr"/>
      <c r="M116" s="5" t="n">
        <v>7</v>
      </c>
      <c r="N116" s="5" t="n">
        <v>2</v>
      </c>
      <c r="O116" s="5" t="n"/>
      <c r="P116" s="4" t="inlineStr"/>
      <c r="Q116" s="4" t="inlineStr">
        <is>
          <t>Não</t>
        </is>
      </c>
      <c r="R116" s="4" t="inlineStr">
        <is>
          <t>Site (navegador)</t>
        </is>
      </c>
      <c r="S116" s="4" t="n">
        <v>1</v>
      </c>
      <c r="T116" s="4" t="inlineStr">
        <is>
          <t>Não</t>
        </is>
      </c>
      <c r="U116" s="4" t="inlineStr">
        <is>
          <t>Sim</t>
        </is>
      </c>
      <c r="V116" s="4" t="inlineStr">
        <is>
          <t>Não</t>
        </is>
      </c>
      <c r="W116" s="4" t="inlineStr"/>
    </row>
    <row r="117">
      <c r="A117" s="4" t="inlineStr">
        <is>
          <t>XP Investimentos</t>
        </is>
      </c>
      <c r="B117" s="4" t="inlineStr">
        <is>
          <t>MAG Prev XP Seg Advisory FIRF CP</t>
        </is>
      </c>
      <c r="C117" s="6" t="inlineStr">
        <is>
          <t>32.385.140/0001-11</t>
        </is>
      </c>
      <c r="D117" s="4" t="inlineStr">
        <is>
          <t>MONGERAL AEGON INVESTIMENTOS LTDA</t>
        </is>
      </c>
      <c r="E117" s="4" t="inlineStr">
        <is>
          <t>16.500.294/0001-50</t>
        </is>
      </c>
      <c r="F117" s="4" t="inlineStr">
        <is>
          <t>BNY Mellon DTVM</t>
        </is>
      </c>
      <c r="G117" s="4" t="inlineStr">
        <is>
          <t>Renda Fixa</t>
        </is>
      </c>
      <c r="H117" s="4" t="inlineStr">
        <is>
          <t>Crédito High Grade</t>
        </is>
      </c>
      <c r="I117" s="7" t="n">
        <v>100</v>
      </c>
      <c r="J117" s="8" t="n">
        <v>0.95</v>
      </c>
      <c r="K117" s="8" t="n"/>
      <c r="L117" s="4" t="inlineStr"/>
      <c r="M117" s="5" t="n">
        <v>1</v>
      </c>
      <c r="N117" s="5" t="n">
        <v>1</v>
      </c>
      <c r="O117" s="5" t="n"/>
      <c r="P117" s="4" t="inlineStr"/>
      <c r="Q117" s="4" t="inlineStr">
        <is>
          <t>Não</t>
        </is>
      </c>
      <c r="R117" s="4" t="inlineStr">
        <is>
          <t>Site (navegador)</t>
        </is>
      </c>
      <c r="S117" s="4" t="n">
        <v>1</v>
      </c>
      <c r="T117" s="4" t="inlineStr">
        <is>
          <t>Não</t>
        </is>
      </c>
      <c r="U117" s="4" t="inlineStr">
        <is>
          <t>Sim</t>
        </is>
      </c>
      <c r="V117" s="4" t="inlineStr">
        <is>
          <t>Não</t>
        </is>
      </c>
      <c r="W117" s="4" t="inlineStr"/>
    </row>
    <row r="118">
      <c r="A118" s="4" t="inlineStr">
        <is>
          <t>XP Investimentos</t>
        </is>
      </c>
      <c r="B118" s="4" t="inlineStr">
        <is>
          <t>Mag Cash Xp Seg Prev Ficfirf Rl</t>
        </is>
      </c>
      <c r="C118" s="6" t="inlineStr">
        <is>
          <t>58.543.779/0001-71</t>
        </is>
      </c>
      <c r="D118" s="4" t="inlineStr">
        <is>
          <t>MONGERAL AEGON INVESTIMENTOS LTDA</t>
        </is>
      </c>
      <c r="E118" s="4" t="inlineStr">
        <is>
          <t>16.500.294/0001-50</t>
        </is>
      </c>
      <c r="F118" s="4" t="inlineStr">
        <is>
          <t>BNY Mellon DTVM</t>
        </is>
      </c>
      <c r="G118" s="4" t="inlineStr">
        <is>
          <t>Renda Fixa</t>
        </is>
      </c>
      <c r="H118" s="4" t="inlineStr">
        <is>
          <t>Crédito Liquidez</t>
        </is>
      </c>
      <c r="I118" s="7" t="n">
        <v>100</v>
      </c>
      <c r="J118" s="8" t="n">
        <v>0.8</v>
      </c>
      <c r="K118" s="8" t="n"/>
      <c r="L118" s="4" t="inlineStr"/>
      <c r="M118" s="5" t="n">
        <v>0</v>
      </c>
      <c r="N118" s="5" t="n">
        <v>1</v>
      </c>
      <c r="O118" s="5" t="n"/>
      <c r="P118" s="4" t="inlineStr"/>
      <c r="Q118" s="4" t="inlineStr">
        <is>
          <t>Sim</t>
        </is>
      </c>
      <c r="R118" s="4" t="inlineStr">
        <is>
          <t>Site (navegador)</t>
        </is>
      </c>
      <c r="S118" s="4" t="n">
        <v>1</v>
      </c>
      <c r="T118" s="4" t="inlineStr">
        <is>
          <t>Não</t>
        </is>
      </c>
      <c r="U118" s="4" t="inlineStr">
        <is>
          <t>Sim</t>
        </is>
      </c>
      <c r="V118" s="4" t="inlineStr">
        <is>
          <t>Não</t>
        </is>
      </c>
      <c r="W118" s="4" t="inlineStr"/>
    </row>
    <row r="119">
      <c r="A119" s="4" t="inlineStr">
        <is>
          <t>XP Investimentos</t>
        </is>
      </c>
      <c r="B119" s="4" t="inlineStr">
        <is>
          <t>Mag Prev Rf Fic Fim</t>
        </is>
      </c>
      <c r="C119" s="6" t="inlineStr">
        <is>
          <t>45.645.112/0001-38</t>
        </is>
      </c>
      <c r="D119" s="4" t="inlineStr">
        <is>
          <t>XP VIDA E PREVIDÊNCIA S.A.</t>
        </is>
      </c>
      <c r="E119" s="4" t="inlineStr">
        <is>
          <t>29.408.732/0001-05</t>
        </is>
      </c>
      <c r="F119" s="4" t="inlineStr">
        <is>
          <t>XPI Administradora - Modal</t>
        </is>
      </c>
      <c r="G119" s="4" t="inlineStr">
        <is>
          <t>Multimercado</t>
        </is>
      </c>
      <c r="H119" s="4" t="inlineStr">
        <is>
          <t>Renda Fixa Ativo</t>
        </is>
      </c>
      <c r="I119" s="7" t="n">
        <v>100</v>
      </c>
      <c r="J119" s="8" t="n">
        <v>0.7</v>
      </c>
      <c r="K119" s="8" t="n"/>
      <c r="L119" s="4" t="inlineStr"/>
      <c r="M119" s="5" t="n">
        <v>0</v>
      </c>
      <c r="N119" s="5" t="n">
        <v>1</v>
      </c>
      <c r="O119" s="5" t="n"/>
      <c r="P119" s="4" t="inlineStr"/>
      <c r="Q119" s="4" t="inlineStr">
        <is>
          <t>Não</t>
        </is>
      </c>
      <c r="R119" s="4" t="inlineStr">
        <is>
          <t>Site (navegador)</t>
        </is>
      </c>
      <c r="S119" s="4" t="n">
        <v>1</v>
      </c>
      <c r="T119" s="4" t="inlineStr">
        <is>
          <t>Não</t>
        </is>
      </c>
      <c r="U119" s="4" t="inlineStr">
        <is>
          <t>Sim</t>
        </is>
      </c>
      <c r="V119" s="4" t="inlineStr">
        <is>
          <t>Não</t>
        </is>
      </c>
      <c r="W119" s="4" t="inlineStr"/>
    </row>
    <row r="120">
      <c r="A120" s="4" t="inlineStr">
        <is>
          <t>XP Investimentos</t>
        </is>
      </c>
      <c r="B120" s="4" t="inlineStr">
        <is>
          <t>Mantaro LB Prev Advisory XP Seg FIC FIM</t>
        </is>
      </c>
      <c r="C120" s="6" t="inlineStr">
        <is>
          <t>36.327.253/0001-11</t>
        </is>
      </c>
      <c r="D120" s="4" t="inlineStr">
        <is>
          <t>MANTARO CAPITAL LTDA</t>
        </is>
      </c>
      <c r="E120" s="4" t="inlineStr">
        <is>
          <t>43.353.050/0001-65</t>
        </is>
      </c>
      <c r="F120" s="4" t="inlineStr">
        <is>
          <t>BTG Pactual DTVM</t>
        </is>
      </c>
      <c r="G120" s="4" t="inlineStr">
        <is>
          <t>Multimercado</t>
        </is>
      </c>
      <c r="H120" s="4" t="inlineStr">
        <is>
          <t>Renda Variável Long Biased</t>
        </is>
      </c>
      <c r="I120" s="7" t="n">
        <v>100</v>
      </c>
      <c r="J120" s="8" t="n">
        <v>2</v>
      </c>
      <c r="K120" s="8" t="n"/>
      <c r="L120" s="4" t="inlineStr"/>
      <c r="M120" s="5" t="n">
        <v>15</v>
      </c>
      <c r="N120" s="5" t="n">
        <v>2</v>
      </c>
      <c r="O120" s="5" t="n"/>
      <c r="P120" s="4" t="inlineStr"/>
      <c r="Q120" s="4" t="inlineStr">
        <is>
          <t>Não</t>
        </is>
      </c>
      <c r="R120" s="4" t="inlineStr">
        <is>
          <t>Site (navegador)</t>
        </is>
      </c>
      <c r="S120" s="4" t="n">
        <v>1</v>
      </c>
      <c r="T120" s="4" t="inlineStr">
        <is>
          <t>Não</t>
        </is>
      </c>
      <c r="U120" s="4" t="inlineStr">
        <is>
          <t>Sim</t>
        </is>
      </c>
      <c r="V120" s="4" t="inlineStr">
        <is>
          <t>Não</t>
        </is>
      </c>
      <c r="W120" s="4" t="inlineStr"/>
    </row>
    <row r="121">
      <c r="A121" s="4" t="inlineStr">
        <is>
          <t>XP Investimentos</t>
        </is>
      </c>
      <c r="B121" s="4" t="inlineStr">
        <is>
          <t>Mapfre Confianza XP Seg FIC FIF RF RL</t>
        </is>
      </c>
      <c r="C121" s="6" t="inlineStr">
        <is>
          <t>56.385.272/0001-01</t>
        </is>
      </c>
      <c r="D121" s="4" t="inlineStr">
        <is>
          <t>MAPFRE INVESTIMENTOS LTDA.</t>
        </is>
      </c>
      <c r="E121" s="4" t="inlineStr">
        <is>
          <t>04.160.039/0001-27</t>
        </is>
      </c>
      <c r="F121" s="4" t="inlineStr">
        <is>
          <t>BNY Mellon DTVM</t>
        </is>
      </c>
      <c r="G121" s="4" t="inlineStr">
        <is>
          <t>Renda Fixa</t>
        </is>
      </c>
      <c r="H121" s="4" t="inlineStr">
        <is>
          <t>Crédito Liquidez</t>
        </is>
      </c>
      <c r="I121" s="7" t="n">
        <v>100</v>
      </c>
      <c r="J121" s="8" t="n">
        <v>0.45</v>
      </c>
      <c r="K121" s="8" t="n"/>
      <c r="L121" s="4" t="inlineStr"/>
      <c r="M121" s="5" t="n">
        <v>0</v>
      </c>
      <c r="N121" s="5" t="n">
        <v>0</v>
      </c>
      <c r="O121" s="5" t="n"/>
      <c r="P121" s="4" t="inlineStr"/>
      <c r="Q121" s="4" t="inlineStr">
        <is>
          <t>Não</t>
        </is>
      </c>
      <c r="R121" s="4" t="inlineStr">
        <is>
          <t>Site (navegador)</t>
        </is>
      </c>
      <c r="S121" s="4" t="n">
        <v>1</v>
      </c>
      <c r="T121" s="4" t="inlineStr">
        <is>
          <t>Não</t>
        </is>
      </c>
      <c r="U121" s="4" t="inlineStr">
        <is>
          <t>Sim</t>
        </is>
      </c>
      <c r="V121" s="4" t="inlineStr">
        <is>
          <t>Não</t>
        </is>
      </c>
      <c r="W121" s="4" t="inlineStr"/>
    </row>
    <row r="122">
      <c r="A122" s="4" t="inlineStr">
        <is>
          <t>XP Investimentos</t>
        </is>
      </c>
      <c r="B122" s="4" t="inlineStr">
        <is>
          <t>Miles Virtus Advisory XP Seg Prev FIC FIA</t>
        </is>
      </c>
      <c r="C122" s="6" t="inlineStr">
        <is>
          <t>34.475.121/0001-01</t>
        </is>
      </c>
      <c r="D122" s="4" t="inlineStr">
        <is>
          <t>Miles Capital</t>
        </is>
      </c>
      <c r="E122" s="4" t="inlineStr"/>
      <c r="F122" s="4" t="inlineStr">
        <is>
          <t>BNY Mellon DTVM</t>
        </is>
      </c>
      <c r="G122" s="4" t="inlineStr">
        <is>
          <t>Ações</t>
        </is>
      </c>
      <c r="H122" s="4" t="inlineStr">
        <is>
          <t>Renda Variável Long Only</t>
        </is>
      </c>
      <c r="I122" s="7" t="n">
        <v>100</v>
      </c>
      <c r="J122" s="8" t="n">
        <v>2</v>
      </c>
      <c r="K122" s="8" t="n"/>
      <c r="L122" s="4" t="inlineStr"/>
      <c r="M122" s="5" t="n">
        <v>2</v>
      </c>
      <c r="N122" s="5" t="n">
        <v>2</v>
      </c>
      <c r="O122" s="5" t="n"/>
      <c r="P122" s="4" t="inlineStr"/>
      <c r="Q122" s="4" t="inlineStr">
        <is>
          <t>Sim</t>
        </is>
      </c>
      <c r="R122" s="4" t="inlineStr">
        <is>
          <t>Site (navegador)</t>
        </is>
      </c>
      <c r="S122" s="4" t="n">
        <v>1</v>
      </c>
      <c r="T122" s="4" t="inlineStr">
        <is>
          <t>Não</t>
        </is>
      </c>
      <c r="U122" s="4" t="inlineStr">
        <is>
          <t>Sim</t>
        </is>
      </c>
      <c r="V122" s="4" t="inlineStr">
        <is>
          <t>Não</t>
        </is>
      </c>
      <c r="W122" s="4" t="inlineStr"/>
    </row>
    <row r="123">
      <c r="A123" s="4" t="inlineStr">
        <is>
          <t>XP Investimentos</t>
        </is>
      </c>
      <c r="B123" s="4" t="inlineStr">
        <is>
          <t>Moat Prev XP Seg FICFIA</t>
        </is>
      </c>
      <c r="C123" s="6" t="inlineStr">
        <is>
          <t>37.037.432/0001-87</t>
        </is>
      </c>
      <c r="D123" s="4" t="inlineStr">
        <is>
          <t>MOAT CAPITAL GESTÃO DE RECURSOS LTDA</t>
        </is>
      </c>
      <c r="E123" s="4" t="inlineStr">
        <is>
          <t>18.730.786/0001-68</t>
        </is>
      </c>
      <c r="F123" s="4" t="inlineStr">
        <is>
          <t>Intrag DTVM</t>
        </is>
      </c>
      <c r="G123" s="4" t="inlineStr">
        <is>
          <t>Ações</t>
        </is>
      </c>
      <c r="H123" s="4" t="inlineStr">
        <is>
          <t>Renda Variável Long Only</t>
        </is>
      </c>
      <c r="I123" s="7" t="n">
        <v>100</v>
      </c>
      <c r="J123" s="8" t="n">
        <v>2</v>
      </c>
      <c r="K123" s="8" t="n"/>
      <c r="L123" s="4" t="inlineStr"/>
      <c r="M123" s="5" t="n">
        <v>15</v>
      </c>
      <c r="N123" s="5" t="n">
        <v>2</v>
      </c>
      <c r="O123" s="5" t="n"/>
      <c r="P123" s="4" t="inlineStr"/>
      <c r="Q123" s="4" t="inlineStr">
        <is>
          <t>Não</t>
        </is>
      </c>
      <c r="R123" s="4" t="inlineStr">
        <is>
          <t>Site (navegador)</t>
        </is>
      </c>
      <c r="S123" s="4" t="n">
        <v>1</v>
      </c>
      <c r="T123" s="4" t="inlineStr">
        <is>
          <t>Não</t>
        </is>
      </c>
      <c r="U123" s="4" t="inlineStr">
        <is>
          <t>Sim</t>
        </is>
      </c>
      <c r="V123" s="4" t="inlineStr">
        <is>
          <t>Não</t>
        </is>
      </c>
      <c r="W123" s="4" t="inlineStr"/>
    </row>
    <row r="124">
      <c r="A124" s="4" t="inlineStr">
        <is>
          <t>XP Investimentos</t>
        </is>
      </c>
      <c r="B124" s="4" t="inlineStr">
        <is>
          <t>Neo Navitas Prev XP Seg FICFIA</t>
        </is>
      </c>
      <c r="C124" s="6" t="inlineStr">
        <is>
          <t>41.081.187/0001-82</t>
        </is>
      </c>
      <c r="D124" s="4" t="inlineStr">
        <is>
          <t>NEO Investimentos</t>
        </is>
      </c>
      <c r="E124" s="4" t="inlineStr"/>
      <c r="F124" s="4" t="inlineStr">
        <is>
          <t>Intrag DTVM</t>
        </is>
      </c>
      <c r="G124" s="4" t="inlineStr">
        <is>
          <t>Ações</t>
        </is>
      </c>
      <c r="H124" s="4" t="inlineStr">
        <is>
          <t>Renda Variável Long Only</t>
        </is>
      </c>
      <c r="I124" s="7" t="n">
        <v>100</v>
      </c>
      <c r="J124" s="8" t="n">
        <v>2</v>
      </c>
      <c r="K124" s="8" t="n"/>
      <c r="L124" s="4" t="inlineStr"/>
      <c r="M124" s="5" t="n">
        <v>22</v>
      </c>
      <c r="N124" s="5" t="n">
        <v>2</v>
      </c>
      <c r="O124" s="5" t="n"/>
      <c r="P124" s="4" t="inlineStr"/>
      <c r="Q124" s="4" t="inlineStr">
        <is>
          <t>Sim</t>
        </is>
      </c>
      <c r="R124" s="4" t="inlineStr">
        <is>
          <t>Site (navegador)</t>
        </is>
      </c>
      <c r="S124" s="4" t="n">
        <v>1</v>
      </c>
      <c r="T124" s="4" t="inlineStr">
        <is>
          <t>Não</t>
        </is>
      </c>
      <c r="U124" s="4" t="inlineStr">
        <is>
          <t>Sim</t>
        </is>
      </c>
      <c r="V124" s="4" t="inlineStr">
        <is>
          <t>Não</t>
        </is>
      </c>
      <c r="W124" s="4" t="inlineStr"/>
    </row>
    <row r="125">
      <c r="A125" s="4" t="inlineStr">
        <is>
          <t>XP Investimentos</t>
        </is>
      </c>
      <c r="B125" s="4" t="inlineStr">
        <is>
          <t>Novus Bolsa Macro Global Prev Xp Seg Ficfia</t>
        </is>
      </c>
      <c r="C125" s="6" t="inlineStr">
        <is>
          <t>38.035.023/0001-04</t>
        </is>
      </c>
      <c r="D125" s="4" t="inlineStr">
        <is>
          <t>NOVUS CAPITAL GESTORA DE RECURSOS LTDA.</t>
        </is>
      </c>
      <c r="E125" s="4" t="inlineStr">
        <is>
          <t>15.388.425/0001-97</t>
        </is>
      </c>
      <c r="F125" s="4" t="inlineStr">
        <is>
          <t>Intrag DTVM</t>
        </is>
      </c>
      <c r="G125" s="4" t="inlineStr">
        <is>
          <t>Ações</t>
        </is>
      </c>
      <c r="H125" s="4" t="inlineStr">
        <is>
          <t>Renda Variável Long Biased</t>
        </is>
      </c>
      <c r="I125" s="7" t="n">
        <v>100</v>
      </c>
      <c r="J125" s="8" t="n">
        <v>2</v>
      </c>
      <c r="K125" s="8" t="n"/>
      <c r="L125" s="4" t="inlineStr"/>
      <c r="M125" s="5" t="n">
        <v>21</v>
      </c>
      <c r="N125" s="5" t="n">
        <v>2</v>
      </c>
      <c r="O125" s="5" t="n"/>
      <c r="P125" s="4" t="inlineStr"/>
      <c r="Q125" s="4" t="inlineStr">
        <is>
          <t>Sim</t>
        </is>
      </c>
      <c r="R125" s="4" t="inlineStr">
        <is>
          <t>Site (navegador)</t>
        </is>
      </c>
      <c r="S125" s="4" t="n">
        <v>1</v>
      </c>
      <c r="T125" s="4" t="inlineStr">
        <is>
          <t>Não</t>
        </is>
      </c>
      <c r="U125" s="4" t="inlineStr">
        <is>
          <t>Sim</t>
        </is>
      </c>
      <c r="V125" s="4" t="inlineStr">
        <is>
          <t>Não</t>
        </is>
      </c>
      <c r="W125" s="4" t="inlineStr"/>
    </row>
    <row r="126">
      <c r="A126" s="4" t="inlineStr">
        <is>
          <t>XP Investimentos</t>
        </is>
      </c>
      <c r="B126" s="4" t="inlineStr">
        <is>
          <t>Novus Crédito Previdência Xp Fif Em Cotas Fim Cp Rl</t>
        </is>
      </c>
      <c r="C126" s="6" t="inlineStr">
        <is>
          <t>60.818.157/0001-50</t>
        </is>
      </c>
      <c r="D126" s="4" t="inlineStr">
        <is>
          <t>NOVUS CREDITO GESTAO DE RECURSOS LTDA</t>
        </is>
      </c>
      <c r="E126" s="4" t="inlineStr">
        <is>
          <t>42.524.344/0001-40</t>
        </is>
      </c>
      <c r="F126" s="4" t="inlineStr">
        <is>
          <t>BTG Pactual DTVM</t>
        </is>
      </c>
      <c r="G126" s="4" t="inlineStr">
        <is>
          <t>Multimercado</t>
        </is>
      </c>
      <c r="H126" s="4" t="inlineStr">
        <is>
          <t>Crédito High Grade</t>
        </is>
      </c>
      <c r="I126" s="7" t="n">
        <v>100</v>
      </c>
      <c r="J126" s="8" t="n">
        <v>0.9</v>
      </c>
      <c r="K126" s="8" t="n"/>
      <c r="L126" s="4" t="inlineStr"/>
      <c r="M126" s="5" t="n">
        <v>22</v>
      </c>
      <c r="N126" s="5" t="n">
        <v>1</v>
      </c>
      <c r="O126" s="5" t="n"/>
      <c r="P126" s="4" t="inlineStr"/>
      <c r="Q126" s="4" t="inlineStr">
        <is>
          <t>Sim</t>
        </is>
      </c>
      <c r="R126" s="4" t="inlineStr">
        <is>
          <t>Site (navegador)</t>
        </is>
      </c>
      <c r="S126" s="4" t="n">
        <v>1</v>
      </c>
      <c r="T126" s="4" t="inlineStr">
        <is>
          <t>Não</t>
        </is>
      </c>
      <c r="U126" s="4" t="inlineStr">
        <is>
          <t>Sim</t>
        </is>
      </c>
      <c r="V126" s="4" t="inlineStr">
        <is>
          <t>Não</t>
        </is>
      </c>
      <c r="W126" s="4" t="inlineStr"/>
    </row>
    <row r="127">
      <c r="A127" s="4" t="inlineStr">
        <is>
          <t>XP Investimentos</t>
        </is>
      </c>
      <c r="B127" s="4" t="inlineStr">
        <is>
          <t>Occam Liquidez Prev Xp Seg Fic Fim</t>
        </is>
      </c>
      <c r="C127" s="6" t="inlineStr">
        <is>
          <t>40.780.979/0001-82</t>
        </is>
      </c>
      <c r="D127" s="4" t="inlineStr">
        <is>
          <t>XP VIDA E PREVIDÊNCIA S.A.</t>
        </is>
      </c>
      <c r="E127" s="4" t="inlineStr">
        <is>
          <t>29.408.732/0001-05</t>
        </is>
      </c>
      <c r="F127" s="4" t="inlineStr">
        <is>
          <t>XPI Administradora</t>
        </is>
      </c>
      <c r="G127" s="4" t="inlineStr">
        <is>
          <t>Multimercado</t>
        </is>
      </c>
      <c r="H127" s="4" t="inlineStr">
        <is>
          <t>Macro Baixa Vol</t>
        </is>
      </c>
      <c r="I127" s="7" t="n">
        <v>100</v>
      </c>
      <c r="J127" s="8" t="n">
        <v>1.15</v>
      </c>
      <c r="K127" s="8" t="n"/>
      <c r="L127" s="4" t="inlineStr"/>
      <c r="M127" s="5" t="n">
        <v>0</v>
      </c>
      <c r="N127" s="5" t="n">
        <v>1</v>
      </c>
      <c r="O127" s="5" t="n"/>
      <c r="P127" s="4" t="inlineStr"/>
      <c r="Q127" s="4" t="inlineStr">
        <is>
          <t>Não</t>
        </is>
      </c>
      <c r="R127" s="4" t="inlineStr">
        <is>
          <t>Site (navegador)</t>
        </is>
      </c>
      <c r="S127" s="4" t="n">
        <v>1</v>
      </c>
      <c r="T127" s="4" t="inlineStr">
        <is>
          <t>Não</t>
        </is>
      </c>
      <c r="U127" s="4" t="inlineStr">
        <is>
          <t>Sim</t>
        </is>
      </c>
      <c r="V127" s="4" t="inlineStr">
        <is>
          <t>Não</t>
        </is>
      </c>
      <c r="W127" s="4" t="inlineStr"/>
    </row>
    <row r="128">
      <c r="A128" s="4" t="inlineStr">
        <is>
          <t>XP Investimentos</t>
        </is>
      </c>
      <c r="B128" s="4" t="inlineStr">
        <is>
          <t>Occam Liquidez XP Seg Prev FIC FIRF CP RL</t>
        </is>
      </c>
      <c r="C128" s="6" t="inlineStr">
        <is>
          <t>63.799.359/0001-90</t>
        </is>
      </c>
      <c r="D128" s="4" t="inlineStr">
        <is>
          <t>NOVA OCCAM BRASIL GESTAO DE RECURSOS LTDA.</t>
        </is>
      </c>
      <c r="E128" s="4" t="inlineStr">
        <is>
          <t>43.228.545/0001-62</t>
        </is>
      </c>
      <c r="F128" s="4" t="inlineStr">
        <is>
          <t>BNY Mellon DTVM</t>
        </is>
      </c>
      <c r="G128" s="4" t="inlineStr">
        <is>
          <t>Renda Fixa</t>
        </is>
      </c>
      <c r="H128" s="4" t="inlineStr">
        <is>
          <t>Crédito Liquidez</t>
        </is>
      </c>
      <c r="I128" s="7" t="n">
        <v>100</v>
      </c>
      <c r="J128" s="8" t="n">
        <v>0.8</v>
      </c>
      <c r="K128" s="8" t="n"/>
      <c r="L128" s="4" t="inlineStr"/>
      <c r="M128" s="5" t="n">
        <v>6</v>
      </c>
      <c r="N128" s="5" t="n">
        <v>1</v>
      </c>
      <c r="O128" s="5" t="n"/>
      <c r="P128" s="4" t="inlineStr"/>
      <c r="Q128" s="4" t="inlineStr">
        <is>
          <t>Não</t>
        </is>
      </c>
      <c r="R128" s="4" t="inlineStr">
        <is>
          <t>Site (navegador)</t>
        </is>
      </c>
      <c r="S128" s="4" t="n">
        <v>1</v>
      </c>
      <c r="T128" s="4" t="inlineStr">
        <is>
          <t>Não</t>
        </is>
      </c>
      <c r="U128" s="4" t="inlineStr">
        <is>
          <t>Sim</t>
        </is>
      </c>
      <c r="V128" s="4" t="inlineStr">
        <is>
          <t>Não</t>
        </is>
      </c>
      <c r="W128" s="4" t="inlineStr"/>
    </row>
    <row r="129">
      <c r="A129" s="4" t="inlineStr">
        <is>
          <t>XP Investimentos</t>
        </is>
      </c>
      <c r="B129" s="4" t="inlineStr">
        <is>
          <t>Occam Xp Seg Prev Fic Fim Rl</t>
        </is>
      </c>
      <c r="C129" s="6" t="inlineStr">
        <is>
          <t>32.312.361/0001-60</t>
        </is>
      </c>
      <c r="D129" s="4" t="inlineStr">
        <is>
          <t>XP VIDA E PREVIDÊNCIA S.A.</t>
        </is>
      </c>
      <c r="E129" s="4" t="inlineStr">
        <is>
          <t>29.408.732/0001-05</t>
        </is>
      </c>
      <c r="F129" s="4" t="inlineStr">
        <is>
          <t>XPI Administradora - Modal</t>
        </is>
      </c>
      <c r="G129" s="4" t="inlineStr">
        <is>
          <t>Multimercado</t>
        </is>
      </c>
      <c r="H129" s="4" t="inlineStr">
        <is>
          <t>Long Short Direcional</t>
        </is>
      </c>
      <c r="I129" s="7" t="n">
        <v>100</v>
      </c>
      <c r="J129" s="8" t="n">
        <v>2</v>
      </c>
      <c r="K129" s="8" t="n"/>
      <c r="L129" s="4" t="inlineStr"/>
      <c r="M129" s="5" t="n">
        <v>1</v>
      </c>
      <c r="N129" s="5" t="n">
        <v>2</v>
      </c>
      <c r="O129" s="5" t="n"/>
      <c r="P129" s="4" t="inlineStr"/>
      <c r="Q129" s="4" t="inlineStr">
        <is>
          <t>Não</t>
        </is>
      </c>
      <c r="R129" s="4" t="inlineStr">
        <is>
          <t>Site (navegador)</t>
        </is>
      </c>
      <c r="S129" s="4" t="n">
        <v>1</v>
      </c>
      <c r="T129" s="4" t="inlineStr">
        <is>
          <t>Não</t>
        </is>
      </c>
      <c r="U129" s="4" t="inlineStr">
        <is>
          <t>Sim</t>
        </is>
      </c>
      <c r="V129" s="4" t="inlineStr">
        <is>
          <t>Não</t>
        </is>
      </c>
      <c r="W129" s="4" t="inlineStr"/>
    </row>
    <row r="130">
      <c r="A130" s="4" t="inlineStr">
        <is>
          <t>XP Investimentos</t>
        </is>
      </c>
      <c r="B130" s="4" t="inlineStr">
        <is>
          <t>Oceana Long Biased Advisory XP Seg Prev FIC FIM</t>
        </is>
      </c>
      <c r="C130" s="6" t="inlineStr">
        <is>
          <t>38.236.291/0001-94</t>
        </is>
      </c>
      <c r="D130" s="4" t="inlineStr">
        <is>
          <t>OCEANA INVESTIMENTOS ADMINISTRADORA DE CARTEIRA DE VALORES MOBILIÁRIOS LTDA</t>
        </is>
      </c>
      <c r="E130" s="4" t="inlineStr">
        <is>
          <t>09.326.542/0001-23</t>
        </is>
      </c>
      <c r="F130" s="4" t="inlineStr">
        <is>
          <t>BNY Mellon DTVM</t>
        </is>
      </c>
      <c r="G130" s="4" t="inlineStr">
        <is>
          <t>Multimercado</t>
        </is>
      </c>
      <c r="H130" s="4" t="inlineStr">
        <is>
          <t>Renda Variável Long Biased</t>
        </is>
      </c>
      <c r="I130" s="7" t="n">
        <v>100</v>
      </c>
      <c r="J130" s="8" t="n">
        <v>2</v>
      </c>
      <c r="K130" s="8" t="n"/>
      <c r="L130" s="4" t="inlineStr"/>
      <c r="M130" s="5" t="n">
        <v>21</v>
      </c>
      <c r="N130" s="5" t="n">
        <v>2</v>
      </c>
      <c r="O130" s="5" t="n"/>
      <c r="P130" s="4" t="inlineStr"/>
      <c r="Q130" s="4" t="inlineStr">
        <is>
          <t>Não</t>
        </is>
      </c>
      <c r="R130" s="4" t="inlineStr">
        <is>
          <t>Site (navegador)</t>
        </is>
      </c>
      <c r="S130" s="4" t="n">
        <v>1</v>
      </c>
      <c r="T130" s="4" t="inlineStr">
        <is>
          <t>Não</t>
        </is>
      </c>
      <c r="U130" s="4" t="inlineStr">
        <is>
          <t>Sim</t>
        </is>
      </c>
      <c r="V130" s="4" t="inlineStr">
        <is>
          <t>Não</t>
        </is>
      </c>
      <c r="W130" s="4" t="inlineStr"/>
    </row>
    <row r="131">
      <c r="A131" s="4" t="inlineStr">
        <is>
          <t>XP Investimentos</t>
        </is>
      </c>
      <c r="B131" s="4" t="inlineStr">
        <is>
          <t>Oceana Valor Advisory XP Seg Prev FICFIA</t>
        </is>
      </c>
      <c r="C131" s="6" t="inlineStr">
        <is>
          <t>39.958.567/0001-00</t>
        </is>
      </c>
      <c r="D131" s="4" t="inlineStr">
        <is>
          <t>XP VIDA E PREVIDÊNCIA S.A.</t>
        </is>
      </c>
      <c r="E131" s="4" t="inlineStr">
        <is>
          <t>29.408.732/0001-05</t>
        </is>
      </c>
      <c r="F131" s="4" t="inlineStr">
        <is>
          <t>BNY Mellon DTVM</t>
        </is>
      </c>
      <c r="G131" s="4" t="inlineStr">
        <is>
          <t>Ações</t>
        </is>
      </c>
      <c r="H131" s="4" t="inlineStr">
        <is>
          <t>Renda Variável Long Only</t>
        </is>
      </c>
      <c r="I131" s="7" t="n">
        <v>100</v>
      </c>
      <c r="J131" s="8" t="n">
        <v>2</v>
      </c>
      <c r="K131" s="8" t="n"/>
      <c r="L131" s="4" t="inlineStr"/>
      <c r="M131" s="5" t="n">
        <v>21</v>
      </c>
      <c r="N131" s="5" t="n">
        <v>2</v>
      </c>
      <c r="O131" s="5" t="n"/>
      <c r="P131" s="4" t="inlineStr"/>
      <c r="Q131" s="4" t="inlineStr">
        <is>
          <t>Não</t>
        </is>
      </c>
      <c r="R131" s="4" t="inlineStr">
        <is>
          <t>Site (navegador)</t>
        </is>
      </c>
      <c r="S131" s="4" t="n">
        <v>1</v>
      </c>
      <c r="T131" s="4" t="inlineStr">
        <is>
          <t>Não</t>
        </is>
      </c>
      <c r="U131" s="4" t="inlineStr">
        <is>
          <t>Sim</t>
        </is>
      </c>
      <c r="V131" s="4" t="inlineStr">
        <is>
          <t>Não</t>
        </is>
      </c>
      <c r="W131" s="4" t="inlineStr"/>
    </row>
    <row r="132">
      <c r="A132" s="4" t="inlineStr">
        <is>
          <t>XP Investimentos</t>
        </is>
      </c>
      <c r="B132" s="4" t="inlineStr">
        <is>
          <t>Pacifico Macro Prev Advisory Xp Seg Fic Fim</t>
        </is>
      </c>
      <c r="C132" s="6" t="inlineStr">
        <is>
          <t>33.755.685/0001-35</t>
        </is>
      </c>
      <c r="D132" s="4" t="inlineStr">
        <is>
          <t>BTG PACTUAL ASSET MANAGEMENT S/A DTVM</t>
        </is>
      </c>
      <c r="E132" s="4" t="inlineStr">
        <is>
          <t>29.650.082/0001-00</t>
        </is>
      </c>
      <c r="F132" s="4" t="inlineStr">
        <is>
          <t>BTG Pactual DTVM</t>
        </is>
      </c>
      <c r="G132" s="4" t="inlineStr">
        <is>
          <t>Multimercado</t>
        </is>
      </c>
      <c r="H132" s="4" t="inlineStr">
        <is>
          <t>Macro Alta Vol</t>
        </is>
      </c>
      <c r="I132" s="7" t="n">
        <v>100</v>
      </c>
      <c r="J132" s="8" t="n">
        <v>2</v>
      </c>
      <c r="K132" s="8" t="n"/>
      <c r="L132" s="4" t="inlineStr"/>
      <c r="M132" s="5" t="n">
        <v>1</v>
      </c>
      <c r="N132" s="5" t="n">
        <v>2</v>
      </c>
      <c r="O132" s="5" t="n"/>
      <c r="P132" s="4" t="inlineStr"/>
      <c r="Q132" s="4" t="inlineStr">
        <is>
          <t>Sim</t>
        </is>
      </c>
      <c r="R132" s="4" t="inlineStr">
        <is>
          <t>Site (navegador)</t>
        </is>
      </c>
      <c r="S132" s="4" t="n">
        <v>1</v>
      </c>
      <c r="T132" s="4" t="inlineStr">
        <is>
          <t>Não</t>
        </is>
      </c>
      <c r="U132" s="4" t="inlineStr">
        <is>
          <t>Sim</t>
        </is>
      </c>
      <c r="V132" s="4" t="inlineStr">
        <is>
          <t>Não</t>
        </is>
      </c>
      <c r="W132" s="4" t="inlineStr"/>
    </row>
    <row r="133">
      <c r="A133" s="4" t="inlineStr">
        <is>
          <t>XP Investimentos</t>
        </is>
      </c>
      <c r="B133" s="4" t="inlineStr">
        <is>
          <t>Patria Previdenciário XP Seg FIC MM CP RL</t>
        </is>
      </c>
      <c r="C133" s="6" t="inlineStr">
        <is>
          <t>53.990.084/0001-14</t>
        </is>
      </c>
      <c r="D133" s="4" t="inlineStr">
        <is>
          <t>PÁTRIA INVESTIMENTOS LTDA.</t>
        </is>
      </c>
      <c r="E133" s="4" t="inlineStr">
        <is>
          <t>12.461.756/0001-17</t>
        </is>
      </c>
      <c r="F133" s="4" t="inlineStr">
        <is>
          <t>XP Investimentos</t>
        </is>
      </c>
      <c r="G133" s="4" t="inlineStr">
        <is>
          <t>Multimercado</t>
        </is>
      </c>
      <c r="H133" s="4" t="inlineStr">
        <is>
          <t>Crédito High Yield</t>
        </is>
      </c>
      <c r="I133" s="7" t="n">
        <v>100</v>
      </c>
      <c r="J133" s="8" t="n">
        <v>1.59</v>
      </c>
      <c r="K133" s="8" t="n"/>
      <c r="L133" s="4" t="inlineStr"/>
      <c r="M133" s="5" t="n">
        <v>90</v>
      </c>
      <c r="N133" s="5" t="n">
        <v>2</v>
      </c>
      <c r="O133" s="5" t="n"/>
      <c r="P133" s="4" t="inlineStr"/>
      <c r="Q133" s="4" t="inlineStr">
        <is>
          <t>Não</t>
        </is>
      </c>
      <c r="R133" s="4" t="inlineStr">
        <is>
          <t>Site (navegador)</t>
        </is>
      </c>
      <c r="S133" s="4" t="n">
        <v>1</v>
      </c>
      <c r="T133" s="4" t="inlineStr">
        <is>
          <t>Não</t>
        </is>
      </c>
      <c r="U133" s="4" t="inlineStr">
        <is>
          <t>Sim</t>
        </is>
      </c>
      <c r="V133" s="4" t="inlineStr">
        <is>
          <t>Não</t>
        </is>
      </c>
      <c r="W133" s="4" t="inlineStr"/>
    </row>
    <row r="134">
      <c r="A134" s="4" t="inlineStr">
        <is>
          <t>XP Investimentos</t>
        </is>
      </c>
      <c r="B134" s="4" t="inlineStr">
        <is>
          <t>Persevera Prospera Xp Seg Prev Firf Cp</t>
        </is>
      </c>
      <c r="C134" s="6" t="inlineStr">
        <is>
          <t>53.856.982/0001-84</t>
        </is>
      </c>
      <c r="D134" s="4" t="inlineStr">
        <is>
          <t>PERSEVERA GESTÃO DE RECURSOS LTDA.</t>
        </is>
      </c>
      <c r="E134" s="4" t="inlineStr">
        <is>
          <t>29.608.120/0001-58</t>
        </is>
      </c>
      <c r="F134" s="4" t="inlineStr">
        <is>
          <t>Daycoval Asset</t>
        </is>
      </c>
      <c r="G134" s="4" t="inlineStr">
        <is>
          <t>Renda Fixa</t>
        </is>
      </c>
      <c r="H134" s="4" t="inlineStr">
        <is>
          <t>Renda Fixa Ativo</t>
        </is>
      </c>
      <c r="I134" s="7" t="n">
        <v>500</v>
      </c>
      <c r="J134" s="8" t="n">
        <v>0.9</v>
      </c>
      <c r="K134" s="8" t="n"/>
      <c r="L134" s="4" t="inlineStr"/>
      <c r="M134" s="5" t="n">
        <v>4</v>
      </c>
      <c r="N134" s="5" t="n">
        <v>2</v>
      </c>
      <c r="O134" s="5" t="n"/>
      <c r="P134" s="4" t="inlineStr"/>
      <c r="Q134" s="4" t="inlineStr">
        <is>
          <t>Não</t>
        </is>
      </c>
      <c r="R134" s="4" t="inlineStr">
        <is>
          <t>Site (navegador)</t>
        </is>
      </c>
      <c r="S134" s="4" t="n">
        <v>1</v>
      </c>
      <c r="T134" s="4" t="inlineStr">
        <is>
          <t>Não</t>
        </is>
      </c>
      <c r="U134" s="4" t="inlineStr">
        <is>
          <t>Sim</t>
        </is>
      </c>
      <c r="V134" s="4" t="inlineStr">
        <is>
          <t>Não</t>
        </is>
      </c>
      <c r="W134" s="4" t="inlineStr"/>
    </row>
    <row r="135">
      <c r="A135" s="4" t="inlineStr">
        <is>
          <t>XP Investimentos</t>
        </is>
      </c>
      <c r="B135" s="4" t="inlineStr">
        <is>
          <t>Polo Crédito Corporativo Prev Xp Seg Fic Rf Cp Rl</t>
        </is>
      </c>
      <c r="C135" s="6" t="inlineStr">
        <is>
          <t>52.955.528/0001-18</t>
        </is>
      </c>
      <c r="D135" s="4" t="inlineStr">
        <is>
          <t>POLO CAPITAL GESTÃO DE RECURSOS LTDA</t>
        </is>
      </c>
      <c r="E135" s="4" t="inlineStr">
        <is>
          <t>05.451.668/0001-79</t>
        </is>
      </c>
      <c r="F135" s="4" t="inlineStr">
        <is>
          <t>XP Investimentos</t>
        </is>
      </c>
      <c r="G135" s="4" t="inlineStr">
        <is>
          <t>Renda Fixa</t>
        </is>
      </c>
      <c r="H135" s="4" t="inlineStr">
        <is>
          <t>Crédito High Grade</t>
        </is>
      </c>
      <c r="I135" s="7" t="n">
        <v>100</v>
      </c>
      <c r="J135" s="8" t="n">
        <v>0.9</v>
      </c>
      <c r="K135" s="8" t="n"/>
      <c r="L135" s="4" t="inlineStr"/>
      <c r="M135" s="5" t="n">
        <v>7</v>
      </c>
      <c r="N135" s="5" t="n">
        <v>2</v>
      </c>
      <c r="O135" s="5" t="n"/>
      <c r="P135" s="4" t="inlineStr"/>
      <c r="Q135" s="4" t="inlineStr">
        <is>
          <t>Não</t>
        </is>
      </c>
      <c r="R135" s="4" t="inlineStr">
        <is>
          <t>Site (navegador)</t>
        </is>
      </c>
      <c r="S135" s="4" t="n">
        <v>1</v>
      </c>
      <c r="T135" s="4" t="inlineStr">
        <is>
          <t>Não</t>
        </is>
      </c>
      <c r="U135" s="4" t="inlineStr">
        <is>
          <t>Sim</t>
        </is>
      </c>
      <c r="V135" s="4" t="inlineStr">
        <is>
          <t>Não</t>
        </is>
      </c>
      <c r="W135" s="4" t="inlineStr"/>
    </row>
    <row r="136">
      <c r="A136" s="4" t="inlineStr">
        <is>
          <t>XP Investimentos</t>
        </is>
      </c>
      <c r="B136" s="4" t="inlineStr">
        <is>
          <t>Porto CP Prev XP Seg FICFIM RL</t>
        </is>
      </c>
      <c r="C136" s="6" t="inlineStr">
        <is>
          <t>45.089.750/0001-10</t>
        </is>
      </c>
      <c r="D136" s="4" t="inlineStr">
        <is>
          <t>XP VIDA E PREVIDÊNCIA S.A.</t>
        </is>
      </c>
      <c r="E136" s="4" t="inlineStr">
        <is>
          <t>29.408.732/0001-05</t>
        </is>
      </c>
      <c r="F136" s="4" t="inlineStr">
        <is>
          <t>XP Serviços Financeiros DTVM LTDA</t>
        </is>
      </c>
      <c r="G136" s="4" t="inlineStr">
        <is>
          <t>Multimercado</t>
        </is>
      </c>
      <c r="H136" s="4" t="inlineStr">
        <is>
          <t>Crédito High Grade</t>
        </is>
      </c>
      <c r="I136" s="7" t="n">
        <v>100</v>
      </c>
      <c r="J136" s="8" t="n">
        <v>0.9</v>
      </c>
      <c r="K136" s="8" t="n"/>
      <c r="L136" s="4" t="inlineStr"/>
      <c r="M136" s="5" t="n">
        <v>8</v>
      </c>
      <c r="N136" s="5" t="n">
        <v>1</v>
      </c>
      <c r="O136" s="5" t="n"/>
      <c r="P136" s="4" t="inlineStr"/>
      <c r="Q136" s="4" t="inlineStr">
        <is>
          <t>Sim</t>
        </is>
      </c>
      <c r="R136" s="4" t="inlineStr">
        <is>
          <t>Site (navegador)</t>
        </is>
      </c>
      <c r="S136" s="4" t="n">
        <v>1</v>
      </c>
      <c r="T136" s="4" t="inlineStr">
        <is>
          <t>Não</t>
        </is>
      </c>
      <c r="U136" s="4" t="inlineStr">
        <is>
          <t>Sim</t>
        </is>
      </c>
      <c r="V136" s="4" t="inlineStr">
        <is>
          <t>Não</t>
        </is>
      </c>
      <c r="W136" s="4" t="inlineStr"/>
    </row>
    <row r="137">
      <c r="A137" s="4" t="inlineStr">
        <is>
          <t>XP Investimentos</t>
        </is>
      </c>
      <c r="B137" s="4" t="inlineStr">
        <is>
          <t>Quantitas Capri Xp Seg Prev Ficfim</t>
        </is>
      </c>
      <c r="C137" s="6" t="inlineStr">
        <is>
          <t>46.948.233/0001-11</t>
        </is>
      </c>
      <c r="D137" s="4" t="inlineStr">
        <is>
          <t>XP VIDA E PREVIDÊNCIA S.A.</t>
        </is>
      </c>
      <c r="E137" s="4" t="inlineStr">
        <is>
          <t>29.408.732/0001-05</t>
        </is>
      </c>
      <c r="F137" s="4" t="inlineStr">
        <is>
          <t>XPI Administradora</t>
        </is>
      </c>
      <c r="G137" s="4" t="inlineStr">
        <is>
          <t>Multimercado</t>
        </is>
      </c>
      <c r="H137" s="4" t="inlineStr">
        <is>
          <t>Macro Média Vol</t>
        </is>
      </c>
      <c r="I137" s="7" t="n">
        <v>100</v>
      </c>
      <c r="J137" s="8" t="n">
        <v>1.8</v>
      </c>
      <c r="K137" s="8" t="n"/>
      <c r="L137" s="4" t="inlineStr"/>
      <c r="M137" s="5" t="n">
        <v>8</v>
      </c>
      <c r="N137" s="5" t="n">
        <v>1</v>
      </c>
      <c r="O137" s="5" t="n"/>
      <c r="P137" s="4" t="inlineStr"/>
      <c r="Q137" s="4" t="inlineStr">
        <is>
          <t>Não</t>
        </is>
      </c>
      <c r="R137" s="4" t="inlineStr">
        <is>
          <t>Site (navegador)</t>
        </is>
      </c>
      <c r="S137" s="4" t="n">
        <v>1</v>
      </c>
      <c r="T137" s="4" t="inlineStr">
        <is>
          <t>Não</t>
        </is>
      </c>
      <c r="U137" s="4" t="inlineStr">
        <is>
          <t>Sim</t>
        </is>
      </c>
      <c r="V137" s="4" t="inlineStr">
        <is>
          <t>Não</t>
        </is>
      </c>
      <c r="W137" s="4" t="inlineStr"/>
    </row>
    <row r="138">
      <c r="A138" s="4" t="inlineStr">
        <is>
          <t>XP Investimentos</t>
        </is>
      </c>
      <c r="B138" s="4" t="inlineStr">
        <is>
          <t>RPS Prev Absoluto FIC FIM</t>
        </is>
      </c>
      <c r="C138" s="6" t="inlineStr">
        <is>
          <t>31.340.875/0001-66</t>
        </is>
      </c>
      <c r="D138" s="4" t="inlineStr">
        <is>
          <t>RPS CAPITAL ADMINISTRADORA DE RECURSOS LTDA</t>
        </is>
      </c>
      <c r="E138" s="4" t="inlineStr">
        <is>
          <t>17.839.284/0001-07</t>
        </is>
      </c>
      <c r="F138" s="4" t="inlineStr">
        <is>
          <t>BTG Pactual DTVM</t>
        </is>
      </c>
      <c r="G138" s="4" t="inlineStr">
        <is>
          <t>Multimercado</t>
        </is>
      </c>
      <c r="H138" s="4" t="inlineStr">
        <is>
          <t>Long Short Direcional</t>
        </is>
      </c>
      <c r="I138" s="7" t="n">
        <v>500</v>
      </c>
      <c r="J138" s="8" t="n">
        <v>2</v>
      </c>
      <c r="K138" s="8" t="n"/>
      <c r="L138" s="4" t="inlineStr"/>
      <c r="M138" s="5" t="n">
        <v>2</v>
      </c>
      <c r="N138" s="5" t="n">
        <v>3</v>
      </c>
      <c r="O138" s="5" t="n"/>
      <c r="P138" s="4" t="inlineStr"/>
      <c r="Q138" s="4" t="inlineStr">
        <is>
          <t>Sim</t>
        </is>
      </c>
      <c r="R138" s="4" t="inlineStr">
        <is>
          <t>Site (navegador)</t>
        </is>
      </c>
      <c r="S138" s="4" t="n">
        <v>1</v>
      </c>
      <c r="T138" s="4" t="inlineStr">
        <is>
          <t>Não</t>
        </is>
      </c>
      <c r="U138" s="4" t="inlineStr">
        <is>
          <t>Sim</t>
        </is>
      </c>
      <c r="V138" s="4" t="inlineStr">
        <is>
          <t>Não</t>
        </is>
      </c>
      <c r="W138" s="4" t="inlineStr"/>
    </row>
    <row r="139">
      <c r="A139" s="4" t="inlineStr">
        <is>
          <t>XP Investimentos</t>
        </is>
      </c>
      <c r="B139" s="4" t="inlineStr">
        <is>
          <t>RPS Prev Ações XP Seg FICFI</t>
        </is>
      </c>
      <c r="C139" s="6" t="inlineStr">
        <is>
          <t>37.567.399/0001-05</t>
        </is>
      </c>
      <c r="D139" s="4" t="inlineStr">
        <is>
          <t>RPS CAPITAL ADMINISTRADORA DE RECURSOS LTDA</t>
        </is>
      </c>
      <c r="E139" s="4" t="inlineStr">
        <is>
          <t>17.839.284/0001-07</t>
        </is>
      </c>
      <c r="F139" s="4" t="inlineStr">
        <is>
          <t>Intrag DTVM</t>
        </is>
      </c>
      <c r="G139" s="4" t="inlineStr">
        <is>
          <t>Ações</t>
        </is>
      </c>
      <c r="H139" s="4" t="inlineStr">
        <is>
          <t>Renda Variável Long Only</t>
        </is>
      </c>
      <c r="I139" s="7" t="n">
        <v>100</v>
      </c>
      <c r="J139" s="8" t="n">
        <v>2</v>
      </c>
      <c r="K139" s="8" t="n"/>
      <c r="L139" s="4" t="inlineStr"/>
      <c r="M139" s="5" t="n">
        <v>22</v>
      </c>
      <c r="N139" s="5" t="n">
        <v>2</v>
      </c>
      <c r="O139" s="5" t="n"/>
      <c r="P139" s="4" t="inlineStr"/>
      <c r="Q139" s="4" t="inlineStr">
        <is>
          <t>Não</t>
        </is>
      </c>
      <c r="R139" s="4" t="inlineStr">
        <is>
          <t>Site (navegador)</t>
        </is>
      </c>
      <c r="S139" s="4" t="n">
        <v>1</v>
      </c>
      <c r="T139" s="4" t="inlineStr">
        <is>
          <t>Não</t>
        </is>
      </c>
      <c r="U139" s="4" t="inlineStr">
        <is>
          <t>Sim</t>
        </is>
      </c>
      <c r="V139" s="4" t="inlineStr">
        <is>
          <t>Não</t>
        </is>
      </c>
      <c r="W139" s="4" t="inlineStr"/>
    </row>
    <row r="140">
      <c r="A140" s="4" t="inlineStr">
        <is>
          <t>XP Investimentos</t>
        </is>
      </c>
      <c r="B140" s="4" t="inlineStr">
        <is>
          <t>Reach Total Return Xp Seg Fic Fim</t>
        </is>
      </c>
      <c r="C140" s="6" t="inlineStr">
        <is>
          <t>44.157.016/0001-88</t>
        </is>
      </c>
      <c r="D140" s="4" t="inlineStr">
        <is>
          <t>XP VIDA E PREVIDÊNCIA S.A.</t>
        </is>
      </c>
      <c r="E140" s="4" t="inlineStr">
        <is>
          <t>29.408.732/0001-05</t>
        </is>
      </c>
      <c r="F140" s="4" t="inlineStr">
        <is>
          <t>BNY Mellon DTVM</t>
        </is>
      </c>
      <c r="G140" s="4" t="inlineStr">
        <is>
          <t>Multimercado</t>
        </is>
      </c>
      <c r="H140" s="4" t="inlineStr">
        <is>
          <t>Renda Variável Long Biased</t>
        </is>
      </c>
      <c r="I140" s="7" t="n">
        <v>100</v>
      </c>
      <c r="J140" s="8" t="n">
        <v>2</v>
      </c>
      <c r="K140" s="8" t="n"/>
      <c r="L140" s="4" t="inlineStr"/>
      <c r="M140" s="5" t="n">
        <v>21</v>
      </c>
      <c r="N140" s="5" t="n">
        <v>2</v>
      </c>
      <c r="O140" s="5" t="n"/>
      <c r="P140" s="4" t="inlineStr"/>
      <c r="Q140" s="4" t="inlineStr">
        <is>
          <t>Não</t>
        </is>
      </c>
      <c r="R140" s="4" t="inlineStr">
        <is>
          <t>Site (navegador)</t>
        </is>
      </c>
      <c r="S140" s="4" t="n">
        <v>1</v>
      </c>
      <c r="T140" s="4" t="inlineStr">
        <is>
          <t>Não</t>
        </is>
      </c>
      <c r="U140" s="4" t="inlineStr">
        <is>
          <t>Sim</t>
        </is>
      </c>
      <c r="V140" s="4" t="inlineStr">
        <is>
          <t>Não</t>
        </is>
      </c>
      <c r="W140" s="4" t="inlineStr"/>
    </row>
    <row r="141">
      <c r="A141" s="4" t="inlineStr">
        <is>
          <t>XP Investimentos</t>
        </is>
      </c>
      <c r="B141" s="4" t="inlineStr">
        <is>
          <t>Real Investor 100 Xp Seg Ad Ficfia</t>
        </is>
      </c>
      <c r="C141" s="6" t="inlineStr">
        <is>
          <t>41.035.989/0001-56</t>
        </is>
      </c>
      <c r="D141" s="4" t="inlineStr">
        <is>
          <t>XP VIDA E PREVIDÊNCIA S.A.</t>
        </is>
      </c>
      <c r="E141" s="4" t="inlineStr">
        <is>
          <t>29.408.732/0001-05</t>
        </is>
      </c>
      <c r="F141" s="4" t="inlineStr">
        <is>
          <t>XPI Administradora - Modal</t>
        </is>
      </c>
      <c r="G141" s="4" t="inlineStr">
        <is>
          <t>Ações</t>
        </is>
      </c>
      <c r="H141" s="4" t="inlineStr">
        <is>
          <t>Renda Variável Long Only</t>
        </is>
      </c>
      <c r="I141" s="7" t="n">
        <v>100</v>
      </c>
      <c r="J141" s="8" t="n">
        <v>2</v>
      </c>
      <c r="K141" s="8" t="n"/>
      <c r="L141" s="4" t="inlineStr"/>
      <c r="M141" s="5" t="n">
        <v>20</v>
      </c>
      <c r="N141" s="5" t="n">
        <v>2</v>
      </c>
      <c r="O141" s="5" t="n"/>
      <c r="P141" s="4" t="inlineStr"/>
      <c r="Q141" s="4" t="inlineStr">
        <is>
          <t>Não</t>
        </is>
      </c>
      <c r="R141" s="4" t="inlineStr">
        <is>
          <t>Site (navegador)</t>
        </is>
      </c>
      <c r="S141" s="4" t="n">
        <v>1</v>
      </c>
      <c r="T141" s="4" t="inlineStr">
        <is>
          <t>Não</t>
        </is>
      </c>
      <c r="U141" s="4" t="inlineStr">
        <is>
          <t>Sim</t>
        </is>
      </c>
      <c r="V141" s="4" t="inlineStr">
        <is>
          <t>Não</t>
        </is>
      </c>
      <c r="W141" s="4" t="inlineStr"/>
    </row>
    <row r="142">
      <c r="A142" s="4" t="inlineStr">
        <is>
          <t>XP Investimentos</t>
        </is>
      </c>
      <c r="B142" s="4" t="inlineStr">
        <is>
          <t>Real Investor 70 Xp Seg Advisory Prev Fif Multimercado Rl</t>
        </is>
      </c>
      <c r="C142" s="6" t="inlineStr">
        <is>
          <t>53.826.252/0001-30</t>
        </is>
      </c>
      <c r="D142" s="4" t="inlineStr">
        <is>
          <t>REAL INVESTOR ASSET MANAGEMENT LTDA</t>
        </is>
      </c>
      <c r="E142" s="4" t="inlineStr">
        <is>
          <t>11.570.951/0001-12</t>
        </is>
      </c>
      <c r="F142" s="4" t="inlineStr">
        <is>
          <t>BNY Mellon DTVM</t>
        </is>
      </c>
      <c r="G142" s="4" t="inlineStr">
        <is>
          <t>Multimercado</t>
        </is>
      </c>
      <c r="H142" s="4" t="inlineStr">
        <is>
          <t>Crédito High Grade</t>
        </is>
      </c>
      <c r="I142" s="7" t="n">
        <v>100</v>
      </c>
      <c r="J142" s="8" t="n">
        <v>1.9</v>
      </c>
      <c r="K142" s="8" t="n"/>
      <c r="L142" s="4" t="inlineStr"/>
      <c r="M142" s="5" t="n">
        <v>7</v>
      </c>
      <c r="N142" s="5" t="n">
        <v>2</v>
      </c>
      <c r="O142" s="5" t="n"/>
      <c r="P142" s="4" t="inlineStr"/>
      <c r="Q142" s="4" t="inlineStr">
        <is>
          <t>Não</t>
        </is>
      </c>
      <c r="R142" s="4" t="inlineStr">
        <is>
          <t>Site (navegador)</t>
        </is>
      </c>
      <c r="S142" s="4" t="n">
        <v>1</v>
      </c>
      <c r="T142" s="4" t="inlineStr">
        <is>
          <t>Não</t>
        </is>
      </c>
      <c r="U142" s="4" t="inlineStr">
        <is>
          <t>Sim</t>
        </is>
      </c>
      <c r="V142" s="4" t="inlineStr">
        <is>
          <t>Não</t>
        </is>
      </c>
      <c r="W142" s="4" t="inlineStr"/>
    </row>
    <row r="143">
      <c r="A143" s="4" t="inlineStr">
        <is>
          <t>XP Investimentos</t>
        </is>
      </c>
      <c r="B143" s="4" t="inlineStr">
        <is>
          <t>Real Investor Xp Seg Prev Fif Multimercado Rl</t>
        </is>
      </c>
      <c r="C143" s="6" t="inlineStr">
        <is>
          <t>57.446.923/0001-99</t>
        </is>
      </c>
      <c r="D143" s="4" t="inlineStr">
        <is>
          <t>REAL INVESTOR ASSET MANAGEMENT LTDA</t>
        </is>
      </c>
      <c r="E143" s="4" t="inlineStr">
        <is>
          <t>11.570.951/0001-12</t>
        </is>
      </c>
      <c r="F143" s="4" t="inlineStr">
        <is>
          <t>BNY Mellon DTVM</t>
        </is>
      </c>
      <c r="G143" s="4" t="inlineStr">
        <is>
          <t>Multimercado</t>
        </is>
      </c>
      <c r="H143" s="4" t="inlineStr">
        <is>
          <t>Crédito High Grade</t>
        </is>
      </c>
      <c r="I143" s="7" t="n">
        <v>100</v>
      </c>
      <c r="J143" s="8" t="n">
        <v>1.7</v>
      </c>
      <c r="K143" s="8" t="n"/>
      <c r="L143" s="4" t="inlineStr"/>
      <c r="M143" s="5" t="n">
        <v>20</v>
      </c>
      <c r="N143" s="5" t="n">
        <v>2</v>
      </c>
      <c r="O143" s="5" t="n"/>
      <c r="P143" s="4" t="inlineStr"/>
      <c r="Q143" s="4" t="inlineStr">
        <is>
          <t>Não</t>
        </is>
      </c>
      <c r="R143" s="4" t="inlineStr">
        <is>
          <t>Site (navegador)</t>
        </is>
      </c>
      <c r="S143" s="4" t="n">
        <v>1</v>
      </c>
      <c r="T143" s="4" t="inlineStr">
        <is>
          <t>Não</t>
        </is>
      </c>
      <c r="U143" s="4" t="inlineStr">
        <is>
          <t>Sim</t>
        </is>
      </c>
      <c r="V143" s="4" t="inlineStr">
        <is>
          <t>Não</t>
        </is>
      </c>
      <c r="W143" s="4" t="inlineStr"/>
    </row>
    <row r="144">
      <c r="A144" s="4" t="inlineStr">
        <is>
          <t>XP Investimentos</t>
        </is>
      </c>
      <c r="B144" s="4" t="inlineStr">
        <is>
          <t>Riza Evi Prev Xp Seg Ficfim Cp Rl</t>
        </is>
      </c>
      <c r="C144" s="6" t="inlineStr">
        <is>
          <t>43.121.014/0001-76</t>
        </is>
      </c>
      <c r="D144" s="4" t="inlineStr">
        <is>
          <t>XP VIDA E PREVIDÊNCIA S.A.</t>
        </is>
      </c>
      <c r="E144" s="4" t="inlineStr">
        <is>
          <t>29.408.732/0001-05</t>
        </is>
      </c>
      <c r="F144" s="4" t="inlineStr">
        <is>
          <t>XPI Administradora - Modal</t>
        </is>
      </c>
      <c r="G144" s="4" t="inlineStr">
        <is>
          <t>Multimercado</t>
        </is>
      </c>
      <c r="H144" s="4" t="inlineStr">
        <is>
          <t>Multiestratégia</t>
        </is>
      </c>
      <c r="I144" s="7" t="n">
        <v>100</v>
      </c>
      <c r="J144" s="8" t="n">
        <v>1.05</v>
      </c>
      <c r="K144" s="8" t="n"/>
      <c r="L144" s="4" t="inlineStr"/>
      <c r="M144" s="5" t="n">
        <v>8</v>
      </c>
      <c r="N144" s="5" t="n">
        <v>1</v>
      </c>
      <c r="O144" s="5" t="n"/>
      <c r="P144" s="4" t="inlineStr"/>
      <c r="Q144" s="4" t="inlineStr">
        <is>
          <t>Não</t>
        </is>
      </c>
      <c r="R144" s="4" t="inlineStr">
        <is>
          <t>Site (navegador)</t>
        </is>
      </c>
      <c r="S144" s="4" t="n">
        <v>1</v>
      </c>
      <c r="T144" s="4" t="inlineStr">
        <is>
          <t>Não</t>
        </is>
      </c>
      <c r="U144" s="4" t="inlineStr">
        <is>
          <t>Sim</t>
        </is>
      </c>
      <c r="V144" s="4" t="inlineStr">
        <is>
          <t>Não</t>
        </is>
      </c>
      <c r="W144" s="4" t="inlineStr"/>
    </row>
    <row r="145">
      <c r="A145" s="4" t="inlineStr">
        <is>
          <t>XP Investimentos</t>
        </is>
      </c>
      <c r="B145" s="4" t="inlineStr">
        <is>
          <t>Riza Lotus Prev Xp Seg Fic Fim Cp</t>
        </is>
      </c>
      <c r="C145" s="6" t="inlineStr">
        <is>
          <t>43.423.186/0001-02</t>
        </is>
      </c>
      <c r="D145" s="4" t="inlineStr">
        <is>
          <t>XP VIDA E PREVIDÊNCIA S.A.</t>
        </is>
      </c>
      <c r="E145" s="4" t="inlineStr">
        <is>
          <t>29.408.732/0001-05</t>
        </is>
      </c>
      <c r="F145" s="4" t="inlineStr">
        <is>
          <t>XPI Administradora - Modal</t>
        </is>
      </c>
      <c r="G145" s="4" t="inlineStr">
        <is>
          <t>Multimercado</t>
        </is>
      </c>
      <c r="H145" s="4" t="inlineStr">
        <is>
          <t>Crédito Liquidez</t>
        </is>
      </c>
      <c r="I145" s="7" t="n">
        <v>100</v>
      </c>
      <c r="J145" s="8" t="n">
        <v>0.75</v>
      </c>
      <c r="K145" s="8" t="n"/>
      <c r="L145" s="4" t="inlineStr"/>
      <c r="M145" s="5" t="n">
        <v>7</v>
      </c>
      <c r="N145" s="5" t="n">
        <v>1</v>
      </c>
      <c r="O145" s="5" t="n"/>
      <c r="P145" s="4" t="inlineStr"/>
      <c r="Q145" s="4" t="inlineStr">
        <is>
          <t>Não</t>
        </is>
      </c>
      <c r="R145" s="4" t="inlineStr">
        <is>
          <t>Site (navegador)</t>
        </is>
      </c>
      <c r="S145" s="4" t="n">
        <v>1</v>
      </c>
      <c r="T145" s="4" t="inlineStr">
        <is>
          <t>Não</t>
        </is>
      </c>
      <c r="U145" s="4" t="inlineStr">
        <is>
          <t>Sim</t>
        </is>
      </c>
      <c r="V145" s="4" t="inlineStr">
        <is>
          <t>Não</t>
        </is>
      </c>
      <c r="W145" s="4" t="inlineStr"/>
    </row>
    <row r="146">
      <c r="A146" s="4" t="inlineStr">
        <is>
          <t>XP Investimentos</t>
        </is>
      </c>
      <c r="B146" s="4" t="inlineStr">
        <is>
          <t>Root Capital Crédito HG PREV XP SEG FIC FIRF CP</t>
        </is>
      </c>
      <c r="C146" s="6" t="inlineStr">
        <is>
          <t>48.940.997/0001-96</t>
        </is>
      </c>
      <c r="D146" s="4" t="inlineStr">
        <is>
          <t>ROOT CAPITAL - GESTÃO DE RECURSOS LTDA</t>
        </is>
      </c>
      <c r="E146" s="4" t="inlineStr">
        <is>
          <t>11.397.040/0001-35</t>
        </is>
      </c>
      <c r="F146" s="4" t="inlineStr">
        <is>
          <t>BNY Mellon DTVM</t>
        </is>
      </c>
      <c r="G146" s="4" t="inlineStr">
        <is>
          <t>Renda Fixa</t>
        </is>
      </c>
      <c r="H146" s="4" t="inlineStr">
        <is>
          <t>Crédito High Yield</t>
        </is>
      </c>
      <c r="I146" s="7" t="n">
        <v>100</v>
      </c>
      <c r="J146" s="8" t="n">
        <v>0.9</v>
      </c>
      <c r="K146" s="8" t="n"/>
      <c r="L146" s="4" t="inlineStr"/>
      <c r="M146" s="5" t="n">
        <v>7</v>
      </c>
      <c r="N146" s="5" t="n">
        <v>2</v>
      </c>
      <c r="O146" s="5" t="n"/>
      <c r="P146" s="4" t="inlineStr"/>
      <c r="Q146" s="4" t="inlineStr">
        <is>
          <t>Sim</t>
        </is>
      </c>
      <c r="R146" s="4" t="inlineStr">
        <is>
          <t>Site (navegador)</t>
        </is>
      </c>
      <c r="S146" s="4" t="n">
        <v>1</v>
      </c>
      <c r="T146" s="4" t="inlineStr">
        <is>
          <t>Não</t>
        </is>
      </c>
      <c r="U146" s="4" t="inlineStr">
        <is>
          <t>Sim</t>
        </is>
      </c>
      <c r="V146" s="4" t="inlineStr">
        <is>
          <t>Não</t>
        </is>
      </c>
      <c r="W146" s="4" t="inlineStr"/>
    </row>
    <row r="147">
      <c r="A147" s="4" t="inlineStr">
        <is>
          <t>XP Investimentos</t>
        </is>
      </c>
      <c r="B147" s="4" t="inlineStr">
        <is>
          <t>Root Capital Hg Prev Plus Xp Seg Fic De Fif Multi Cp Rl</t>
        </is>
      </c>
      <c r="C147" s="6" t="inlineStr">
        <is>
          <t>62.669.471/0001-44</t>
        </is>
      </c>
      <c r="D147" s="4" t="inlineStr">
        <is>
          <t>ROOT CAPITAL - GESTÃO DE RECURSOS LTDA</t>
        </is>
      </c>
      <c r="E147" s="4" t="inlineStr">
        <is>
          <t>11.397.040/0001-35</t>
        </is>
      </c>
      <c r="F147" s="4" t="inlineStr">
        <is>
          <t>BNY Mellon DTVM</t>
        </is>
      </c>
      <c r="G147" s="4" t="inlineStr">
        <is>
          <t>Renda Fixa</t>
        </is>
      </c>
      <c r="H147" s="4" t="inlineStr"/>
      <c r="I147" s="7" t="n">
        <v>100</v>
      </c>
      <c r="J147" s="8" t="n">
        <v>1.1</v>
      </c>
      <c r="K147" s="8" t="n"/>
      <c r="L147" s="4" t="inlineStr"/>
      <c r="M147" s="5" t="n">
        <v>23</v>
      </c>
      <c r="N147" s="5" t="n">
        <v>1</v>
      </c>
      <c r="O147" s="5" t="n"/>
      <c r="P147" s="4" t="inlineStr"/>
      <c r="Q147" s="4" t="inlineStr">
        <is>
          <t>Não</t>
        </is>
      </c>
      <c r="R147" s="4" t="inlineStr">
        <is>
          <t>Site (navegador)</t>
        </is>
      </c>
      <c r="S147" s="4" t="n">
        <v>1</v>
      </c>
      <c r="T147" s="4" t="inlineStr">
        <is>
          <t>Não</t>
        </is>
      </c>
      <c r="U147" s="4" t="inlineStr">
        <is>
          <t>Sim</t>
        </is>
      </c>
      <c r="V147" s="4" t="inlineStr">
        <is>
          <t>Não</t>
        </is>
      </c>
      <c r="W147" s="4" t="inlineStr"/>
    </row>
    <row r="148">
      <c r="A148" s="4" t="inlineStr">
        <is>
          <t>XP Investimentos</t>
        </is>
      </c>
      <c r="B148" s="4" t="inlineStr">
        <is>
          <t>Root Hy Xp Seg Prev Ficfirf Cp</t>
        </is>
      </c>
      <c r="C148" s="6" t="inlineStr">
        <is>
          <t>52.955.482/0001-37</t>
        </is>
      </c>
      <c r="D148" s="4" t="inlineStr">
        <is>
          <t>ROOT CAPITAL - GESTÃO DE RECURSOS LTDA</t>
        </is>
      </c>
      <c r="E148" s="4" t="inlineStr">
        <is>
          <t>11.397.040/0001-35</t>
        </is>
      </c>
      <c r="F148" s="4" t="inlineStr">
        <is>
          <t>XP Investimentos</t>
        </is>
      </c>
      <c r="G148" s="4" t="inlineStr">
        <is>
          <t>Renda Fixa</t>
        </is>
      </c>
      <c r="H148" s="4" t="inlineStr">
        <is>
          <t>Crédito High Yield</t>
        </is>
      </c>
      <c r="I148" s="7" t="n">
        <v>100</v>
      </c>
      <c r="J148" s="8" t="n">
        <v>1.45</v>
      </c>
      <c r="K148" s="8" t="n"/>
      <c r="L148" s="4" t="inlineStr"/>
      <c r="M148" s="5" t="n">
        <v>131</v>
      </c>
      <c r="N148" s="5" t="n">
        <v>1</v>
      </c>
      <c r="O148" s="5" t="n"/>
      <c r="P148" s="4" t="inlineStr"/>
      <c r="Q148" s="4" t="inlineStr">
        <is>
          <t>Não</t>
        </is>
      </c>
      <c r="R148" s="4" t="inlineStr">
        <is>
          <t>Site (navegador)</t>
        </is>
      </c>
      <c r="S148" s="4" t="n">
        <v>1</v>
      </c>
      <c r="T148" s="4" t="inlineStr">
        <is>
          <t>Não</t>
        </is>
      </c>
      <c r="U148" s="4" t="inlineStr">
        <is>
          <t>Sim</t>
        </is>
      </c>
      <c r="V148" s="4" t="inlineStr">
        <is>
          <t>Não</t>
        </is>
      </c>
      <c r="W148" s="4" t="inlineStr"/>
    </row>
    <row r="149">
      <c r="A149" s="4" t="inlineStr">
        <is>
          <t>XP Investimentos</t>
        </is>
      </c>
      <c r="B149" s="4" t="inlineStr">
        <is>
          <t>SPX Lancer Plus XP Seg Prev FIC FIM</t>
        </is>
      </c>
      <c r="C149" s="6" t="inlineStr">
        <is>
          <t>41.802.098/0001-88</t>
        </is>
      </c>
      <c r="D149" s="4" t="inlineStr">
        <is>
          <t>XP VIDA E PREVIDÊNCIA S.A.</t>
        </is>
      </c>
      <c r="E149" s="4" t="inlineStr">
        <is>
          <t>29.408.732/0001-05</t>
        </is>
      </c>
      <c r="F149" s="4" t="inlineStr">
        <is>
          <t>XP Investimentos</t>
        </is>
      </c>
      <c r="G149" s="4" t="inlineStr">
        <is>
          <t>Multimercado</t>
        </is>
      </c>
      <c r="H149" s="4" t="inlineStr">
        <is>
          <t>Macro Alta Vol</t>
        </is>
      </c>
      <c r="I149" s="7" t="n">
        <v>100</v>
      </c>
      <c r="J149" s="8" t="n">
        <v>2</v>
      </c>
      <c r="K149" s="8" t="n"/>
      <c r="L149" s="4" t="inlineStr"/>
      <c r="M149" s="5" t="n">
        <v>2</v>
      </c>
      <c r="N149" s="5" t="n">
        <v>3</v>
      </c>
      <c r="O149" s="5" t="n"/>
      <c r="P149" s="4" t="inlineStr"/>
      <c r="Q149" s="4" t="inlineStr">
        <is>
          <t>Não</t>
        </is>
      </c>
      <c r="R149" s="4" t="inlineStr">
        <is>
          <t>Site (navegador)</t>
        </is>
      </c>
      <c r="S149" s="4" t="n">
        <v>1</v>
      </c>
      <c r="T149" s="4" t="inlineStr">
        <is>
          <t>Não</t>
        </is>
      </c>
      <c r="U149" s="4" t="inlineStr">
        <is>
          <t>Sim</t>
        </is>
      </c>
      <c r="V149" s="4" t="inlineStr">
        <is>
          <t>Não</t>
        </is>
      </c>
      <c r="W149" s="4" t="inlineStr"/>
    </row>
    <row r="150">
      <c r="A150" s="4" t="inlineStr">
        <is>
          <t>XP Investimentos</t>
        </is>
      </c>
      <c r="B150" s="4" t="inlineStr">
        <is>
          <t>Safari Prev 100 XP Seg FIM FIE</t>
        </is>
      </c>
      <c r="C150" s="6" t="inlineStr">
        <is>
          <t>33.378.232/0001-37</t>
        </is>
      </c>
      <c r="D150" s="4" t="inlineStr">
        <is>
          <t>SAFARI CAPITAL GESTÃO DE RECURSOS LTDA.</t>
        </is>
      </c>
      <c r="E150" s="4" t="inlineStr">
        <is>
          <t>21.850.329/0001-11</t>
        </is>
      </c>
      <c r="F150" s="4" t="inlineStr">
        <is>
          <t>BNY Mellon DTVM</t>
        </is>
      </c>
      <c r="G150" s="4" t="inlineStr">
        <is>
          <t>Multimercado</t>
        </is>
      </c>
      <c r="H150" s="4" t="inlineStr">
        <is>
          <t>Renda Variável Long Biased</t>
        </is>
      </c>
      <c r="I150" s="7" t="n">
        <v>100</v>
      </c>
      <c r="J150" s="8" t="n">
        <v>2</v>
      </c>
      <c r="K150" s="8" t="n"/>
      <c r="L150" s="4" t="inlineStr"/>
      <c r="M150" s="5" t="n">
        <v>33</v>
      </c>
      <c r="N150" s="5" t="n">
        <v>2</v>
      </c>
      <c r="O150" s="5" t="n"/>
      <c r="P150" s="4" t="inlineStr"/>
      <c r="Q150" s="4" t="inlineStr">
        <is>
          <t>Sim</t>
        </is>
      </c>
      <c r="R150" s="4" t="inlineStr">
        <is>
          <t>Site (navegador)</t>
        </is>
      </c>
      <c r="S150" s="4" t="n">
        <v>1</v>
      </c>
      <c r="T150" s="4" t="inlineStr">
        <is>
          <t>Não</t>
        </is>
      </c>
      <c r="U150" s="4" t="inlineStr">
        <is>
          <t>Sim</t>
        </is>
      </c>
      <c r="V150" s="4" t="inlineStr">
        <is>
          <t>Não</t>
        </is>
      </c>
      <c r="W150" s="4" t="inlineStr"/>
    </row>
    <row r="151">
      <c r="A151" s="4" t="inlineStr">
        <is>
          <t>XP Investimentos</t>
        </is>
      </c>
      <c r="B151" s="4" t="inlineStr">
        <is>
          <t>Safra Prev Vitesse Plus Advisory FIC RF CP Prev RL</t>
        </is>
      </c>
      <c r="C151" s="6" t="inlineStr">
        <is>
          <t>57.850.204/0001-39</t>
        </is>
      </c>
      <c r="D151" s="4" t="inlineStr">
        <is>
          <t>TURMALINA GESTÃO E ADMINISTRAÇÃO DE RECURSOS S.A.</t>
        </is>
      </c>
      <c r="E151" s="4" t="inlineStr">
        <is>
          <t>43.826.833/0001-19</t>
        </is>
      </c>
      <c r="F151" s="4" t="inlineStr">
        <is>
          <t>SAFRA SERVIÇOS DE ADMINISTRAÇÃO FIDUCIÁRIA</t>
        </is>
      </c>
      <c r="G151" s="4" t="inlineStr">
        <is>
          <t>Renda Fixa</t>
        </is>
      </c>
      <c r="H151" s="4" t="inlineStr">
        <is>
          <t>Crédito High Grade</t>
        </is>
      </c>
      <c r="I151" s="7" t="n">
        <v>100</v>
      </c>
      <c r="J151" s="8" t="n">
        <v>0.8</v>
      </c>
      <c r="K151" s="8" t="n"/>
      <c r="L151" s="4" t="inlineStr"/>
      <c r="M151" s="5" t="n">
        <v>9</v>
      </c>
      <c r="N151" s="5" t="n">
        <v>1</v>
      </c>
      <c r="O151" s="5" t="n"/>
      <c r="P151" s="4" t="inlineStr"/>
      <c r="Q151" s="4" t="inlineStr">
        <is>
          <t>Não</t>
        </is>
      </c>
      <c r="R151" s="4" t="inlineStr">
        <is>
          <t>Site (navegador)</t>
        </is>
      </c>
      <c r="S151" s="4" t="n">
        <v>1</v>
      </c>
      <c r="T151" s="4" t="inlineStr">
        <is>
          <t>Não</t>
        </is>
      </c>
      <c r="U151" s="4" t="inlineStr">
        <is>
          <t>Sim</t>
        </is>
      </c>
      <c r="V151" s="4" t="inlineStr">
        <is>
          <t>Não</t>
        </is>
      </c>
      <c r="W151" s="4" t="inlineStr"/>
    </row>
    <row r="152">
      <c r="A152" s="4" t="inlineStr">
        <is>
          <t>XP Investimentos</t>
        </is>
      </c>
      <c r="B152" s="4" t="inlineStr">
        <is>
          <t>Selection Multimercado XP Seg FIC FIM</t>
        </is>
      </c>
      <c r="C152" s="6" t="inlineStr">
        <is>
          <t>35.386.842/0001-08</t>
        </is>
      </c>
      <c r="D152" s="4" t="inlineStr">
        <is>
          <t>XP ADVISORY GESTAO DE RECURSOS LTDA</t>
        </is>
      </c>
      <c r="E152" s="4" t="inlineStr">
        <is>
          <t>15.289.957/0001-77</t>
        </is>
      </c>
      <c r="F152" s="4" t="inlineStr">
        <is>
          <t>XP Investimentos</t>
        </is>
      </c>
      <c r="G152" s="4" t="inlineStr">
        <is>
          <t>Multimercado</t>
        </is>
      </c>
      <c r="H152" s="4" t="inlineStr">
        <is>
          <t>Multiestratégia</t>
        </is>
      </c>
      <c r="I152" s="7" t="n">
        <v>100</v>
      </c>
      <c r="J152" s="8" t="n">
        <v>0.8</v>
      </c>
      <c r="K152" s="8" t="n"/>
      <c r="L152" s="4" t="inlineStr"/>
      <c r="M152" s="5" t="n">
        <v>7</v>
      </c>
      <c r="N152" s="5" t="n">
        <v>2</v>
      </c>
      <c r="O152" s="5" t="n"/>
      <c r="P152" s="4" t="inlineStr"/>
      <c r="Q152" s="4" t="inlineStr">
        <is>
          <t>Não</t>
        </is>
      </c>
      <c r="R152" s="4" t="inlineStr">
        <is>
          <t>Site (navegador)</t>
        </is>
      </c>
      <c r="S152" s="4" t="n">
        <v>1</v>
      </c>
      <c r="T152" s="4" t="inlineStr">
        <is>
          <t>Não</t>
        </is>
      </c>
      <c r="U152" s="4" t="inlineStr">
        <is>
          <t>Sim</t>
        </is>
      </c>
      <c r="V152" s="4" t="inlineStr">
        <is>
          <t>Não</t>
        </is>
      </c>
      <c r="W152" s="4" t="inlineStr"/>
    </row>
    <row r="153">
      <c r="A153" s="4" t="inlineStr">
        <is>
          <t>XP Investimentos</t>
        </is>
      </c>
      <c r="B153" s="4" t="inlineStr">
        <is>
          <t>Sharp Equity Value 100 XP Seg Prev FIC FIM</t>
        </is>
      </c>
      <c r="C153" s="6" t="inlineStr">
        <is>
          <t>35.957.156/0001-40</t>
        </is>
      </c>
      <c r="D153" s="4" t="inlineStr">
        <is>
          <t>XP VIDA E PREVIDÊNCIA S.A.</t>
        </is>
      </c>
      <c r="E153" s="4" t="inlineStr">
        <is>
          <t>29.408.732/0001-05</t>
        </is>
      </c>
      <c r="F153" s="4" t="inlineStr">
        <is>
          <t>BNY Mellon DTVM</t>
        </is>
      </c>
      <c r="G153" s="4" t="inlineStr">
        <is>
          <t>Multimercado</t>
        </is>
      </c>
      <c r="H153" s="4" t="inlineStr">
        <is>
          <t>Renda Variável Long Biased</t>
        </is>
      </c>
      <c r="I153" s="7" t="n">
        <v>100</v>
      </c>
      <c r="J153" s="8" t="n">
        <v>2</v>
      </c>
      <c r="K153" s="8" t="n"/>
      <c r="L153" s="4" t="inlineStr"/>
      <c r="M153" s="5" t="n">
        <v>22</v>
      </c>
      <c r="N153" s="5" t="n">
        <v>2</v>
      </c>
      <c r="O153" s="5" t="n"/>
      <c r="P153" s="4" t="inlineStr"/>
      <c r="Q153" s="4" t="inlineStr">
        <is>
          <t>Não</t>
        </is>
      </c>
      <c r="R153" s="4" t="inlineStr">
        <is>
          <t>Site (navegador)</t>
        </is>
      </c>
      <c r="S153" s="4" t="n">
        <v>1</v>
      </c>
      <c r="T153" s="4" t="inlineStr">
        <is>
          <t>Não</t>
        </is>
      </c>
      <c r="U153" s="4" t="inlineStr">
        <is>
          <t>Sim</t>
        </is>
      </c>
      <c r="V153" s="4" t="inlineStr">
        <is>
          <t>Não</t>
        </is>
      </c>
      <c r="W153" s="4" t="inlineStr"/>
    </row>
    <row r="154">
      <c r="A154" s="4" t="inlineStr">
        <is>
          <t>XP Investimentos</t>
        </is>
      </c>
      <c r="B154" s="4" t="inlineStr">
        <is>
          <t>Solis Antares XP Seg Prev FIC FIRF CP</t>
        </is>
      </c>
      <c r="C154" s="6" t="inlineStr">
        <is>
          <t>41.866.372/0001-82</t>
        </is>
      </c>
      <c r="D154" s="4" t="inlineStr">
        <is>
          <t>XP VIDA E PREVIDÊNCIA S.A.</t>
        </is>
      </c>
      <c r="E154" s="4" t="inlineStr">
        <is>
          <t>29.408.732/0001-05</t>
        </is>
      </c>
      <c r="F154" s="4" t="inlineStr">
        <is>
          <t>XP Serviços Financeiros DTVM LTDA</t>
        </is>
      </c>
      <c r="G154" s="4" t="inlineStr">
        <is>
          <t>Renda Fixa</t>
        </is>
      </c>
      <c r="H154" s="4" t="inlineStr">
        <is>
          <t>Crédito High Yield</t>
        </is>
      </c>
      <c r="I154" s="7" t="n">
        <v>100</v>
      </c>
      <c r="J154" s="8" t="n">
        <v>0.9</v>
      </c>
      <c r="K154" s="8" t="n"/>
      <c r="L154" s="4" t="inlineStr"/>
      <c r="M154" s="5" t="n">
        <v>21</v>
      </c>
      <c r="N154" s="5" t="n">
        <v>1</v>
      </c>
      <c r="O154" s="5" t="n"/>
      <c r="P154" s="4" t="inlineStr"/>
      <c r="Q154" s="4" t="inlineStr">
        <is>
          <t>Sim</t>
        </is>
      </c>
      <c r="R154" s="4" t="inlineStr">
        <is>
          <t>Site (navegador)</t>
        </is>
      </c>
      <c r="S154" s="4" t="n">
        <v>1</v>
      </c>
      <c r="T154" s="4" t="inlineStr">
        <is>
          <t>Não</t>
        </is>
      </c>
      <c r="U154" s="4" t="inlineStr">
        <is>
          <t>Sim</t>
        </is>
      </c>
      <c r="V154" s="4" t="inlineStr">
        <is>
          <t>Não</t>
        </is>
      </c>
      <c r="W154" s="4" t="inlineStr"/>
    </row>
    <row r="155">
      <c r="A155" s="4" t="inlineStr">
        <is>
          <t>XP Investimentos</t>
        </is>
      </c>
      <c r="B155" s="4" t="inlineStr">
        <is>
          <t>Sparta Inflação Prev Advisory XP Seg FIC FIRF CP</t>
        </is>
      </c>
      <c r="C155" s="6" t="inlineStr">
        <is>
          <t>44.843.813/0001-19</t>
        </is>
      </c>
      <c r="D155" s="4" t="inlineStr">
        <is>
          <t>XP VIDA E PREVIDÊNCIA S.A.</t>
        </is>
      </c>
      <c r="E155" s="4" t="inlineStr">
        <is>
          <t>29.408.732/0001-05</t>
        </is>
      </c>
      <c r="F155" s="4" t="inlineStr">
        <is>
          <t>XP Investimentos</t>
        </is>
      </c>
      <c r="G155" s="4" t="inlineStr">
        <is>
          <t>Renda Fixa</t>
        </is>
      </c>
      <c r="H155" s="4" t="inlineStr">
        <is>
          <t>Renda Fixa Inflação</t>
        </is>
      </c>
      <c r="I155" s="7" t="n">
        <v>100</v>
      </c>
      <c r="J155" s="8" t="n">
        <v>1.1</v>
      </c>
      <c r="K155" s="8" t="n"/>
      <c r="L155" s="4" t="inlineStr"/>
      <c r="M155" s="5" t="n">
        <v>5</v>
      </c>
      <c r="N155" s="5" t="n">
        <v>1</v>
      </c>
      <c r="O155" s="5" t="n"/>
      <c r="P155" s="4" t="inlineStr"/>
      <c r="Q155" s="4" t="inlineStr">
        <is>
          <t>Não</t>
        </is>
      </c>
      <c r="R155" s="4" t="inlineStr">
        <is>
          <t>Site (navegador)</t>
        </is>
      </c>
      <c r="S155" s="4" t="n">
        <v>1</v>
      </c>
      <c r="T155" s="4" t="inlineStr">
        <is>
          <t>Não</t>
        </is>
      </c>
      <c r="U155" s="4" t="inlineStr">
        <is>
          <t>Sim</t>
        </is>
      </c>
      <c r="V155" s="4" t="inlineStr">
        <is>
          <t>Não</t>
        </is>
      </c>
      <c r="W155" s="4" t="inlineStr"/>
    </row>
    <row r="156">
      <c r="A156" s="4" t="inlineStr">
        <is>
          <t>XP Investimentos</t>
        </is>
      </c>
      <c r="B156" s="4" t="inlineStr">
        <is>
          <t>Sparta Prev Advisory Xp Seg Fic Rf Cp Rl</t>
        </is>
      </c>
      <c r="C156" s="6" t="inlineStr">
        <is>
          <t>32.239.012/0001-60</t>
        </is>
      </c>
      <c r="D156" s="4" t="inlineStr">
        <is>
          <t>XP VIDA E PREVIDÊNCIA S.A.</t>
        </is>
      </c>
      <c r="E156" s="4" t="inlineStr">
        <is>
          <t>29.408.732/0001-05</t>
        </is>
      </c>
      <c r="F156" s="4" t="inlineStr">
        <is>
          <t>XPI Administradora - Modal</t>
        </is>
      </c>
      <c r="G156" s="4" t="inlineStr">
        <is>
          <t>Renda Fixa</t>
        </is>
      </c>
      <c r="H156" s="4" t="inlineStr">
        <is>
          <t>Crédito High Grade</t>
        </is>
      </c>
      <c r="I156" s="7" t="n">
        <v>100</v>
      </c>
      <c r="J156" s="8" t="n">
        <v>0.8</v>
      </c>
      <c r="K156" s="8" t="n"/>
      <c r="L156" s="4" t="inlineStr"/>
      <c r="M156" s="5" t="n">
        <v>5</v>
      </c>
      <c r="N156" s="5" t="n">
        <v>1</v>
      </c>
      <c r="O156" s="5" t="n"/>
      <c r="P156" s="4" t="inlineStr"/>
      <c r="Q156" s="4" t="inlineStr">
        <is>
          <t>Não</t>
        </is>
      </c>
      <c r="R156" s="4" t="inlineStr">
        <is>
          <t>Site (navegador)</t>
        </is>
      </c>
      <c r="S156" s="4" t="n">
        <v>1</v>
      </c>
      <c r="T156" s="4" t="inlineStr">
        <is>
          <t>Não</t>
        </is>
      </c>
      <c r="U156" s="4" t="inlineStr">
        <is>
          <t>Sim</t>
        </is>
      </c>
      <c r="V156" s="4" t="inlineStr">
        <is>
          <t>Não</t>
        </is>
      </c>
      <c r="W156" s="4" t="inlineStr"/>
    </row>
    <row r="157">
      <c r="A157" s="4" t="inlineStr">
        <is>
          <t>XP Investimentos</t>
        </is>
      </c>
      <c r="B157" s="4" t="inlineStr">
        <is>
          <t>Spx Lancer Xp Seg Prev I Fic Fim Rl</t>
        </is>
      </c>
      <c r="C157" s="6" t="inlineStr">
        <is>
          <t>31.569.954/0001-43</t>
        </is>
      </c>
      <c r="D157" s="4" t="inlineStr">
        <is>
          <t>XP VIDA E PREVIDÊNCIA S.A.</t>
        </is>
      </c>
      <c r="E157" s="4" t="inlineStr">
        <is>
          <t>29.408.732/0001-05</t>
        </is>
      </c>
      <c r="F157" s="4" t="inlineStr">
        <is>
          <t>XP Investimentos</t>
        </is>
      </c>
      <c r="G157" s="4" t="inlineStr">
        <is>
          <t>Multimercado</t>
        </is>
      </c>
      <c r="H157" s="4" t="inlineStr">
        <is>
          <t>Macro Alta Vol</t>
        </is>
      </c>
      <c r="I157" s="7" t="n">
        <v>100</v>
      </c>
      <c r="J157" s="8" t="n">
        <v>2</v>
      </c>
      <c r="K157" s="8" t="n"/>
      <c r="L157" s="4" t="inlineStr"/>
      <c r="M157" s="5" t="n">
        <v>2</v>
      </c>
      <c r="N157" s="5" t="n">
        <v>3</v>
      </c>
      <c r="O157" s="5" t="n"/>
      <c r="P157" s="4" t="inlineStr"/>
      <c r="Q157" s="4" t="inlineStr">
        <is>
          <t>Não</t>
        </is>
      </c>
      <c r="R157" s="4" t="inlineStr">
        <is>
          <t>Site (navegador)</t>
        </is>
      </c>
      <c r="S157" s="4" t="n">
        <v>1</v>
      </c>
      <c r="T157" s="4" t="inlineStr">
        <is>
          <t>Não</t>
        </is>
      </c>
      <c r="U157" s="4" t="inlineStr">
        <is>
          <t>Sim</t>
        </is>
      </c>
      <c r="V157" s="4" t="inlineStr">
        <is>
          <t>Não</t>
        </is>
      </c>
      <c r="W157" s="4" t="inlineStr"/>
    </row>
    <row r="158">
      <c r="A158" s="4" t="inlineStr">
        <is>
          <t>XP Investimentos</t>
        </is>
      </c>
      <c r="B158" s="4" t="inlineStr">
        <is>
          <t>Spx Long Bias Xp Seguros Prev Fic Fim Rl</t>
        </is>
      </c>
      <c r="C158" s="6" t="inlineStr">
        <is>
          <t>40.526.764/0001-30</t>
        </is>
      </c>
      <c r="D158" s="4" t="inlineStr">
        <is>
          <t>XP VIDA E PREVIDÊNCIA S.A.</t>
        </is>
      </c>
      <c r="E158" s="4" t="inlineStr">
        <is>
          <t>29.408.732/0001-05</t>
        </is>
      </c>
      <c r="F158" s="4" t="inlineStr">
        <is>
          <t>XP Investimentos</t>
        </is>
      </c>
      <c r="G158" s="4" t="inlineStr">
        <is>
          <t>Multimercado</t>
        </is>
      </c>
      <c r="H158" s="4" t="inlineStr">
        <is>
          <t>Renda Variável Long Biased</t>
        </is>
      </c>
      <c r="I158" s="7" t="n">
        <v>100</v>
      </c>
      <c r="J158" s="8" t="n">
        <v>2</v>
      </c>
      <c r="K158" s="8" t="n"/>
      <c r="L158" s="4" t="inlineStr"/>
      <c r="M158" s="5" t="n">
        <v>30</v>
      </c>
      <c r="N158" s="5" t="n">
        <v>2</v>
      </c>
      <c r="O158" s="5" t="n"/>
      <c r="P158" s="4" t="inlineStr"/>
      <c r="Q158" s="4" t="inlineStr">
        <is>
          <t>Sim</t>
        </is>
      </c>
      <c r="R158" s="4" t="inlineStr">
        <is>
          <t>Site (navegador)</t>
        </is>
      </c>
      <c r="S158" s="4" t="n">
        <v>1</v>
      </c>
      <c r="T158" s="4" t="inlineStr">
        <is>
          <t>Não</t>
        </is>
      </c>
      <c r="U158" s="4" t="inlineStr">
        <is>
          <t>Sim</t>
        </is>
      </c>
      <c r="V158" s="4" t="inlineStr">
        <is>
          <t>Não</t>
        </is>
      </c>
      <c r="W158" s="4" t="inlineStr"/>
    </row>
    <row r="159">
      <c r="A159" s="4" t="inlineStr">
        <is>
          <t>XP Investimentos</t>
        </is>
      </c>
      <c r="B159" s="4" t="inlineStr">
        <is>
          <t>Spx Seahawk Plus XP Seg Prev FIC FIM CP</t>
        </is>
      </c>
      <c r="C159" s="6" t="inlineStr">
        <is>
          <t>43.636.185/0001-38</t>
        </is>
      </c>
      <c r="D159" s="4" t="inlineStr">
        <is>
          <t>XP VIDA E PREVIDÊNCIA S.A.</t>
        </is>
      </c>
      <c r="E159" s="4" t="inlineStr">
        <is>
          <t>29.408.732/0001-05</t>
        </is>
      </c>
      <c r="F159" s="4" t="inlineStr">
        <is>
          <t>XP Investimentos</t>
        </is>
      </c>
      <c r="G159" s="4" t="inlineStr">
        <is>
          <t>Multimercado</t>
        </is>
      </c>
      <c r="H159" s="4" t="inlineStr">
        <is>
          <t>Crédito Híbrido</t>
        </is>
      </c>
      <c r="I159" s="7" t="n">
        <v>100</v>
      </c>
      <c r="J159" s="8" t="n">
        <v>0.8</v>
      </c>
      <c r="K159" s="8" t="n"/>
      <c r="L159" s="4" t="inlineStr"/>
      <c r="M159" s="5" t="n">
        <v>8</v>
      </c>
      <c r="N159" s="5" t="n">
        <v>1</v>
      </c>
      <c r="O159" s="5" t="n"/>
      <c r="P159" s="4" t="inlineStr"/>
      <c r="Q159" s="4" t="inlineStr">
        <is>
          <t>Não</t>
        </is>
      </c>
      <c r="R159" s="4" t="inlineStr">
        <is>
          <t>Site (navegador)</t>
        </is>
      </c>
      <c r="S159" s="4" t="n">
        <v>1</v>
      </c>
      <c r="T159" s="4" t="inlineStr">
        <is>
          <t>Não</t>
        </is>
      </c>
      <c r="U159" s="4" t="inlineStr">
        <is>
          <t>Sim</t>
        </is>
      </c>
      <c r="V159" s="4" t="inlineStr">
        <is>
          <t>Não</t>
        </is>
      </c>
      <c r="W159" s="4" t="inlineStr"/>
    </row>
    <row r="160">
      <c r="A160" s="4" t="inlineStr">
        <is>
          <t>XP Investimentos</t>
        </is>
      </c>
      <c r="B160" s="4" t="inlineStr">
        <is>
          <t>Sulamérica Crédito Esg Xp Seg Prev Fic Rf Cp Is Rl</t>
        </is>
      </c>
      <c r="C160" s="6" t="inlineStr">
        <is>
          <t>61.038.314/0001-78</t>
        </is>
      </c>
      <c r="D160" s="4" t="inlineStr">
        <is>
          <t>Sul América Gestão de Investimentos S.A.</t>
        </is>
      </c>
      <c r="E160" s="4" t="inlineStr">
        <is>
          <t>54.286.457/0001-33</t>
        </is>
      </c>
      <c r="F160" s="4" t="inlineStr">
        <is>
          <t>SulAmérica DTVM</t>
        </is>
      </c>
      <c r="G160" s="4" t="inlineStr">
        <is>
          <t>Renda Fixa</t>
        </is>
      </c>
      <c r="H160" s="4" t="inlineStr">
        <is>
          <t>Crédito High Grade</t>
        </is>
      </c>
      <c r="I160" s="7" t="n">
        <v>100</v>
      </c>
      <c r="J160" s="8" t="n">
        <v>0.9</v>
      </c>
      <c r="K160" s="8" t="n"/>
      <c r="L160" s="4" t="inlineStr"/>
      <c r="M160" s="5" t="n">
        <v>7</v>
      </c>
      <c r="N160" s="5" t="n">
        <v>1</v>
      </c>
      <c r="O160" s="5" t="n"/>
      <c r="P160" s="4" t="inlineStr"/>
      <c r="Q160" s="4" t="inlineStr">
        <is>
          <t>Não</t>
        </is>
      </c>
      <c r="R160" s="4" t="inlineStr">
        <is>
          <t>Site (navegador)</t>
        </is>
      </c>
      <c r="S160" s="4" t="n">
        <v>1</v>
      </c>
      <c r="T160" s="4" t="inlineStr">
        <is>
          <t>Não</t>
        </is>
      </c>
      <c r="U160" s="4" t="inlineStr">
        <is>
          <t>Sim</t>
        </is>
      </c>
      <c r="V160" s="4" t="inlineStr">
        <is>
          <t>Não</t>
        </is>
      </c>
      <c r="W160" s="4" t="inlineStr"/>
    </row>
    <row r="161">
      <c r="A161" s="4" t="inlineStr">
        <is>
          <t>XP Investimentos</t>
        </is>
      </c>
      <c r="B161" s="4" t="inlineStr">
        <is>
          <t>Sulamérica Prestige Strategie Prev XP Seg FICFIRF CP RL</t>
        </is>
      </c>
      <c r="C161" s="6" t="inlineStr">
        <is>
          <t>45.299.196/0001-03</t>
        </is>
      </c>
      <c r="D161" s="4" t="inlineStr">
        <is>
          <t>XP VIDA E PREVIDÊNCIA S.A.</t>
        </is>
      </c>
      <c r="E161" s="4" t="inlineStr">
        <is>
          <t>29.408.732/0001-05</t>
        </is>
      </c>
      <c r="F161" s="4" t="inlineStr">
        <is>
          <t>XP Investimentos</t>
        </is>
      </c>
      <c r="G161" s="4" t="inlineStr">
        <is>
          <t>Multimercado</t>
        </is>
      </c>
      <c r="H161" s="4" t="inlineStr">
        <is>
          <t>Crédito Liquidez</t>
        </is>
      </c>
      <c r="I161" s="7" t="n">
        <v>100</v>
      </c>
      <c r="J161" s="8" t="n">
        <v>0.8</v>
      </c>
      <c r="K161" s="8" t="n"/>
      <c r="L161" s="4" t="inlineStr"/>
      <c r="M161" s="5" t="n">
        <v>0</v>
      </c>
      <c r="N161" s="5" t="n">
        <v>1</v>
      </c>
      <c r="O161" s="5" t="n"/>
      <c r="P161" s="4" t="inlineStr"/>
      <c r="Q161" s="4" t="inlineStr">
        <is>
          <t>Não</t>
        </is>
      </c>
      <c r="R161" s="4" t="inlineStr">
        <is>
          <t>Site (navegador)</t>
        </is>
      </c>
      <c r="S161" s="4" t="n">
        <v>1</v>
      </c>
      <c r="T161" s="4" t="inlineStr">
        <is>
          <t>Não</t>
        </is>
      </c>
      <c r="U161" s="4" t="inlineStr">
        <is>
          <t>Sim</t>
        </is>
      </c>
      <c r="V161" s="4" t="inlineStr">
        <is>
          <t>Não</t>
        </is>
      </c>
      <c r="W161" s="4" t="inlineStr"/>
    </row>
    <row r="162">
      <c r="A162" s="4" t="inlineStr">
        <is>
          <t>XP Investimentos</t>
        </is>
      </c>
      <c r="B162" s="4" t="inlineStr">
        <is>
          <t>Sulamérica Prestige Xp Seg Prev Fif Rf Rl</t>
        </is>
      </c>
      <c r="C162" s="6" t="inlineStr">
        <is>
          <t>46.334.681/0001-25</t>
        </is>
      </c>
      <c r="D162" s="4" t="inlineStr">
        <is>
          <t>SUL AMÉRICA INVESTIMENTOS GESTORA DE RECURSOS S.A.</t>
        </is>
      </c>
      <c r="E162" s="4" t="inlineStr">
        <is>
          <t>21.813.291/0001-07</t>
        </is>
      </c>
      <c r="F162" s="4" t="inlineStr">
        <is>
          <t>SulAmérica DTVM</t>
        </is>
      </c>
      <c r="G162" s="4" t="inlineStr">
        <is>
          <t>Renda Fixa</t>
        </is>
      </c>
      <c r="H162" s="4" t="inlineStr">
        <is>
          <t>Crédito Liquidez</t>
        </is>
      </c>
      <c r="I162" s="7" t="n">
        <v>100</v>
      </c>
      <c r="J162" s="8" t="n">
        <v>0.7</v>
      </c>
      <c r="K162" s="8" t="n"/>
      <c r="L162" s="4" t="inlineStr"/>
      <c r="M162" s="5" t="n">
        <v>0</v>
      </c>
      <c r="N162" s="5" t="n">
        <v>1</v>
      </c>
      <c r="O162" s="5" t="n"/>
      <c r="P162" s="4" t="inlineStr"/>
      <c r="Q162" s="4" t="inlineStr">
        <is>
          <t>Não</t>
        </is>
      </c>
      <c r="R162" s="4" t="inlineStr">
        <is>
          <t>Site (navegador)</t>
        </is>
      </c>
      <c r="S162" s="4" t="n">
        <v>1</v>
      </c>
      <c r="T162" s="4" t="inlineStr">
        <is>
          <t>Não</t>
        </is>
      </c>
      <c r="U162" s="4" t="inlineStr">
        <is>
          <t>Sim</t>
        </is>
      </c>
      <c r="V162" s="4" t="inlineStr">
        <is>
          <t>Não</t>
        </is>
      </c>
      <c r="W162" s="4" t="inlineStr"/>
    </row>
    <row r="163">
      <c r="A163" s="4" t="inlineStr">
        <is>
          <t>XP Investimentos</t>
        </is>
      </c>
      <c r="B163" s="4" t="inlineStr">
        <is>
          <t>Suno Ações Xp Seg Prev Fic Fim Rl</t>
        </is>
      </c>
      <c r="C163" s="6" t="inlineStr">
        <is>
          <t>44.814.968/0001-27</t>
        </is>
      </c>
      <c r="D163" s="4" t="inlineStr">
        <is>
          <t>XP VIDA E PREVIDÊNCIA S.A.</t>
        </is>
      </c>
      <c r="E163" s="4" t="inlineStr">
        <is>
          <t>29.408.732/0001-05</t>
        </is>
      </c>
      <c r="F163" s="4" t="inlineStr">
        <is>
          <t>XP Investimentos</t>
        </is>
      </c>
      <c r="G163" s="4" t="inlineStr">
        <is>
          <t>Multimercado</t>
        </is>
      </c>
      <c r="H163" s="4" t="inlineStr">
        <is>
          <t>Renda Variável Long Only</t>
        </is>
      </c>
      <c r="I163" s="7" t="n">
        <v>100</v>
      </c>
      <c r="J163" s="8" t="n">
        <v>2</v>
      </c>
      <c r="K163" s="8" t="n"/>
      <c r="L163" s="4" t="inlineStr"/>
      <c r="M163" s="5" t="n">
        <v>7</v>
      </c>
      <c r="N163" s="5" t="n">
        <v>2</v>
      </c>
      <c r="O163" s="5" t="n"/>
      <c r="P163" s="4" t="inlineStr"/>
      <c r="Q163" s="4" t="inlineStr">
        <is>
          <t>Não</t>
        </is>
      </c>
      <c r="R163" s="4" t="inlineStr">
        <is>
          <t>Site (navegador)</t>
        </is>
      </c>
      <c r="S163" s="4" t="n">
        <v>1</v>
      </c>
      <c r="T163" s="4" t="inlineStr">
        <is>
          <t>Não</t>
        </is>
      </c>
      <c r="U163" s="4" t="inlineStr">
        <is>
          <t>Sim</t>
        </is>
      </c>
      <c r="V163" s="4" t="inlineStr">
        <is>
          <t>Não</t>
        </is>
      </c>
      <c r="W163" s="4" t="inlineStr"/>
    </row>
    <row r="164">
      <c r="A164" s="4" t="inlineStr">
        <is>
          <t>XP Investimentos</t>
        </is>
      </c>
      <c r="B164" s="4" t="inlineStr">
        <is>
          <t>Tivio Alt Light XP Seg Prev FI FIM CP RL</t>
        </is>
      </c>
      <c r="C164" s="6" t="inlineStr">
        <is>
          <t>53.991.177/0001-63</t>
        </is>
      </c>
      <c r="D164" s="4" t="inlineStr">
        <is>
          <t>TIVIO CAPITAL DISTRIBUIDORA DE TITULOS E VALORES MOBILIARIOS S.A.</t>
        </is>
      </c>
      <c r="E164" s="4" t="inlineStr">
        <is>
          <t>03.384.738/0001-98</t>
        </is>
      </c>
      <c r="F164" s="4" t="inlineStr">
        <is>
          <t>XP Investimentos</t>
        </is>
      </c>
      <c r="G164" s="4" t="inlineStr">
        <is>
          <t>Multimercado</t>
        </is>
      </c>
      <c r="H164" s="4" t="inlineStr"/>
      <c r="I164" s="7" t="n">
        <v>100</v>
      </c>
      <c r="J164" s="8" t="n">
        <v>1.15</v>
      </c>
      <c r="K164" s="8" t="n"/>
      <c r="L164" s="4" t="inlineStr"/>
      <c r="M164" s="5" t="n">
        <v>50</v>
      </c>
      <c r="N164" s="5" t="n">
        <v>2</v>
      </c>
      <c r="O164" s="5" t="n"/>
      <c r="P164" s="4" t="inlineStr"/>
      <c r="Q164" s="4" t="inlineStr">
        <is>
          <t>Sim</t>
        </is>
      </c>
      <c r="R164" s="4" t="inlineStr">
        <is>
          <t>Site (navegador)</t>
        </is>
      </c>
      <c r="S164" s="4" t="n">
        <v>1</v>
      </c>
      <c r="T164" s="4" t="inlineStr">
        <is>
          <t>Não</t>
        </is>
      </c>
      <c r="U164" s="4" t="inlineStr">
        <is>
          <t>Sim</t>
        </is>
      </c>
      <c r="V164" s="4" t="inlineStr">
        <is>
          <t>Não</t>
        </is>
      </c>
      <c r="W164" s="4" t="inlineStr"/>
    </row>
    <row r="165">
      <c r="A165" s="4" t="inlineStr">
        <is>
          <t>XP Investimentos</t>
        </is>
      </c>
      <c r="B165" s="4" t="inlineStr">
        <is>
          <t>Tork Long Only XP Seg Prev FIC FIA FIE</t>
        </is>
      </c>
      <c r="C165" s="6" t="inlineStr">
        <is>
          <t>34.432.014/0001-04</t>
        </is>
      </c>
      <c r="D165" s="4" t="inlineStr">
        <is>
          <t>XP GESTÃO DE RECURSOS LTDA</t>
        </is>
      </c>
      <c r="E165" s="4" t="inlineStr">
        <is>
          <t>07.625.200/0001-89</t>
        </is>
      </c>
      <c r="F165" s="4" t="inlineStr">
        <is>
          <t>BTG Pactual DTVM</t>
        </is>
      </c>
      <c r="G165" s="4" t="inlineStr">
        <is>
          <t>Multimercado</t>
        </is>
      </c>
      <c r="H165" s="4" t="inlineStr">
        <is>
          <t>Renda Variável Long Biased</t>
        </is>
      </c>
      <c r="I165" s="7" t="n">
        <v>100</v>
      </c>
      <c r="J165" s="8" t="n">
        <v>2</v>
      </c>
      <c r="K165" s="8" t="n"/>
      <c r="L165" s="4" t="inlineStr"/>
      <c r="M165" s="5" t="n">
        <v>30</v>
      </c>
      <c r="N165" s="5" t="n">
        <v>2</v>
      </c>
      <c r="O165" s="5" t="n"/>
      <c r="P165" s="4" t="inlineStr"/>
      <c r="Q165" s="4" t="inlineStr">
        <is>
          <t>Sim</t>
        </is>
      </c>
      <c r="R165" s="4" t="inlineStr">
        <is>
          <t>Site (navegador)</t>
        </is>
      </c>
      <c r="S165" s="4" t="n">
        <v>1</v>
      </c>
      <c r="T165" s="4" t="inlineStr">
        <is>
          <t>Não</t>
        </is>
      </c>
      <c r="U165" s="4" t="inlineStr">
        <is>
          <t>Sim</t>
        </is>
      </c>
      <c r="V165" s="4" t="inlineStr">
        <is>
          <t>Não</t>
        </is>
      </c>
      <c r="W165" s="4" t="inlineStr"/>
    </row>
    <row r="166">
      <c r="A166" s="4" t="inlineStr">
        <is>
          <t>XP Investimentos</t>
        </is>
      </c>
      <c r="B166" s="4" t="inlineStr">
        <is>
          <t>Trend B26 Prev XP Seg FIC FIRF RL</t>
        </is>
      </c>
      <c r="C166" s="6" t="inlineStr">
        <is>
          <t>24.714.864/0001-33</t>
        </is>
      </c>
      <c r="D166" s="4" t="inlineStr">
        <is>
          <t>XP VIDA E PREVIDÊNCIA S.A.</t>
        </is>
      </c>
      <c r="E166" s="4" t="inlineStr">
        <is>
          <t>29.408.732/0001-05</t>
        </is>
      </c>
      <c r="F166" s="4" t="inlineStr">
        <is>
          <t>XPI Administradora</t>
        </is>
      </c>
      <c r="G166" s="4" t="inlineStr">
        <is>
          <t>Renda Fixa</t>
        </is>
      </c>
      <c r="H166" s="4" t="inlineStr">
        <is>
          <t>Renda Fixa Inflação</t>
        </is>
      </c>
      <c r="I166" s="7" t="n">
        <v>100</v>
      </c>
      <c r="J166" s="8" t="n">
        <v>0.3</v>
      </c>
      <c r="K166" s="8" t="n"/>
      <c r="L166" s="4" t="inlineStr"/>
      <c r="M166" s="5" t="n">
        <v>2</v>
      </c>
      <c r="N166" s="5" t="n">
        <v>1</v>
      </c>
      <c r="O166" s="5" t="n"/>
      <c r="P166" s="4" t="inlineStr"/>
      <c r="Q166" s="4" t="inlineStr">
        <is>
          <t>Sim</t>
        </is>
      </c>
      <c r="R166" s="4" t="inlineStr">
        <is>
          <t>Site (navegador)</t>
        </is>
      </c>
      <c r="S166" s="4" t="n">
        <v>1</v>
      </c>
      <c r="T166" s="4" t="inlineStr">
        <is>
          <t>Não</t>
        </is>
      </c>
      <c r="U166" s="4" t="inlineStr">
        <is>
          <t>Sim</t>
        </is>
      </c>
      <c r="V166" s="4" t="inlineStr">
        <is>
          <t>Não</t>
        </is>
      </c>
      <c r="W166" s="4" t="inlineStr"/>
    </row>
    <row r="167">
      <c r="A167" s="4" t="inlineStr">
        <is>
          <t>XP Investimentos</t>
        </is>
      </c>
      <c r="B167" s="4" t="inlineStr">
        <is>
          <t>Trend B29 Xp Seguros Prev Firf Rl</t>
        </is>
      </c>
      <c r="C167" s="6" t="inlineStr">
        <is>
          <t>49.228.354/0001-87</t>
        </is>
      </c>
      <c r="D167" s="4" t="inlineStr">
        <is>
          <t>XP ALLOCATION ASSET MANAGEMENT LTDA</t>
        </is>
      </c>
      <c r="E167" s="4" t="inlineStr">
        <is>
          <t>37.918.829/0001-88</t>
        </is>
      </c>
      <c r="F167" s="4" t="inlineStr">
        <is>
          <t>XP Investimentos</t>
        </is>
      </c>
      <c r="G167" s="4" t="inlineStr">
        <is>
          <t>Renda Fixa</t>
        </is>
      </c>
      <c r="H167" s="4" t="inlineStr">
        <is>
          <t>Renda Fixa Inflação</t>
        </is>
      </c>
      <c r="I167" s="7" t="n">
        <v>100</v>
      </c>
      <c r="J167" s="8" t="n">
        <v>0.3</v>
      </c>
      <c r="K167" s="8" t="n"/>
      <c r="L167" s="4" t="inlineStr"/>
      <c r="M167" s="5" t="n">
        <v>0</v>
      </c>
      <c r="N167" s="5" t="n">
        <v>1</v>
      </c>
      <c r="O167" s="5" t="n"/>
      <c r="P167" s="4" t="inlineStr"/>
      <c r="Q167" s="4" t="inlineStr">
        <is>
          <t>Não</t>
        </is>
      </c>
      <c r="R167" s="4" t="inlineStr">
        <is>
          <t>Site (navegador)</t>
        </is>
      </c>
      <c r="S167" s="4" t="n">
        <v>1</v>
      </c>
      <c r="T167" s="4" t="inlineStr">
        <is>
          <t>Não</t>
        </is>
      </c>
      <c r="U167" s="4" t="inlineStr">
        <is>
          <t>Sim</t>
        </is>
      </c>
      <c r="V167" s="4" t="inlineStr">
        <is>
          <t>Não</t>
        </is>
      </c>
      <c r="W167" s="4" t="inlineStr"/>
    </row>
    <row r="168">
      <c r="A168" s="4" t="inlineStr">
        <is>
          <t>XP Investimentos</t>
        </is>
      </c>
      <c r="B168" s="4" t="inlineStr">
        <is>
          <t>Trend B35 Prev XP Seg FIC FIRF RL</t>
        </is>
      </c>
      <c r="C168" s="6" t="inlineStr">
        <is>
          <t>27.077.318/0001-27</t>
        </is>
      </c>
      <c r="D168" s="4" t="inlineStr">
        <is>
          <t>XP ALLOCATION ASSET MANAGEMENT LTDA</t>
        </is>
      </c>
      <c r="E168" s="4" t="inlineStr">
        <is>
          <t>37.918.829/0001-88</t>
        </is>
      </c>
      <c r="F168" s="4" t="inlineStr">
        <is>
          <t>XPI Administradora - Modal</t>
        </is>
      </c>
      <c r="G168" s="4" t="inlineStr">
        <is>
          <t>Renda Fixa</t>
        </is>
      </c>
      <c r="H168" s="4" t="inlineStr">
        <is>
          <t>Renda Fixa Inflação</t>
        </is>
      </c>
      <c r="I168" s="7" t="n">
        <v>100</v>
      </c>
      <c r="J168" s="8" t="n">
        <v>0.3</v>
      </c>
      <c r="K168" s="8" t="n"/>
      <c r="L168" s="4" t="inlineStr"/>
      <c r="M168" s="5" t="n">
        <v>2</v>
      </c>
      <c r="N168" s="5" t="n">
        <v>1</v>
      </c>
      <c r="O168" s="5" t="n"/>
      <c r="P168" s="4" t="inlineStr"/>
      <c r="Q168" s="4" t="inlineStr">
        <is>
          <t>Não</t>
        </is>
      </c>
      <c r="R168" s="4" t="inlineStr">
        <is>
          <t>Site (navegador)</t>
        </is>
      </c>
      <c r="S168" s="4" t="n">
        <v>1</v>
      </c>
      <c r="T168" s="4" t="inlineStr">
        <is>
          <t>Não</t>
        </is>
      </c>
      <c r="U168" s="4" t="inlineStr">
        <is>
          <t>Sim</t>
        </is>
      </c>
      <c r="V168" s="4" t="inlineStr">
        <is>
          <t>Não</t>
        </is>
      </c>
      <c r="W168" s="4" t="inlineStr"/>
    </row>
    <row r="169">
      <c r="A169" s="4" t="inlineStr">
        <is>
          <t>XP Investimentos</t>
        </is>
      </c>
      <c r="B169" s="4" t="inlineStr">
        <is>
          <t>Trend B50 Prev Xp Seg Fic Firf</t>
        </is>
      </c>
      <c r="C169" s="6" t="inlineStr">
        <is>
          <t>47.033.019/0001-06</t>
        </is>
      </c>
      <c r="D169" s="4" t="inlineStr">
        <is>
          <t>XP ALLOCATION ASSET MANAGEMENT LTDA</t>
        </is>
      </c>
      <c r="E169" s="4" t="inlineStr">
        <is>
          <t>37.918.829/0001-88</t>
        </is>
      </c>
      <c r="F169" s="4" t="inlineStr">
        <is>
          <t>XPI Administradora - Modal</t>
        </is>
      </c>
      <c r="G169" s="4" t="inlineStr">
        <is>
          <t>Renda Fixa</t>
        </is>
      </c>
      <c r="H169" s="4" t="inlineStr">
        <is>
          <t>Renda Fixa Inflação</t>
        </is>
      </c>
      <c r="I169" s="7" t="n">
        <v>100</v>
      </c>
      <c r="J169" s="8" t="n">
        <v>0.3</v>
      </c>
      <c r="K169" s="8" t="n"/>
      <c r="L169" s="4" t="inlineStr"/>
      <c r="M169" s="5" t="n">
        <v>0</v>
      </c>
      <c r="N169" s="5" t="n">
        <v>1</v>
      </c>
      <c r="O169" s="5" t="n"/>
      <c r="P169" s="4" t="inlineStr"/>
      <c r="Q169" s="4" t="inlineStr">
        <is>
          <t>Não</t>
        </is>
      </c>
      <c r="R169" s="4" t="inlineStr">
        <is>
          <t>Site (navegador)</t>
        </is>
      </c>
      <c r="S169" s="4" t="n">
        <v>1</v>
      </c>
      <c r="T169" s="4" t="inlineStr">
        <is>
          <t>Não</t>
        </is>
      </c>
      <c r="U169" s="4" t="inlineStr">
        <is>
          <t>Sim</t>
        </is>
      </c>
      <c r="V169" s="4" t="inlineStr">
        <is>
          <t>Não</t>
        </is>
      </c>
      <c r="W169" s="4" t="inlineStr"/>
    </row>
    <row r="170">
      <c r="A170" s="4" t="inlineStr">
        <is>
          <t>XP Investimentos</t>
        </is>
      </c>
      <c r="B170" s="4" t="inlineStr">
        <is>
          <t>Trend B60 XP Seg Prev RF RL</t>
        </is>
      </c>
      <c r="C170" s="6" t="inlineStr">
        <is>
          <t>65.912.212/0001-90</t>
        </is>
      </c>
      <c r="D170" s="4" t="inlineStr">
        <is>
          <t>XP ALLOCATION ASSET MANAGEMENT LTDA</t>
        </is>
      </c>
      <c r="E170" s="4" t="inlineStr">
        <is>
          <t>37.918.829/0001-88</t>
        </is>
      </c>
      <c r="F170" s="4" t="inlineStr">
        <is>
          <t>BNP Paribas</t>
        </is>
      </c>
      <c r="G170" s="4" t="inlineStr">
        <is>
          <t>Renda Fixa</t>
        </is>
      </c>
      <c r="H170" s="4" t="inlineStr">
        <is>
          <t>Renda Fixa Inflação</t>
        </is>
      </c>
      <c r="I170" s="7" t="n">
        <v>100</v>
      </c>
      <c r="J170" s="8" t="n">
        <v>0.3</v>
      </c>
      <c r="K170" s="8" t="n"/>
      <c r="L170" s="4" t="inlineStr"/>
      <c r="M170" s="5" t="n">
        <v>0</v>
      </c>
      <c r="N170" s="5" t="n">
        <v>1</v>
      </c>
      <c r="O170" s="5" t="n"/>
      <c r="P170" s="4" t="inlineStr"/>
      <c r="Q170" s="4" t="inlineStr">
        <is>
          <t>Não</t>
        </is>
      </c>
      <c r="R170" s="4" t="inlineStr">
        <is>
          <t>Site (navegador)</t>
        </is>
      </c>
      <c r="S170" s="4" t="n">
        <v>1</v>
      </c>
      <c r="T170" s="4" t="inlineStr">
        <is>
          <t>Não</t>
        </is>
      </c>
      <c r="U170" s="4" t="inlineStr">
        <is>
          <t>Sim</t>
        </is>
      </c>
      <c r="V170" s="4" t="inlineStr">
        <is>
          <t>Não</t>
        </is>
      </c>
      <c r="W170" s="4" t="inlineStr"/>
    </row>
    <row r="171">
      <c r="A171" s="4" t="inlineStr">
        <is>
          <t>XP Investimentos</t>
        </is>
      </c>
      <c r="B171" s="4" t="inlineStr">
        <is>
          <t>Trend Bolsa Americana 40 Prev XP FIM RL</t>
        </is>
      </c>
      <c r="C171" s="6" t="inlineStr">
        <is>
          <t>41.610.532/0001-28</t>
        </is>
      </c>
      <c r="D171" s="4" t="inlineStr">
        <is>
          <t>XP ALLOCATION ASSET MANAGEMENT LTDA</t>
        </is>
      </c>
      <c r="E171" s="4" t="inlineStr">
        <is>
          <t>37.918.829/0001-88</t>
        </is>
      </c>
      <c r="F171" s="4" t="inlineStr">
        <is>
          <t>XP Investimentos</t>
        </is>
      </c>
      <c r="G171" s="4" t="inlineStr">
        <is>
          <t>Multimercado</t>
        </is>
      </c>
      <c r="H171" s="4" t="inlineStr">
        <is>
          <t>Internacional Ações Hedgeado</t>
        </is>
      </c>
      <c r="I171" s="7" t="n">
        <v>100</v>
      </c>
      <c r="J171" s="8" t="n">
        <v>0.33</v>
      </c>
      <c r="K171" s="8" t="n"/>
      <c r="L171" s="4" t="inlineStr"/>
      <c r="M171" s="5" t="n">
        <v>0</v>
      </c>
      <c r="N171" s="5" t="n">
        <v>1</v>
      </c>
      <c r="O171" s="5" t="n"/>
      <c r="P171" s="4" t="inlineStr"/>
      <c r="Q171" s="4" t="inlineStr">
        <is>
          <t>Não</t>
        </is>
      </c>
      <c r="R171" s="4" t="inlineStr">
        <is>
          <t>Site (navegador)</t>
        </is>
      </c>
      <c r="S171" s="4" t="n">
        <v>1</v>
      </c>
      <c r="T171" s="4" t="inlineStr">
        <is>
          <t>Não</t>
        </is>
      </c>
      <c r="U171" s="4" t="inlineStr">
        <is>
          <t>Sim</t>
        </is>
      </c>
      <c r="V171" s="4" t="inlineStr">
        <is>
          <t>Não</t>
        </is>
      </c>
      <c r="W171" s="4" t="inlineStr"/>
    </row>
    <row r="172">
      <c r="A172" s="4" t="inlineStr">
        <is>
          <t>XP Investimentos</t>
        </is>
      </c>
      <c r="B172" s="4" t="inlineStr">
        <is>
          <t>Trend Ibovespa 100 XP Seg Prev FIC FIA RL</t>
        </is>
      </c>
      <c r="C172" s="6" t="inlineStr">
        <is>
          <t>33.795.343/0001-49</t>
        </is>
      </c>
      <c r="D172" s="4" t="inlineStr">
        <is>
          <t>XP ALLOCATION ASSET MANAGEMENT LTDA</t>
        </is>
      </c>
      <c r="E172" s="4" t="inlineStr">
        <is>
          <t>37.918.829/0001-88</t>
        </is>
      </c>
      <c r="F172" s="4" t="inlineStr">
        <is>
          <t>BNY Mellon DTVM</t>
        </is>
      </c>
      <c r="G172" s="4" t="inlineStr">
        <is>
          <t>Ações</t>
        </is>
      </c>
      <c r="H172" s="4" t="inlineStr">
        <is>
          <t>Renda Variável Indexado</t>
        </is>
      </c>
      <c r="I172" s="7" t="n">
        <v>100</v>
      </c>
      <c r="J172" s="8" t="n">
        <v>0.4</v>
      </c>
      <c r="K172" s="8" t="n"/>
      <c r="L172" s="4" t="inlineStr"/>
      <c r="M172" s="5" t="n">
        <v>0</v>
      </c>
      <c r="N172" s="5" t="n">
        <v>2</v>
      </c>
      <c r="O172" s="5" t="n"/>
      <c r="P172" s="4" t="inlineStr"/>
      <c r="Q172" s="4" t="inlineStr">
        <is>
          <t>Não</t>
        </is>
      </c>
      <c r="R172" s="4" t="inlineStr">
        <is>
          <t>Site (navegador)</t>
        </is>
      </c>
      <c r="S172" s="4" t="n">
        <v>1</v>
      </c>
      <c r="T172" s="4" t="inlineStr">
        <is>
          <t>Não</t>
        </is>
      </c>
      <c r="U172" s="4" t="inlineStr">
        <is>
          <t>Sim</t>
        </is>
      </c>
      <c r="V172" s="4" t="inlineStr">
        <is>
          <t>Não</t>
        </is>
      </c>
      <c r="W172" s="4" t="inlineStr"/>
    </row>
    <row r="173">
      <c r="A173" s="4" t="inlineStr">
        <is>
          <t>XP Investimentos</t>
        </is>
      </c>
      <c r="B173" s="4" t="inlineStr">
        <is>
          <t>Trend Ibovespa 70 XP Seg Prev FIC FIM RL</t>
        </is>
      </c>
      <c r="C173" s="6" t="inlineStr">
        <is>
          <t>33.784.183/0001-32</t>
        </is>
      </c>
      <c r="D173" s="4" t="inlineStr">
        <is>
          <t>XP ALLOCATION ASSET MANAGEMENT LTDA</t>
        </is>
      </c>
      <c r="E173" s="4" t="inlineStr">
        <is>
          <t>37.918.829/0001-88</t>
        </is>
      </c>
      <c r="F173" s="4" t="inlineStr">
        <is>
          <t>BNY Mellon DTVM</t>
        </is>
      </c>
      <c r="G173" s="4" t="inlineStr">
        <is>
          <t>Multimercado</t>
        </is>
      </c>
      <c r="H173" s="4" t="inlineStr">
        <is>
          <t>Renda Variável Indexado</t>
        </is>
      </c>
      <c r="I173" s="7" t="n">
        <v>100</v>
      </c>
      <c r="J173" s="8" t="n">
        <v>0.35</v>
      </c>
      <c r="K173" s="8" t="n"/>
      <c r="L173" s="4" t="inlineStr"/>
      <c r="M173" s="5" t="n">
        <v>0</v>
      </c>
      <c r="N173" s="5" t="n">
        <v>2</v>
      </c>
      <c r="O173" s="5" t="n"/>
      <c r="P173" s="4" t="inlineStr"/>
      <c r="Q173" s="4" t="inlineStr">
        <is>
          <t>Não</t>
        </is>
      </c>
      <c r="R173" s="4" t="inlineStr">
        <is>
          <t>Site (navegador)</t>
        </is>
      </c>
      <c r="S173" s="4" t="n">
        <v>1</v>
      </c>
      <c r="T173" s="4" t="inlineStr">
        <is>
          <t>Não</t>
        </is>
      </c>
      <c r="U173" s="4" t="inlineStr">
        <is>
          <t>Sim</t>
        </is>
      </c>
      <c r="V173" s="4" t="inlineStr">
        <is>
          <t>Não</t>
        </is>
      </c>
      <c r="W173" s="4" t="inlineStr"/>
    </row>
    <row r="174">
      <c r="A174" s="4" t="inlineStr">
        <is>
          <t>XP Investimentos</t>
        </is>
      </c>
      <c r="B174" s="4" t="inlineStr">
        <is>
          <t>Trend Imab5+ &amp; Bolsa Americana Dólar Xp Seg Prev Fim Rl</t>
        </is>
      </c>
      <c r="C174" s="6" t="inlineStr">
        <is>
          <t>52.840.043/0001-89</t>
        </is>
      </c>
      <c r="D174" s="4" t="inlineStr">
        <is>
          <t>XP ALLOCATION ASSET MANAGEMENT LTDA</t>
        </is>
      </c>
      <c r="E174" s="4" t="inlineStr">
        <is>
          <t>37.918.829/0001-88</t>
        </is>
      </c>
      <c r="F174" s="4" t="inlineStr">
        <is>
          <t>XP Investimentos</t>
        </is>
      </c>
      <c r="G174" s="4" t="inlineStr">
        <is>
          <t>Multimercado</t>
        </is>
      </c>
      <c r="H174" s="4" t="inlineStr">
        <is>
          <t>Multiestratégia</t>
        </is>
      </c>
      <c r="I174" s="7" t="n">
        <v>100</v>
      </c>
      <c r="J174" s="8" t="n">
        <v>0.5</v>
      </c>
      <c r="K174" s="8" t="n"/>
      <c r="L174" s="4" t="inlineStr"/>
      <c r="M174" s="5" t="n">
        <v>0</v>
      </c>
      <c r="N174" s="5" t="n">
        <v>2</v>
      </c>
      <c r="O174" s="5" t="n"/>
      <c r="P174" s="4" t="inlineStr"/>
      <c r="Q174" s="4" t="inlineStr">
        <is>
          <t>Não</t>
        </is>
      </c>
      <c r="R174" s="4" t="inlineStr">
        <is>
          <t>Site (navegador)</t>
        </is>
      </c>
      <c r="S174" s="4" t="n">
        <v>1</v>
      </c>
      <c r="T174" s="4" t="inlineStr">
        <is>
          <t>Não</t>
        </is>
      </c>
      <c r="U174" s="4" t="inlineStr">
        <is>
          <t>Sim</t>
        </is>
      </c>
      <c r="V174" s="4" t="inlineStr">
        <is>
          <t>Não</t>
        </is>
      </c>
      <c r="W174" s="4" t="inlineStr"/>
    </row>
    <row r="175">
      <c r="A175" s="4" t="inlineStr">
        <is>
          <t>XP Investimentos</t>
        </is>
      </c>
      <c r="B175" s="4" t="inlineStr">
        <is>
          <t>Trend Inflação Curta XP Seg Prev FICFI RF</t>
        </is>
      </c>
      <c r="C175" s="6" t="inlineStr">
        <is>
          <t>32.065.041/0001-52</t>
        </is>
      </c>
      <c r="D175" s="4" t="inlineStr">
        <is>
          <t>XP ALLOCATION ASSET MANAGEMENT LTDA</t>
        </is>
      </c>
      <c r="E175" s="4" t="inlineStr">
        <is>
          <t>37.918.829/0001-88</t>
        </is>
      </c>
      <c r="F175" s="4" t="inlineStr">
        <is>
          <t>XPI Administradora</t>
        </is>
      </c>
      <c r="G175" s="4" t="inlineStr">
        <is>
          <t>Renda Fixa</t>
        </is>
      </c>
      <c r="H175" s="4" t="inlineStr">
        <is>
          <t>Renda Fixa Inflação</t>
        </is>
      </c>
      <c r="I175" s="7" t="n">
        <v>100</v>
      </c>
      <c r="J175" s="8" t="n">
        <v>0.4</v>
      </c>
      <c r="K175" s="8" t="n"/>
      <c r="L175" s="4" t="inlineStr"/>
      <c r="M175" s="5" t="n">
        <v>0</v>
      </c>
      <c r="N175" s="5" t="n">
        <v>1</v>
      </c>
      <c r="O175" s="5" t="n"/>
      <c r="P175" s="4" t="inlineStr"/>
      <c r="Q175" s="4" t="inlineStr">
        <is>
          <t>Não</t>
        </is>
      </c>
      <c r="R175" s="4" t="inlineStr">
        <is>
          <t>Site (navegador)</t>
        </is>
      </c>
      <c r="S175" s="4" t="n">
        <v>1</v>
      </c>
      <c r="T175" s="4" t="inlineStr">
        <is>
          <t>Não</t>
        </is>
      </c>
      <c r="U175" s="4" t="inlineStr">
        <is>
          <t>Sim</t>
        </is>
      </c>
      <c r="V175" s="4" t="inlineStr">
        <is>
          <t>Não</t>
        </is>
      </c>
      <c r="W175" s="4" t="inlineStr"/>
    </row>
    <row r="176">
      <c r="A176" s="4" t="inlineStr">
        <is>
          <t>XP Investimentos</t>
        </is>
      </c>
      <c r="B176" s="4" t="inlineStr">
        <is>
          <t>Trend Pré-Fixado XP Seg Prev FIC FIRF RL</t>
        </is>
      </c>
      <c r="C176" s="6" t="inlineStr">
        <is>
          <t>33.755.733/0001-95</t>
        </is>
      </c>
      <c r="D176" s="4" t="inlineStr">
        <is>
          <t>XP ALLOCATION ASSET MANAGEMENT LTDA</t>
        </is>
      </c>
      <c r="E176" s="4" t="inlineStr">
        <is>
          <t>37.918.829/0001-88</t>
        </is>
      </c>
      <c r="F176" s="4" t="inlineStr">
        <is>
          <t>XP Investimentos</t>
        </is>
      </c>
      <c r="G176" s="4" t="inlineStr">
        <is>
          <t>Renda Fixa</t>
        </is>
      </c>
      <c r="H176" s="4" t="inlineStr">
        <is>
          <t>Renda Fixa Pré</t>
        </is>
      </c>
      <c r="I176" s="7" t="n">
        <v>100</v>
      </c>
      <c r="J176" s="8" t="n">
        <v>0.4</v>
      </c>
      <c r="K176" s="8" t="n"/>
      <c r="L176" s="4" t="inlineStr"/>
      <c r="M176" s="5" t="n">
        <v>0</v>
      </c>
      <c r="N176" s="5" t="n">
        <v>1</v>
      </c>
      <c r="O176" s="5" t="n"/>
      <c r="P176" s="4" t="inlineStr"/>
      <c r="Q176" s="4" t="inlineStr">
        <is>
          <t>Não</t>
        </is>
      </c>
      <c r="R176" s="4" t="inlineStr">
        <is>
          <t>Site (navegador)</t>
        </is>
      </c>
      <c r="S176" s="4" t="n">
        <v>1</v>
      </c>
      <c r="T176" s="4" t="inlineStr">
        <is>
          <t>Não</t>
        </is>
      </c>
      <c r="U176" s="4" t="inlineStr">
        <is>
          <t>Sim</t>
        </is>
      </c>
      <c r="V176" s="4" t="inlineStr">
        <is>
          <t>Não</t>
        </is>
      </c>
      <c r="W176" s="4" t="inlineStr"/>
    </row>
    <row r="177">
      <c r="A177" s="4" t="inlineStr">
        <is>
          <t>XP Investimentos</t>
        </is>
      </c>
      <c r="B177" s="4" t="inlineStr">
        <is>
          <t>Trend Pós-Fixado XP Seg Prev FIC FIRF</t>
        </is>
      </c>
      <c r="C177" s="6" t="inlineStr">
        <is>
          <t>33.784.231/0001-92</t>
        </is>
      </c>
      <c r="D177" s="4" t="inlineStr">
        <is>
          <t>XP VISTA ASSET MANAGEMENT LTDA.</t>
        </is>
      </c>
      <c r="E177" s="4" t="inlineStr">
        <is>
          <t>16.789.525/0001-98</t>
        </is>
      </c>
      <c r="F177" s="4" t="inlineStr">
        <is>
          <t>XPI Administradora</t>
        </is>
      </c>
      <c r="G177" s="4" t="inlineStr">
        <is>
          <t>Renda Fixa</t>
        </is>
      </c>
      <c r="H177" s="4" t="inlineStr">
        <is>
          <t>Referenciado DI Soberano</t>
        </is>
      </c>
      <c r="I177" s="7" t="n">
        <v>100</v>
      </c>
      <c r="J177" s="8" t="n">
        <v>0.25</v>
      </c>
      <c r="K177" s="8" t="n"/>
      <c r="L177" s="4" t="inlineStr"/>
      <c r="M177" s="5" t="n">
        <v>0</v>
      </c>
      <c r="N177" s="5" t="n">
        <v>1</v>
      </c>
      <c r="O177" s="5" t="n"/>
      <c r="P177" s="4" t="inlineStr"/>
      <c r="Q177" s="4" t="inlineStr">
        <is>
          <t>Não</t>
        </is>
      </c>
      <c r="R177" s="4" t="inlineStr">
        <is>
          <t>Site (navegador)</t>
        </is>
      </c>
      <c r="S177" s="4" t="n">
        <v>1</v>
      </c>
      <c r="T177" s="4" t="inlineStr">
        <is>
          <t>Não</t>
        </is>
      </c>
      <c r="U177" s="4" t="inlineStr">
        <is>
          <t>Sim</t>
        </is>
      </c>
      <c r="V177" s="4" t="inlineStr">
        <is>
          <t>Não</t>
        </is>
      </c>
      <c r="W177" s="4" t="inlineStr"/>
    </row>
    <row r="178">
      <c r="A178" s="4" t="inlineStr">
        <is>
          <t>XP Investimentos</t>
        </is>
      </c>
      <c r="B178" s="4" t="inlineStr">
        <is>
          <t>Truxt Valor XP Seguros Prev FICFIA</t>
        </is>
      </c>
      <c r="C178" s="6" t="inlineStr">
        <is>
          <t>37.893.248/0001-39</t>
        </is>
      </c>
      <c r="D178" s="4" t="inlineStr">
        <is>
          <t>TRUXT INVESTIMENTOS LTDA.</t>
        </is>
      </c>
      <c r="E178" s="4" t="inlineStr">
        <is>
          <t>23.890.968/0001-36</t>
        </is>
      </c>
      <c r="F178" s="4" t="inlineStr">
        <is>
          <t>Intrag DTVM</t>
        </is>
      </c>
      <c r="G178" s="4" t="inlineStr">
        <is>
          <t>Ações</t>
        </is>
      </c>
      <c r="H178" s="4" t="inlineStr">
        <is>
          <t>Renda Variável Long Only</t>
        </is>
      </c>
      <c r="I178" s="7" t="n">
        <v>100</v>
      </c>
      <c r="J178" s="8" t="n">
        <v>3</v>
      </c>
      <c r="K178" s="8" t="n"/>
      <c r="L178" s="4" t="inlineStr"/>
      <c r="M178" s="5" t="n">
        <v>2</v>
      </c>
      <c r="N178" s="5" t="n">
        <v>2</v>
      </c>
      <c r="O178" s="5" t="n"/>
      <c r="P178" s="4" t="inlineStr"/>
      <c r="Q178" s="4" t="inlineStr">
        <is>
          <t>Não</t>
        </is>
      </c>
      <c r="R178" s="4" t="inlineStr">
        <is>
          <t>Site (navegador)</t>
        </is>
      </c>
      <c r="S178" s="4" t="n">
        <v>1</v>
      </c>
      <c r="T178" s="4" t="inlineStr">
        <is>
          <t>Não</t>
        </is>
      </c>
      <c r="U178" s="4" t="inlineStr">
        <is>
          <t>Sim</t>
        </is>
      </c>
      <c r="V178" s="4" t="inlineStr">
        <is>
          <t>Não</t>
        </is>
      </c>
      <c r="W178" s="4" t="inlineStr"/>
    </row>
    <row r="179">
      <c r="A179" s="4" t="inlineStr">
        <is>
          <t>XP Investimentos</t>
        </is>
      </c>
      <c r="B179" s="4" t="inlineStr">
        <is>
          <t>Tríade Prev Fic Fim Cp Rl</t>
        </is>
      </c>
      <c r="C179" s="6" t="inlineStr">
        <is>
          <t>53.991.216/0001-22</t>
        </is>
      </c>
      <c r="D179" s="4" t="inlineStr">
        <is>
          <t>PARAMIS BR INVESTIMENTOS LTDA</t>
        </is>
      </c>
      <c r="E179" s="4" t="inlineStr">
        <is>
          <t>12.417.157/0001-04</t>
        </is>
      </c>
      <c r="F179" s="4" t="inlineStr">
        <is>
          <t>BTG Pactual DTVM</t>
        </is>
      </c>
      <c r="G179" s="4" t="inlineStr">
        <is>
          <t>Multimercado</t>
        </is>
      </c>
      <c r="H179" s="4" t="inlineStr">
        <is>
          <t>Crédito Privado High Grade</t>
        </is>
      </c>
      <c r="I179" s="7" t="n">
        <v>100</v>
      </c>
      <c r="J179" s="8" t="n">
        <v>1.05</v>
      </c>
      <c r="K179" s="8" t="n"/>
      <c r="L179" s="4" t="inlineStr"/>
      <c r="M179" s="5" t="n">
        <v>8</v>
      </c>
      <c r="N179" s="5" t="n">
        <v>2</v>
      </c>
      <c r="O179" s="5" t="n"/>
      <c r="P179" s="4" t="inlineStr"/>
      <c r="Q179" s="4" t="inlineStr">
        <is>
          <t>Não</t>
        </is>
      </c>
      <c r="R179" s="4" t="inlineStr">
        <is>
          <t>Site (navegador)</t>
        </is>
      </c>
      <c r="S179" s="4" t="n">
        <v>1</v>
      </c>
      <c r="T179" s="4" t="inlineStr">
        <is>
          <t>Não</t>
        </is>
      </c>
      <c r="U179" s="4" t="inlineStr">
        <is>
          <t>Sim</t>
        </is>
      </c>
      <c r="V179" s="4" t="inlineStr">
        <is>
          <t>Não</t>
        </is>
      </c>
      <c r="W179" s="4" t="inlineStr"/>
    </row>
    <row r="180">
      <c r="A180" s="4" t="inlineStr">
        <is>
          <t>XP Investimentos</t>
        </is>
      </c>
      <c r="B180" s="4" t="inlineStr">
        <is>
          <t>Távola Equity Hedge Prev XP LS FIC FIM RL</t>
        </is>
      </c>
      <c r="C180" s="6" t="inlineStr">
        <is>
          <t>44.409.412/0001-55</t>
        </is>
      </c>
      <c r="D180" s="4" t="inlineStr">
        <is>
          <t>TÁVOLA CAPITAL GESTÃO DE RECURSOS LTDA.</t>
        </is>
      </c>
      <c r="E180" s="4" t="inlineStr">
        <is>
          <t>04.980.745/0001-15</t>
        </is>
      </c>
      <c r="F180" s="4" t="inlineStr">
        <is>
          <t>BTG Pactual DTVM</t>
        </is>
      </c>
      <c r="G180" s="4" t="inlineStr">
        <is>
          <t>Multimercado</t>
        </is>
      </c>
      <c r="H180" s="4" t="inlineStr">
        <is>
          <t>Long Short Direcional</t>
        </is>
      </c>
      <c r="I180" s="7" t="n">
        <v>100</v>
      </c>
      <c r="J180" s="8" t="n">
        <v>1.92</v>
      </c>
      <c r="K180" s="8" t="n"/>
      <c r="L180" s="4" t="inlineStr"/>
      <c r="M180" s="5" t="n">
        <v>20</v>
      </c>
      <c r="N180" s="5" t="n">
        <v>2</v>
      </c>
      <c r="O180" s="5" t="n"/>
      <c r="P180" s="4" t="inlineStr"/>
      <c r="Q180" s="4" t="inlineStr">
        <is>
          <t>Não</t>
        </is>
      </c>
      <c r="R180" s="4" t="inlineStr">
        <is>
          <t>Site (navegador)</t>
        </is>
      </c>
      <c r="S180" s="4" t="n">
        <v>1</v>
      </c>
      <c r="T180" s="4" t="inlineStr">
        <is>
          <t>Não</t>
        </is>
      </c>
      <c r="U180" s="4" t="inlineStr">
        <is>
          <t>Sim</t>
        </is>
      </c>
      <c r="V180" s="4" t="inlineStr">
        <is>
          <t>Não</t>
        </is>
      </c>
      <c r="W180" s="4" t="inlineStr"/>
    </row>
    <row r="181">
      <c r="A181" s="4" t="inlineStr">
        <is>
          <t>XP Investimentos</t>
        </is>
      </c>
      <c r="B181" s="4" t="inlineStr">
        <is>
          <t>V8 Speedway Vega LS XP Seg Prev FIC Multi RL</t>
        </is>
      </c>
      <c r="C181" s="6" t="inlineStr">
        <is>
          <t>53.991.515/0001-67</t>
        </is>
      </c>
      <c r="D181" s="4" t="inlineStr">
        <is>
          <t>V8 CAPITAL GESTÃO DE INVESTIMENTOS LTDA.</t>
        </is>
      </c>
      <c r="E181" s="4" t="inlineStr">
        <is>
          <t>11.392.069/0001-24</t>
        </is>
      </c>
      <c r="F181" s="4" t="inlineStr">
        <is>
          <t>BNY Mellon DTVM</t>
        </is>
      </c>
      <c r="G181" s="4" t="inlineStr">
        <is>
          <t>Multimercado</t>
        </is>
      </c>
      <c r="H181" s="4" t="inlineStr">
        <is>
          <t>Long Short Neutro</t>
        </is>
      </c>
      <c r="I181" s="7" t="n">
        <v>100</v>
      </c>
      <c r="J181" s="8" t="n">
        <v>2</v>
      </c>
      <c r="K181" s="8" t="n"/>
      <c r="L181" s="4" t="inlineStr"/>
      <c r="M181" s="5" t="n">
        <v>8</v>
      </c>
      <c r="N181" s="5" t="n">
        <v>2</v>
      </c>
      <c r="O181" s="5" t="n"/>
      <c r="P181" s="4" t="inlineStr"/>
      <c r="Q181" s="4" t="inlineStr">
        <is>
          <t>Não</t>
        </is>
      </c>
      <c r="R181" s="4" t="inlineStr">
        <is>
          <t>Site (navegador)</t>
        </is>
      </c>
      <c r="S181" s="4" t="n">
        <v>1</v>
      </c>
      <c r="T181" s="4" t="inlineStr">
        <is>
          <t>Não</t>
        </is>
      </c>
      <c r="U181" s="4" t="inlineStr">
        <is>
          <t>Sim</t>
        </is>
      </c>
      <c r="V181" s="4" t="inlineStr">
        <is>
          <t>Não</t>
        </is>
      </c>
      <c r="W181" s="4" t="inlineStr"/>
    </row>
    <row r="182">
      <c r="A182" s="4" t="inlineStr">
        <is>
          <t>XP Investimentos</t>
        </is>
      </c>
      <c r="B182" s="4" t="inlineStr">
        <is>
          <t>V8 Vanquish Termo Xp Seg Prev Fic Fim Cp</t>
        </is>
      </c>
      <c r="C182" s="6" t="inlineStr">
        <is>
          <t>47.032.970/0001-32</t>
        </is>
      </c>
      <c r="D182" s="4" t="inlineStr">
        <is>
          <t>V8 CAPITAL GESTÃO DE INVESTIMENTOS LTDA.</t>
        </is>
      </c>
      <c r="E182" s="4" t="inlineStr">
        <is>
          <t>11.392.069/0001-24</t>
        </is>
      </c>
      <c r="F182" s="4" t="inlineStr">
        <is>
          <t>XP Investimentos</t>
        </is>
      </c>
      <c r="G182" s="4" t="inlineStr">
        <is>
          <t>Multimercado</t>
        </is>
      </c>
      <c r="H182" s="4" t="inlineStr">
        <is>
          <t>Crédito Liquidez</t>
        </is>
      </c>
      <c r="I182" s="7" t="n">
        <v>100</v>
      </c>
      <c r="J182" s="8" t="n">
        <v>0.85</v>
      </c>
      <c r="K182" s="8" t="n"/>
      <c r="L182" s="4" t="inlineStr"/>
      <c r="M182" s="5" t="n">
        <v>5</v>
      </c>
      <c r="N182" s="5" t="n">
        <v>1</v>
      </c>
      <c r="O182" s="5" t="n"/>
      <c r="P182" s="4" t="inlineStr"/>
      <c r="Q182" s="4" t="inlineStr">
        <is>
          <t>Não</t>
        </is>
      </c>
      <c r="R182" s="4" t="inlineStr">
        <is>
          <t>Site (navegador)</t>
        </is>
      </c>
      <c r="S182" s="4" t="n">
        <v>1</v>
      </c>
      <c r="T182" s="4" t="inlineStr">
        <is>
          <t>Não</t>
        </is>
      </c>
      <c r="U182" s="4" t="inlineStr">
        <is>
          <t>Sim</t>
        </is>
      </c>
      <c r="V182" s="4" t="inlineStr">
        <is>
          <t>Não</t>
        </is>
      </c>
      <c r="W182" s="4" t="inlineStr"/>
    </row>
    <row r="183">
      <c r="A183" s="4" t="inlineStr">
        <is>
          <t>XP Investimentos</t>
        </is>
      </c>
      <c r="B183" s="4" t="inlineStr">
        <is>
          <t>Valora Prev Xp Seg Ficfi Rf Cp</t>
        </is>
      </c>
      <c r="C183" s="6" t="inlineStr">
        <is>
          <t>40.781.137/0001-45</t>
        </is>
      </c>
      <c r="D183" s="4" t="inlineStr">
        <is>
          <t>XP VIDA E PREVIDÊNCIA S.A.</t>
        </is>
      </c>
      <c r="E183" s="4" t="inlineStr">
        <is>
          <t>29.408.732/0001-05</t>
        </is>
      </c>
      <c r="F183" s="4" t="inlineStr">
        <is>
          <t>XPI Administradora - Modal</t>
        </is>
      </c>
      <c r="G183" s="4" t="inlineStr">
        <is>
          <t>Renda Fixa</t>
        </is>
      </c>
      <c r="H183" s="4" t="inlineStr">
        <is>
          <t>Crédito High Grade</t>
        </is>
      </c>
      <c r="I183" s="7" t="n">
        <v>100</v>
      </c>
      <c r="J183" s="8" t="n">
        <v>0.8</v>
      </c>
      <c r="K183" s="8" t="n"/>
      <c r="L183" s="4" t="inlineStr"/>
      <c r="M183" s="5" t="n">
        <v>21</v>
      </c>
      <c r="N183" s="5" t="n">
        <v>1</v>
      </c>
      <c r="O183" s="5" t="n"/>
      <c r="P183" s="4" t="inlineStr"/>
      <c r="Q183" s="4" t="inlineStr">
        <is>
          <t>Não</t>
        </is>
      </c>
      <c r="R183" s="4" t="inlineStr">
        <is>
          <t>Site (navegador)</t>
        </is>
      </c>
      <c r="S183" s="4" t="n">
        <v>1</v>
      </c>
      <c r="T183" s="4" t="inlineStr">
        <is>
          <t>Não</t>
        </is>
      </c>
      <c r="U183" s="4" t="inlineStr">
        <is>
          <t>Sim</t>
        </is>
      </c>
      <c r="V183" s="4" t="inlineStr">
        <is>
          <t>Não</t>
        </is>
      </c>
      <c r="W183" s="4" t="inlineStr"/>
    </row>
    <row r="184">
      <c r="A184" s="4" t="inlineStr">
        <is>
          <t>XP Investimentos</t>
        </is>
      </c>
      <c r="B184" s="4" t="inlineStr">
        <is>
          <t>Verde Am Lb 70 Advisory Xp Seg Prev Fic Fim Rl</t>
        </is>
      </c>
      <c r="C184" s="6" t="inlineStr">
        <is>
          <t>30.830.240/0001-84</t>
        </is>
      </c>
      <c r="D184" s="4" t="inlineStr">
        <is>
          <t>XP VIDA E PREVIDÊNCIA S.A.</t>
        </is>
      </c>
      <c r="E184" s="4" t="inlineStr">
        <is>
          <t>29.408.732/0001-05</t>
        </is>
      </c>
      <c r="F184" s="4" t="inlineStr">
        <is>
          <t>XP Investimentos</t>
        </is>
      </c>
      <c r="G184" s="4" t="inlineStr">
        <is>
          <t>Multimercado</t>
        </is>
      </c>
      <c r="H184" s="4" t="inlineStr">
        <is>
          <t>Renda Variável Long Biased</t>
        </is>
      </c>
      <c r="I184" s="7" t="n">
        <v>100</v>
      </c>
      <c r="J184" s="8" t="n">
        <v>2.2</v>
      </c>
      <c r="K184" s="8" t="n"/>
      <c r="L184" s="4" t="inlineStr"/>
      <c r="M184" s="5" t="n">
        <v>0</v>
      </c>
      <c r="N184" s="5" t="n">
        <v>3</v>
      </c>
      <c r="O184" s="5" t="n"/>
      <c r="P184" s="4" t="inlineStr"/>
      <c r="Q184" s="4" t="inlineStr">
        <is>
          <t>Não</t>
        </is>
      </c>
      <c r="R184" s="4" t="inlineStr">
        <is>
          <t>Site (navegador)</t>
        </is>
      </c>
      <c r="S184" s="4" t="n">
        <v>1</v>
      </c>
      <c r="T184" s="4" t="inlineStr">
        <is>
          <t>Não</t>
        </is>
      </c>
      <c r="U184" s="4" t="inlineStr">
        <is>
          <t>Sim</t>
        </is>
      </c>
      <c r="V184" s="4" t="inlineStr">
        <is>
          <t>Não</t>
        </is>
      </c>
      <c r="W184" s="4" t="inlineStr"/>
    </row>
    <row r="185">
      <c r="A185" s="4" t="inlineStr">
        <is>
          <t>XP Investimentos</t>
        </is>
      </c>
      <c r="B185" s="4" t="inlineStr">
        <is>
          <t>Verde Am Mundi Multimercado Globais Xp Seguros Fic Fim Rl</t>
        </is>
      </c>
      <c r="C185" s="6" t="inlineStr">
        <is>
          <t>41.802.040/0001-34</t>
        </is>
      </c>
      <c r="D185" s="4" t="inlineStr">
        <is>
          <t>XP VIDA E PREVIDÊNCIA S.A.</t>
        </is>
      </c>
      <c r="E185" s="4" t="inlineStr">
        <is>
          <t>29.408.732/0001-05</t>
        </is>
      </c>
      <c r="F185" s="4" t="inlineStr">
        <is>
          <t>XP Investimentos</t>
        </is>
      </c>
      <c r="G185" s="4" t="inlineStr">
        <is>
          <t>Multimercado</t>
        </is>
      </c>
      <c r="H185" s="4" t="inlineStr">
        <is>
          <t>Internacional Ações Não Hedgeado</t>
        </is>
      </c>
      <c r="I185" s="7" t="n">
        <v>100</v>
      </c>
      <c r="J185" s="8" t="n">
        <v>2</v>
      </c>
      <c r="K185" s="8" t="n"/>
      <c r="L185" s="4" t="inlineStr"/>
      <c r="M185" s="5" t="n">
        <v>22</v>
      </c>
      <c r="N185" s="5" t="n">
        <v>3</v>
      </c>
      <c r="O185" s="5" t="n"/>
      <c r="P185" s="4" t="inlineStr"/>
      <c r="Q185" s="4" t="inlineStr">
        <is>
          <t>Não</t>
        </is>
      </c>
      <c r="R185" s="4" t="inlineStr">
        <is>
          <t>Site (navegador)</t>
        </is>
      </c>
      <c r="S185" s="4" t="n">
        <v>1</v>
      </c>
      <c r="T185" s="4" t="inlineStr">
        <is>
          <t>Não</t>
        </is>
      </c>
      <c r="U185" s="4" t="inlineStr">
        <is>
          <t>Sim</t>
        </is>
      </c>
      <c r="V185" s="4" t="inlineStr">
        <is>
          <t>Não</t>
        </is>
      </c>
      <c r="W185" s="4" t="inlineStr"/>
    </row>
    <row r="186">
      <c r="A186" s="4" t="inlineStr">
        <is>
          <t>XP Investimentos</t>
        </is>
      </c>
      <c r="B186" s="4" t="inlineStr">
        <is>
          <t>Verde Am Scena Advisory Xp Seg Fic Fim Rl</t>
        </is>
      </c>
      <c r="C186" s="6" t="inlineStr">
        <is>
          <t>30.994.931/0001-13</t>
        </is>
      </c>
      <c r="D186" s="4" t="inlineStr">
        <is>
          <t>XP VIDA E PREVIDÊNCIA S.A.</t>
        </is>
      </c>
      <c r="E186" s="4" t="inlineStr">
        <is>
          <t>29.408.732/0001-05</t>
        </is>
      </c>
      <c r="F186" s="4" t="inlineStr">
        <is>
          <t>XP Investimentos</t>
        </is>
      </c>
      <c r="G186" s="4" t="inlineStr">
        <is>
          <t>Multimercado</t>
        </is>
      </c>
      <c r="H186" s="4" t="inlineStr">
        <is>
          <t>Macro Alta Vol</t>
        </is>
      </c>
      <c r="I186" s="7" t="n">
        <v>100</v>
      </c>
      <c r="J186" s="8" t="n">
        <v>2</v>
      </c>
      <c r="K186" s="8" t="n"/>
      <c r="L186" s="4" t="inlineStr"/>
      <c r="M186" s="5" t="n">
        <v>0</v>
      </c>
      <c r="N186" s="5" t="n">
        <v>3</v>
      </c>
      <c r="O186" s="5" t="n"/>
      <c r="P186" s="4" t="inlineStr"/>
      <c r="Q186" s="4" t="inlineStr">
        <is>
          <t>Não</t>
        </is>
      </c>
      <c r="R186" s="4" t="inlineStr">
        <is>
          <t>Site (navegador)</t>
        </is>
      </c>
      <c r="S186" s="4" t="n">
        <v>1</v>
      </c>
      <c r="T186" s="4" t="inlineStr">
        <is>
          <t>Não</t>
        </is>
      </c>
      <c r="U186" s="4" t="inlineStr">
        <is>
          <t>Sim</t>
        </is>
      </c>
      <c r="V186" s="4" t="inlineStr">
        <is>
          <t>Não</t>
        </is>
      </c>
      <c r="W186" s="4" t="inlineStr"/>
    </row>
    <row r="187">
      <c r="A187" s="4" t="inlineStr">
        <is>
          <t>XP Investimentos</t>
        </is>
      </c>
      <c r="B187" s="4" t="inlineStr">
        <is>
          <t>Vinci Crédito Prev Advisory Firf Cp Rl</t>
        </is>
      </c>
      <c r="C187" s="6" t="inlineStr">
        <is>
          <t>44.230.868/0001-53</t>
        </is>
      </c>
      <c r="D187" s="4" t="inlineStr">
        <is>
          <t>VINCI GESTORA DE RECURSOS LTDA</t>
        </is>
      </c>
      <c r="E187" s="4" t="inlineStr">
        <is>
          <t>11.077.576/0001-73</t>
        </is>
      </c>
      <c r="F187" s="4" t="inlineStr">
        <is>
          <t>BEM DTVM</t>
        </is>
      </c>
      <c r="G187" s="4" t="inlineStr">
        <is>
          <t>Renda Fixa</t>
        </is>
      </c>
      <c r="H187" s="4" t="inlineStr">
        <is>
          <t>Crédito High Grade</t>
        </is>
      </c>
      <c r="I187" s="7" t="n">
        <v>100</v>
      </c>
      <c r="J187" s="8" t="n">
        <v>0.9</v>
      </c>
      <c r="K187" s="8" t="n"/>
      <c r="L187" s="4" t="inlineStr"/>
      <c r="M187" s="5" t="n">
        <v>8</v>
      </c>
      <c r="N187" s="5" t="n">
        <v>1</v>
      </c>
      <c r="O187" s="5" t="n"/>
      <c r="P187" s="4" t="inlineStr"/>
      <c r="Q187" s="4" t="inlineStr">
        <is>
          <t>Não</t>
        </is>
      </c>
      <c r="R187" s="4" t="inlineStr">
        <is>
          <t>Site (navegador)</t>
        </is>
      </c>
      <c r="S187" s="4" t="n">
        <v>1</v>
      </c>
      <c r="T187" s="4" t="inlineStr">
        <is>
          <t>Não</t>
        </is>
      </c>
      <c r="U187" s="4" t="inlineStr">
        <is>
          <t>Sim</t>
        </is>
      </c>
      <c r="V187" s="4" t="inlineStr">
        <is>
          <t>Não</t>
        </is>
      </c>
      <c r="W187" s="4" t="inlineStr"/>
    </row>
    <row r="188">
      <c r="A188" s="4" t="inlineStr">
        <is>
          <t>XP Investimentos</t>
        </is>
      </c>
      <c r="B188" s="4" t="inlineStr">
        <is>
          <t>Vinci Equilibrio Advisory XP Seg Prev FIM</t>
        </is>
      </c>
      <c r="C188" s="6" t="inlineStr">
        <is>
          <t>32.319.702/0001-29</t>
        </is>
      </c>
      <c r="D188" s="4" t="inlineStr">
        <is>
          <t>VINCI SOLUÇÕES DE INVESTIMENTOS LTDA</t>
        </is>
      </c>
      <c r="E188" s="4" t="inlineStr">
        <is>
          <t>13.421.810/0001-63</t>
        </is>
      </c>
      <c r="F188" s="4" t="inlineStr">
        <is>
          <t>BEM DTVM</t>
        </is>
      </c>
      <c r="G188" s="4" t="inlineStr">
        <is>
          <t>Multimercado</t>
        </is>
      </c>
      <c r="H188" s="4" t="inlineStr">
        <is>
          <t>Macro Baixa Vol</t>
        </is>
      </c>
      <c r="I188" s="7" t="n">
        <v>100</v>
      </c>
      <c r="J188" s="8" t="n">
        <v>2</v>
      </c>
      <c r="K188" s="8" t="n"/>
      <c r="L188" s="4" t="inlineStr"/>
      <c r="M188" s="5" t="n">
        <v>1</v>
      </c>
      <c r="N188" s="5" t="n">
        <v>2</v>
      </c>
      <c r="O188" s="5" t="n"/>
      <c r="P188" s="4" t="inlineStr"/>
      <c r="Q188" s="4" t="inlineStr">
        <is>
          <t>Não</t>
        </is>
      </c>
      <c r="R188" s="4" t="inlineStr">
        <is>
          <t>Site (navegador)</t>
        </is>
      </c>
      <c r="S188" s="4" t="n">
        <v>1</v>
      </c>
      <c r="T188" s="4" t="inlineStr">
        <is>
          <t>Não</t>
        </is>
      </c>
      <c r="U188" s="4" t="inlineStr">
        <is>
          <t>Sim</t>
        </is>
      </c>
      <c r="V188" s="4" t="inlineStr">
        <is>
          <t>Não</t>
        </is>
      </c>
      <c r="W188" s="4" t="inlineStr"/>
    </row>
    <row r="189">
      <c r="A189" s="4" t="inlineStr">
        <is>
          <t>XP Investimentos</t>
        </is>
      </c>
      <c r="B189" s="4" t="inlineStr">
        <is>
          <t>Vinci Valorem Advisory XP Seg Prev FIM</t>
        </is>
      </c>
      <c r="C189" s="6" t="inlineStr">
        <is>
          <t>33.796.273/0001-43</t>
        </is>
      </c>
      <c r="D189" s="4" t="inlineStr">
        <is>
          <t>VINCI SOLUÇÕES DE INVESTIMENTOS LTDA</t>
        </is>
      </c>
      <c r="E189" s="4" t="inlineStr">
        <is>
          <t>13.421.810/0001-63</t>
        </is>
      </c>
      <c r="F189" s="4" t="inlineStr">
        <is>
          <t>BEM DTVM</t>
        </is>
      </c>
      <c r="G189" s="4" t="inlineStr">
        <is>
          <t>Multimercado</t>
        </is>
      </c>
      <c r="H189" s="4" t="inlineStr">
        <is>
          <t>Renda Fixa Inflação</t>
        </is>
      </c>
      <c r="I189" s="7" t="n">
        <v>100</v>
      </c>
      <c r="J189" s="8" t="n">
        <v>1</v>
      </c>
      <c r="K189" s="8" t="n"/>
      <c r="L189" s="4" t="inlineStr"/>
      <c r="M189" s="5" t="n">
        <v>1</v>
      </c>
      <c r="N189" s="5" t="n">
        <v>1</v>
      </c>
      <c r="O189" s="5" t="n"/>
      <c r="P189" s="4" t="inlineStr"/>
      <c r="Q189" s="4" t="inlineStr">
        <is>
          <t>Não</t>
        </is>
      </c>
      <c r="R189" s="4" t="inlineStr">
        <is>
          <t>Site (navegador)</t>
        </is>
      </c>
      <c r="S189" s="4" t="n">
        <v>1</v>
      </c>
      <c r="T189" s="4" t="inlineStr">
        <is>
          <t>Não</t>
        </is>
      </c>
      <c r="U189" s="4" t="inlineStr">
        <is>
          <t>Sim</t>
        </is>
      </c>
      <c r="V189" s="4" t="inlineStr">
        <is>
          <t>Não</t>
        </is>
      </c>
      <c r="W189" s="4" t="inlineStr"/>
    </row>
    <row r="190">
      <c r="A190" s="4" t="inlineStr">
        <is>
          <t>XP Investimentos</t>
        </is>
      </c>
      <c r="B190" s="4" t="inlineStr">
        <is>
          <t>Vinland Long Biased Advisory Xp Seg Prev Fic Fim Rl</t>
        </is>
      </c>
      <c r="C190" s="6" t="inlineStr">
        <is>
          <t>31.846.641/0001-95</t>
        </is>
      </c>
      <c r="D190" s="4" t="inlineStr">
        <is>
          <t>XP VIDA E PREVIDÊNCIA S.A.</t>
        </is>
      </c>
      <c r="E190" s="4" t="inlineStr">
        <is>
          <t>29.408.732/0001-05</t>
        </is>
      </c>
      <c r="F190" s="4" t="inlineStr">
        <is>
          <t>XP Investimentos</t>
        </is>
      </c>
      <c r="G190" s="4" t="inlineStr">
        <is>
          <t>Multimercado</t>
        </is>
      </c>
      <c r="H190" s="4" t="inlineStr">
        <is>
          <t>Renda Variável Long Biased</t>
        </is>
      </c>
      <c r="I190" s="7" t="n">
        <v>100</v>
      </c>
      <c r="J190" s="8" t="n">
        <v>2</v>
      </c>
      <c r="K190" s="8" t="n"/>
      <c r="L190" s="4" t="inlineStr"/>
      <c r="M190" s="5" t="n">
        <v>0</v>
      </c>
      <c r="N190" s="5" t="n">
        <v>3</v>
      </c>
      <c r="O190" s="5" t="n"/>
      <c r="P190" s="4" t="inlineStr"/>
      <c r="Q190" s="4" t="inlineStr">
        <is>
          <t>Sim</t>
        </is>
      </c>
      <c r="R190" s="4" t="inlineStr">
        <is>
          <t>Site (navegador)</t>
        </is>
      </c>
      <c r="S190" s="4" t="n">
        <v>1</v>
      </c>
      <c r="T190" s="4" t="inlineStr">
        <is>
          <t>Não</t>
        </is>
      </c>
      <c r="U190" s="4" t="inlineStr">
        <is>
          <t>Sim</t>
        </is>
      </c>
      <c r="V190" s="4" t="inlineStr">
        <is>
          <t>Não</t>
        </is>
      </c>
      <c r="W190" s="4" t="inlineStr"/>
    </row>
    <row r="191">
      <c r="A191" s="4" t="inlineStr">
        <is>
          <t>XP Investimentos</t>
        </is>
      </c>
      <c r="B191" s="4" t="inlineStr">
        <is>
          <t>Vinland Macro Advisory 2 Xp Seg Prev Fic Fim Rl</t>
        </is>
      </c>
      <c r="C191" s="6" t="inlineStr">
        <is>
          <t>42.718.410/0001-12</t>
        </is>
      </c>
      <c r="D191" s="4" t="inlineStr">
        <is>
          <t>XP VIDA E PREVIDÊNCIA S.A.</t>
        </is>
      </c>
      <c r="E191" s="4" t="inlineStr">
        <is>
          <t>29.408.732/0001-05</t>
        </is>
      </c>
      <c r="F191" s="4" t="inlineStr">
        <is>
          <t>XP Investimentos</t>
        </is>
      </c>
      <c r="G191" s="4" t="inlineStr">
        <is>
          <t>Multimercado</t>
        </is>
      </c>
      <c r="H191" s="4" t="inlineStr">
        <is>
          <t>Macro Alta Vol</t>
        </is>
      </c>
      <c r="I191" s="7" t="n">
        <v>100</v>
      </c>
      <c r="J191" s="8" t="n">
        <v>2</v>
      </c>
      <c r="K191" s="8" t="n"/>
      <c r="L191" s="4" t="inlineStr"/>
      <c r="M191" s="5" t="n">
        <v>1</v>
      </c>
      <c r="N191" s="5" t="n">
        <v>3</v>
      </c>
      <c r="O191" s="5" t="n"/>
      <c r="P191" s="4" t="inlineStr"/>
      <c r="Q191" s="4" t="inlineStr">
        <is>
          <t>Não</t>
        </is>
      </c>
      <c r="R191" s="4" t="inlineStr">
        <is>
          <t>Site (navegador)</t>
        </is>
      </c>
      <c r="S191" s="4" t="n">
        <v>1</v>
      </c>
      <c r="T191" s="4" t="inlineStr">
        <is>
          <t>Não</t>
        </is>
      </c>
      <c r="U191" s="4" t="inlineStr">
        <is>
          <t>Sim</t>
        </is>
      </c>
      <c r="V191" s="4" t="inlineStr">
        <is>
          <t>Não</t>
        </is>
      </c>
      <c r="W191" s="4" t="inlineStr"/>
    </row>
    <row r="192">
      <c r="A192" s="4" t="inlineStr">
        <is>
          <t>XP Investimentos</t>
        </is>
      </c>
      <c r="B192" s="4" t="inlineStr">
        <is>
          <t>Vinland Macro Advisory XP Seg Prev FIC FIM</t>
        </is>
      </c>
      <c r="C192" s="6" t="inlineStr">
        <is>
          <t>31.846.723/0001-30</t>
        </is>
      </c>
      <c r="D192" s="4" t="inlineStr">
        <is>
          <t>XP VIDA E PREVIDÊNCIA S.A.</t>
        </is>
      </c>
      <c r="E192" s="4" t="inlineStr">
        <is>
          <t>29.408.732/0001-05</t>
        </is>
      </c>
      <c r="F192" s="4" t="inlineStr">
        <is>
          <t>XP Investimentos</t>
        </is>
      </c>
      <c r="G192" s="4" t="inlineStr">
        <is>
          <t>Multimercado</t>
        </is>
      </c>
      <c r="H192" s="4" t="inlineStr">
        <is>
          <t>Macro Alta Vol</t>
        </is>
      </c>
      <c r="I192" s="7" t="n">
        <v>100</v>
      </c>
      <c r="J192" s="8" t="n">
        <v>2</v>
      </c>
      <c r="K192" s="8" t="n"/>
      <c r="L192" s="4" t="inlineStr"/>
      <c r="M192" s="5" t="n">
        <v>0</v>
      </c>
      <c r="N192" s="5" t="n">
        <v>3</v>
      </c>
      <c r="O192" s="5" t="n"/>
      <c r="P192" s="4" t="inlineStr"/>
      <c r="Q192" s="4" t="inlineStr">
        <is>
          <t>Sim</t>
        </is>
      </c>
      <c r="R192" s="4" t="inlineStr">
        <is>
          <t>Site (navegador)</t>
        </is>
      </c>
      <c r="S192" s="4" t="n">
        <v>1</v>
      </c>
      <c r="T192" s="4" t="inlineStr">
        <is>
          <t>Não</t>
        </is>
      </c>
      <c r="U192" s="4" t="inlineStr">
        <is>
          <t>Sim</t>
        </is>
      </c>
      <c r="V192" s="4" t="inlineStr">
        <is>
          <t>Não</t>
        </is>
      </c>
      <c r="W192" s="4" t="inlineStr"/>
    </row>
    <row r="193">
      <c r="A193" s="4" t="inlineStr">
        <is>
          <t>XP Investimentos</t>
        </is>
      </c>
      <c r="B193" s="4" t="inlineStr">
        <is>
          <t>Vinland Renda Fixa Ativo Xp Seg Prev Ficfi</t>
        </is>
      </c>
      <c r="C193" s="6" t="inlineStr">
        <is>
          <t>41.866.348/0001-43</t>
        </is>
      </c>
      <c r="D193" s="4" t="inlineStr">
        <is>
          <t>XP VIDA E PREVIDÊNCIA S.A.</t>
        </is>
      </c>
      <c r="E193" s="4" t="inlineStr">
        <is>
          <t>29.408.732/0001-05</t>
        </is>
      </c>
      <c r="F193" s="4" t="inlineStr">
        <is>
          <t>XP Investimentos</t>
        </is>
      </c>
      <c r="G193" s="4" t="inlineStr">
        <is>
          <t>Renda Fixa</t>
        </is>
      </c>
      <c r="H193" s="4" t="inlineStr">
        <is>
          <t>Renda Fixa Ativo</t>
        </is>
      </c>
      <c r="I193" s="7" t="n">
        <v>100</v>
      </c>
      <c r="J193" s="8" t="n">
        <v>0.9</v>
      </c>
      <c r="K193" s="8" t="n"/>
      <c r="L193" s="4" t="inlineStr"/>
      <c r="M193" s="5" t="n">
        <v>0</v>
      </c>
      <c r="N193" s="5" t="n">
        <v>1</v>
      </c>
      <c r="O193" s="5" t="n"/>
      <c r="P193" s="4" t="inlineStr"/>
      <c r="Q193" s="4" t="inlineStr">
        <is>
          <t>Não</t>
        </is>
      </c>
      <c r="R193" s="4" t="inlineStr">
        <is>
          <t>Site (navegador)</t>
        </is>
      </c>
      <c r="S193" s="4" t="n">
        <v>1</v>
      </c>
      <c r="T193" s="4" t="inlineStr">
        <is>
          <t>Não</t>
        </is>
      </c>
      <c r="U193" s="4" t="inlineStr">
        <is>
          <t>Sim</t>
        </is>
      </c>
      <c r="V193" s="4" t="inlineStr">
        <is>
          <t>Não</t>
        </is>
      </c>
      <c r="W193" s="4" t="inlineStr"/>
    </row>
    <row r="194">
      <c r="A194" s="4" t="inlineStr">
        <is>
          <t>XP Investimentos</t>
        </is>
      </c>
      <c r="B194" s="4" t="inlineStr">
        <is>
          <t>Vista Long Biased Xp Seg Prev 1 Ficfim</t>
        </is>
      </c>
      <c r="C194" s="6" t="inlineStr">
        <is>
          <t>37.900.124/0001-33</t>
        </is>
      </c>
      <c r="D194" s="4" t="inlineStr">
        <is>
          <t>XP GESTÃO DE RECURSOS LTDA</t>
        </is>
      </c>
      <c r="E194" s="4" t="inlineStr">
        <is>
          <t>07.625.200/0001-89</t>
        </is>
      </c>
      <c r="F194" s="4" t="inlineStr">
        <is>
          <t>BNY Mellon DTVM</t>
        </is>
      </c>
      <c r="G194" s="4" t="inlineStr">
        <is>
          <t>Multimercado</t>
        </is>
      </c>
      <c r="H194" s="4" t="inlineStr">
        <is>
          <t>Renda Variável Long Biased</t>
        </is>
      </c>
      <c r="I194" s="7" t="n">
        <v>100</v>
      </c>
      <c r="J194" s="8" t="n">
        <v>2</v>
      </c>
      <c r="K194" s="8" t="n"/>
      <c r="L194" s="4" t="inlineStr"/>
      <c r="M194" s="5" t="n">
        <v>21</v>
      </c>
      <c r="N194" s="5" t="n">
        <v>2</v>
      </c>
      <c r="O194" s="5" t="n"/>
      <c r="P194" s="4" t="inlineStr"/>
      <c r="Q194" s="4" t="inlineStr">
        <is>
          <t>Sim</t>
        </is>
      </c>
      <c r="R194" s="4" t="inlineStr">
        <is>
          <t>Site (navegador)</t>
        </is>
      </c>
      <c r="S194" s="4" t="n">
        <v>1</v>
      </c>
      <c r="T194" s="4" t="inlineStr">
        <is>
          <t>Não</t>
        </is>
      </c>
      <c r="U194" s="4" t="inlineStr">
        <is>
          <t>Sim</t>
        </is>
      </c>
      <c r="V194" s="4" t="inlineStr">
        <is>
          <t>Não</t>
        </is>
      </c>
      <c r="W194" s="4" t="inlineStr"/>
    </row>
    <row r="195">
      <c r="A195" s="4" t="inlineStr">
        <is>
          <t>XP Investimentos</t>
        </is>
      </c>
      <c r="B195" s="4" t="inlineStr">
        <is>
          <t>Vista Macro Xp Seg Prev Ficfim Cp Rl</t>
        </is>
      </c>
      <c r="C195" s="6" t="inlineStr">
        <is>
          <t>44.748.957/0001-96</t>
        </is>
      </c>
      <c r="D195" s="4" t="inlineStr">
        <is>
          <t>XP VIDA E PREVIDÊNCIA S.A.</t>
        </is>
      </c>
      <c r="E195" s="4" t="inlineStr">
        <is>
          <t>29.408.732/0001-05</t>
        </is>
      </c>
      <c r="F195" s="4" t="inlineStr">
        <is>
          <t>XP Investimentos</t>
        </is>
      </c>
      <c r="G195" s="4" t="inlineStr">
        <is>
          <t>Multimercado</t>
        </is>
      </c>
      <c r="H195" s="4" t="inlineStr">
        <is>
          <t>Macro Alta Vol</t>
        </is>
      </c>
      <c r="I195" s="7" t="n">
        <v>100</v>
      </c>
      <c r="J195" s="8" t="n">
        <v>2</v>
      </c>
      <c r="K195" s="8" t="n"/>
      <c r="L195" s="4" t="inlineStr"/>
      <c r="M195" s="5" t="n">
        <v>21</v>
      </c>
      <c r="N195" s="5" t="n">
        <v>2</v>
      </c>
      <c r="O195" s="5" t="n"/>
      <c r="P195" s="4" t="inlineStr"/>
      <c r="Q195" s="4" t="inlineStr">
        <is>
          <t>Não</t>
        </is>
      </c>
      <c r="R195" s="4" t="inlineStr">
        <is>
          <t>Site (navegador)</t>
        </is>
      </c>
      <c r="S195" s="4" t="n">
        <v>1</v>
      </c>
      <c r="T195" s="4" t="inlineStr">
        <is>
          <t>Não</t>
        </is>
      </c>
      <c r="U195" s="4" t="inlineStr">
        <is>
          <t>Sim</t>
        </is>
      </c>
      <c r="V195" s="4" t="inlineStr">
        <is>
          <t>Não</t>
        </is>
      </c>
      <c r="W195" s="4" t="inlineStr"/>
    </row>
    <row r="196">
      <c r="A196" s="4" t="inlineStr">
        <is>
          <t>XP Investimentos</t>
        </is>
      </c>
      <c r="B196" s="4" t="inlineStr">
        <is>
          <t>Vrb Advisory Prev Fundo De Investimento Multimercado</t>
        </is>
      </c>
      <c r="C196" s="6" t="inlineStr">
        <is>
          <t>34.507.447/0001-73</t>
        </is>
      </c>
      <c r="D196" s="4" t="inlineStr">
        <is>
          <t>XP ADVISORY GESTAO DE RECURSOS LTDA</t>
        </is>
      </c>
      <c r="E196" s="4" t="inlineStr">
        <is>
          <t>15.289.957/0001-77</t>
        </is>
      </c>
      <c r="F196" s="4" t="inlineStr">
        <is>
          <t>XP Investimentos</t>
        </is>
      </c>
      <c r="G196" s="4" t="inlineStr">
        <is>
          <t>Multimercado</t>
        </is>
      </c>
      <c r="H196" s="4" t="inlineStr">
        <is>
          <t>Multiestratégia</t>
        </is>
      </c>
      <c r="I196" s="7" t="n">
        <v>100</v>
      </c>
      <c r="J196" s="8" t="n">
        <v>1</v>
      </c>
      <c r="K196" s="8" t="n"/>
      <c r="L196" s="4" t="inlineStr"/>
      <c r="M196" s="5" t="n">
        <v>6</v>
      </c>
      <c r="N196" s="5" t="n">
        <v>3</v>
      </c>
      <c r="O196" s="5" t="n"/>
      <c r="P196" s="4" t="inlineStr"/>
      <c r="Q196" s="4" t="inlineStr">
        <is>
          <t>Não</t>
        </is>
      </c>
      <c r="R196" s="4" t="inlineStr">
        <is>
          <t>Site (navegador)</t>
        </is>
      </c>
      <c r="S196" s="4" t="n">
        <v>1</v>
      </c>
      <c r="T196" s="4" t="inlineStr">
        <is>
          <t>Não</t>
        </is>
      </c>
      <c r="U196" s="4" t="inlineStr">
        <is>
          <t>Sim</t>
        </is>
      </c>
      <c r="V196" s="4" t="inlineStr">
        <is>
          <t>Não</t>
        </is>
      </c>
      <c r="W196" s="4" t="inlineStr"/>
    </row>
    <row r="197">
      <c r="A197" s="4" t="inlineStr">
        <is>
          <t>XP Investimentos</t>
        </is>
      </c>
      <c r="B197" s="4" t="inlineStr">
        <is>
          <t>Vrb Advisory Rf Prev Fundo De Investimento Multimercado Crédito Privado</t>
        </is>
      </c>
      <c r="C197" s="6" t="inlineStr">
        <is>
          <t>45.645.386/0001-27</t>
        </is>
      </c>
      <c r="D197" s="4" t="inlineStr">
        <is>
          <t>XP ADVISORY GESTAO DE RECURSOS LTDA</t>
        </is>
      </c>
      <c r="E197" s="4" t="inlineStr">
        <is>
          <t>15.289.957/0001-77</t>
        </is>
      </c>
      <c r="F197" s="4" t="inlineStr">
        <is>
          <t>XPI Administradora</t>
        </is>
      </c>
      <c r="G197" s="4" t="inlineStr">
        <is>
          <t>Multimercado</t>
        </is>
      </c>
      <c r="H197" s="4" t="inlineStr">
        <is>
          <t>Crédito High Grade</t>
        </is>
      </c>
      <c r="I197" s="7" t="n">
        <v>100</v>
      </c>
      <c r="J197" s="8" t="n">
        <v>0.74</v>
      </c>
      <c r="K197" s="8" t="n"/>
      <c r="L197" s="4" t="inlineStr"/>
      <c r="M197" s="5" t="n">
        <v>30</v>
      </c>
      <c r="N197" s="5" t="n">
        <v>2</v>
      </c>
      <c r="O197" s="5" t="n"/>
      <c r="P197" s="4" t="inlineStr"/>
      <c r="Q197" s="4" t="inlineStr">
        <is>
          <t>Não</t>
        </is>
      </c>
      <c r="R197" s="4" t="inlineStr">
        <is>
          <t>Site (navegador)</t>
        </is>
      </c>
      <c r="S197" s="4" t="n">
        <v>1</v>
      </c>
      <c r="T197" s="4" t="inlineStr">
        <is>
          <t>Não</t>
        </is>
      </c>
      <c r="U197" s="4" t="inlineStr">
        <is>
          <t>Sim</t>
        </is>
      </c>
      <c r="V197" s="4" t="inlineStr">
        <is>
          <t>Não</t>
        </is>
      </c>
      <c r="W197" s="4" t="inlineStr"/>
    </row>
    <row r="198">
      <c r="A198" s="4" t="inlineStr">
        <is>
          <t>XP Investimentos</t>
        </is>
      </c>
      <c r="B198" s="4" t="inlineStr">
        <is>
          <t>Western Asset Advisory XP Seg RF Ativo FI Prev</t>
        </is>
      </c>
      <c r="C198" s="6" t="inlineStr">
        <is>
          <t>32.346.713/0001-06</t>
        </is>
      </c>
      <c r="D198" s="4" t="inlineStr">
        <is>
          <t>Franklin Templeton Brasil Ltda.</t>
        </is>
      </c>
      <c r="E198" s="4" t="inlineStr">
        <is>
          <t>07.437.241/0001-41</t>
        </is>
      </c>
      <c r="F198" s="4" t="inlineStr">
        <is>
          <t>BNY Mellon DTVM</t>
        </is>
      </c>
      <c r="G198" s="4" t="inlineStr">
        <is>
          <t>Renda Fixa</t>
        </is>
      </c>
      <c r="H198" s="4" t="inlineStr">
        <is>
          <t>Renda Fixa Ativo</t>
        </is>
      </c>
      <c r="I198" s="7" t="n">
        <v>100</v>
      </c>
      <c r="J198" s="8" t="n">
        <v>0.8</v>
      </c>
      <c r="K198" s="8" t="n"/>
      <c r="L198" s="4" t="inlineStr"/>
      <c r="M198" s="5" t="n">
        <v>0</v>
      </c>
      <c r="N198" s="5" t="n">
        <v>1</v>
      </c>
      <c r="O198" s="5" t="n"/>
      <c r="P198" s="4" t="inlineStr"/>
      <c r="Q198" s="4" t="inlineStr">
        <is>
          <t>Não</t>
        </is>
      </c>
      <c r="R198" s="4" t="inlineStr">
        <is>
          <t>Site (navegador)</t>
        </is>
      </c>
      <c r="S198" s="4" t="n">
        <v>1</v>
      </c>
      <c r="T198" s="4" t="inlineStr">
        <is>
          <t>Não</t>
        </is>
      </c>
      <c r="U198" s="4" t="inlineStr">
        <is>
          <t>Sim</t>
        </is>
      </c>
      <c r="V198" s="4" t="inlineStr">
        <is>
          <t>Não</t>
        </is>
      </c>
      <c r="W198" s="4" t="inlineStr"/>
    </row>
    <row r="199">
      <c r="A199" s="4" t="inlineStr">
        <is>
          <t>XP Investimentos</t>
        </is>
      </c>
      <c r="B199" s="4" t="inlineStr">
        <is>
          <t>Western Asset Total Credit XP Seg Prev FIF RF CP RL</t>
        </is>
      </c>
      <c r="C199" s="6" t="inlineStr">
        <is>
          <t>67.654.705/0001-01</t>
        </is>
      </c>
      <c r="D199" s="4" t="inlineStr">
        <is>
          <t>Franklin Templeton Brasil Ltda.</t>
        </is>
      </c>
      <c r="E199" s="4" t="inlineStr">
        <is>
          <t>07.437.241/0001-41</t>
        </is>
      </c>
      <c r="F199" s="4" t="inlineStr">
        <is>
          <t>Intrag DTVM</t>
        </is>
      </c>
      <c r="G199" s="4" t="inlineStr">
        <is>
          <t>Renda Fixa</t>
        </is>
      </c>
      <c r="H199" s="4" t="inlineStr">
        <is>
          <t>Crédito Estruturado</t>
        </is>
      </c>
      <c r="I199" s="7" t="n">
        <v>100</v>
      </c>
      <c r="J199" s="8" t="n">
        <v>0.75</v>
      </c>
      <c r="K199" s="8" t="n"/>
      <c r="L199" s="4" t="inlineStr"/>
      <c r="M199" s="5" t="n">
        <v>6</v>
      </c>
      <c r="N199" s="5" t="n">
        <v>1</v>
      </c>
      <c r="O199" s="5" t="n"/>
      <c r="P199" s="4" t="inlineStr"/>
      <c r="Q199" s="4" t="inlineStr">
        <is>
          <t>Não</t>
        </is>
      </c>
      <c r="R199" s="4" t="inlineStr">
        <is>
          <t>Site (navegador)</t>
        </is>
      </c>
      <c r="S199" s="4" t="n">
        <v>1</v>
      </c>
      <c r="T199" s="4" t="inlineStr">
        <is>
          <t>Não</t>
        </is>
      </c>
      <c r="U199" s="4" t="inlineStr">
        <is>
          <t>Sim</t>
        </is>
      </c>
      <c r="V199" s="4" t="inlineStr">
        <is>
          <t>Não</t>
        </is>
      </c>
      <c r="W199" s="4" t="inlineStr"/>
    </row>
    <row r="200">
      <c r="A200" s="4" t="inlineStr">
        <is>
          <t>XP Investimentos</t>
        </is>
      </c>
      <c r="B200" s="4" t="inlineStr">
        <is>
          <t>Whg Rf Dinâmico Xp Seg Prev Ficfim Cp Rl</t>
        </is>
      </c>
      <c r="C200" s="6" t="inlineStr">
        <is>
          <t>43.860.077/0001-44</t>
        </is>
      </c>
      <c r="D200" s="4" t="inlineStr">
        <is>
          <t>XP VIDA E PREVIDÊNCIA S.A.</t>
        </is>
      </c>
      <c r="E200" s="4" t="inlineStr">
        <is>
          <t>29.408.732/0001-05</t>
        </is>
      </c>
      <c r="F200" s="4" t="inlineStr">
        <is>
          <t>XP Investimentos</t>
        </is>
      </c>
      <c r="G200" s="4" t="inlineStr">
        <is>
          <t>Multimercado</t>
        </is>
      </c>
      <c r="H200" s="4" t="inlineStr">
        <is>
          <t>Macro Baixa Vol</t>
        </is>
      </c>
      <c r="I200" s="7" t="n">
        <v>100</v>
      </c>
      <c r="J200" s="8" t="n">
        <v>1</v>
      </c>
      <c r="K200" s="8" t="n"/>
      <c r="L200" s="4" t="inlineStr"/>
      <c r="M200" s="5" t="n">
        <v>5</v>
      </c>
      <c r="N200" s="5" t="n">
        <v>1</v>
      </c>
      <c r="O200" s="5" t="n"/>
      <c r="P200" s="4" t="inlineStr"/>
      <c r="Q200" s="4" t="inlineStr">
        <is>
          <t>Não</t>
        </is>
      </c>
      <c r="R200" s="4" t="inlineStr">
        <is>
          <t>Site (navegador)</t>
        </is>
      </c>
      <c r="S200" s="4" t="n">
        <v>1</v>
      </c>
      <c r="T200" s="4" t="inlineStr">
        <is>
          <t>Não</t>
        </is>
      </c>
      <c r="U200" s="4" t="inlineStr">
        <is>
          <t>Sim</t>
        </is>
      </c>
      <c r="V200" s="4" t="inlineStr">
        <is>
          <t>Não</t>
        </is>
      </c>
      <c r="W200" s="4" t="inlineStr"/>
    </row>
    <row r="201">
      <c r="A201" s="4" t="inlineStr">
        <is>
          <t>XP Investimentos</t>
        </is>
      </c>
      <c r="B201" s="4" t="inlineStr">
        <is>
          <t>XP Advisory Portfolio Private II Prev FIM CP</t>
        </is>
      </c>
      <c r="C201" s="6" t="inlineStr">
        <is>
          <t>34.475.199/0001-26</t>
        </is>
      </c>
      <c r="D201" s="4" t="inlineStr">
        <is>
          <t>XP ADVISORY GESTAO DE RECURSOS LTDA</t>
        </is>
      </c>
      <c r="E201" s="4" t="inlineStr">
        <is>
          <t>15.289.957/0001-77</t>
        </is>
      </c>
      <c r="F201" s="4" t="inlineStr">
        <is>
          <t>XP Investimentos</t>
        </is>
      </c>
      <c r="G201" s="4" t="inlineStr">
        <is>
          <t>Multimercado</t>
        </is>
      </c>
      <c r="H201" s="4" t="inlineStr">
        <is>
          <t>Multiestratégia</t>
        </is>
      </c>
      <c r="I201" s="7" t="n">
        <v>300000</v>
      </c>
      <c r="J201" s="8" t="n">
        <v>0.55</v>
      </c>
      <c r="K201" s="8" t="n"/>
      <c r="L201" s="4" t="inlineStr"/>
      <c r="M201" s="5" t="n">
        <v>1</v>
      </c>
      <c r="N201" s="5" t="n">
        <v>2</v>
      </c>
      <c r="O201" s="5" t="n"/>
      <c r="P201" s="4" t="inlineStr"/>
      <c r="Q201" s="4" t="inlineStr">
        <is>
          <t>Não</t>
        </is>
      </c>
      <c r="R201" s="4" t="inlineStr">
        <is>
          <t>Site (navegador)</t>
        </is>
      </c>
      <c r="S201" s="4" t="n">
        <v>1</v>
      </c>
      <c r="T201" s="4" t="inlineStr">
        <is>
          <t>Não</t>
        </is>
      </c>
      <c r="U201" s="4" t="inlineStr">
        <is>
          <t>Sim</t>
        </is>
      </c>
      <c r="V201" s="4" t="inlineStr">
        <is>
          <t>Não</t>
        </is>
      </c>
      <c r="W201" s="4" t="inlineStr"/>
    </row>
    <row r="202">
      <c r="A202" s="4" t="inlineStr">
        <is>
          <t>XP Investimentos</t>
        </is>
      </c>
      <c r="B202" s="4" t="inlineStr">
        <is>
          <t>XP Advisory Portfolio Private III Prev FIM CP</t>
        </is>
      </c>
      <c r="C202" s="6" t="inlineStr">
        <is>
          <t>34.475.378/0001-63</t>
        </is>
      </c>
      <c r="D202" s="4" t="inlineStr">
        <is>
          <t>XP ADVISORY GESTAO DE RECURSOS LTDA</t>
        </is>
      </c>
      <c r="E202" s="4" t="inlineStr">
        <is>
          <t>15.289.957/0001-77</t>
        </is>
      </c>
      <c r="F202" s="4" t="inlineStr">
        <is>
          <t>XP Investimentos</t>
        </is>
      </c>
      <c r="G202" s="4" t="inlineStr">
        <is>
          <t>Multimercado</t>
        </is>
      </c>
      <c r="H202" s="4" t="inlineStr">
        <is>
          <t>Multiestratégia</t>
        </is>
      </c>
      <c r="I202" s="7" t="n">
        <v>300000</v>
      </c>
      <c r="J202" s="8" t="n">
        <v>0.6</v>
      </c>
      <c r="K202" s="8" t="n"/>
      <c r="L202" s="4" t="inlineStr"/>
      <c r="M202" s="5" t="n">
        <v>15</v>
      </c>
      <c r="N202" s="5" t="n">
        <v>2</v>
      </c>
      <c r="O202" s="5" t="n"/>
      <c r="P202" s="4" t="inlineStr"/>
      <c r="Q202" s="4" t="inlineStr">
        <is>
          <t>Não</t>
        </is>
      </c>
      <c r="R202" s="4" t="inlineStr">
        <is>
          <t>Site (navegador)</t>
        </is>
      </c>
      <c r="S202" s="4" t="n">
        <v>1</v>
      </c>
      <c r="T202" s="4" t="inlineStr">
        <is>
          <t>Não</t>
        </is>
      </c>
      <c r="U202" s="4" t="inlineStr">
        <is>
          <t>Sim</t>
        </is>
      </c>
      <c r="V202" s="4" t="inlineStr">
        <is>
          <t>Não</t>
        </is>
      </c>
      <c r="W202" s="4" t="inlineStr"/>
    </row>
    <row r="203">
      <c r="A203" s="4" t="inlineStr">
        <is>
          <t>XP Investimentos</t>
        </is>
      </c>
      <c r="B203" s="4" t="inlineStr">
        <is>
          <t>XP Corporate Top CP XP Seg Prev FIC FIM RL</t>
        </is>
      </c>
      <c r="C203" s="6" t="inlineStr">
        <is>
          <t>43.636.010/0001-20</t>
        </is>
      </c>
      <c r="D203" s="4" t="inlineStr">
        <is>
          <t>XP VISTA ASSET MANAGEMENT LTDA.</t>
        </is>
      </c>
      <c r="E203" s="4" t="inlineStr">
        <is>
          <t>16.789.525/0001-98</t>
        </is>
      </c>
      <c r="F203" s="4" t="inlineStr">
        <is>
          <t>XPI Administradora - Modal</t>
        </is>
      </c>
      <c r="G203" s="4" t="inlineStr">
        <is>
          <t>Multimercado</t>
        </is>
      </c>
      <c r="H203" s="4" t="inlineStr">
        <is>
          <t>Crédito High Grade</t>
        </is>
      </c>
      <c r="I203" s="7" t="n">
        <v>100</v>
      </c>
      <c r="J203" s="8" t="n">
        <v>0.8</v>
      </c>
      <c r="K203" s="8" t="n"/>
      <c r="L203" s="4" t="inlineStr"/>
      <c r="M203" s="5" t="n">
        <v>6</v>
      </c>
      <c r="N203" s="5" t="n">
        <v>1</v>
      </c>
      <c r="O203" s="5" t="n"/>
      <c r="P203" s="4" t="inlineStr"/>
      <c r="Q203" s="4" t="inlineStr">
        <is>
          <t>Não</t>
        </is>
      </c>
      <c r="R203" s="4" t="inlineStr">
        <is>
          <t>Site (navegador)</t>
        </is>
      </c>
      <c r="S203" s="4" t="n">
        <v>1</v>
      </c>
      <c r="T203" s="4" t="inlineStr">
        <is>
          <t>Não</t>
        </is>
      </c>
      <c r="U203" s="4" t="inlineStr">
        <is>
          <t>Sim</t>
        </is>
      </c>
      <c r="V203" s="4" t="inlineStr">
        <is>
          <t>Não</t>
        </is>
      </c>
      <c r="W203" s="4" t="inlineStr"/>
    </row>
    <row r="204">
      <c r="A204" s="4" t="inlineStr">
        <is>
          <t>XP Investimentos</t>
        </is>
      </c>
      <c r="B204" s="4" t="inlineStr">
        <is>
          <t>XP Crédito Estruturado XP Seg Prev FIC FIRF</t>
        </is>
      </c>
      <c r="C204" s="6" t="inlineStr">
        <is>
          <t>36.352.610/0001-00</t>
        </is>
      </c>
      <c r="D204" s="4" t="inlineStr">
        <is>
          <t>XP VIDA E PREVIDÊNCIA S.A.</t>
        </is>
      </c>
      <c r="E204" s="4" t="inlineStr">
        <is>
          <t>29.408.732/0001-05</t>
        </is>
      </c>
      <c r="F204" s="4" t="inlineStr">
        <is>
          <t>BNY Mellon DTVM</t>
        </is>
      </c>
      <c r="G204" s="4" t="inlineStr">
        <is>
          <t>Renda Fixa</t>
        </is>
      </c>
      <c r="H204" s="4" t="inlineStr">
        <is>
          <t>Crédito High Yield</t>
        </is>
      </c>
      <c r="I204" s="7" t="n">
        <v>100</v>
      </c>
      <c r="J204" s="8" t="n">
        <v>0.5</v>
      </c>
      <c r="K204" s="8" t="n"/>
      <c r="L204" s="4" t="inlineStr"/>
      <c r="M204" s="5" t="n">
        <v>7</v>
      </c>
      <c r="N204" s="5" t="n">
        <v>2</v>
      </c>
      <c r="O204" s="5" t="n"/>
      <c r="P204" s="4" t="inlineStr"/>
      <c r="Q204" s="4" t="inlineStr">
        <is>
          <t>Não</t>
        </is>
      </c>
      <c r="R204" s="4" t="inlineStr">
        <is>
          <t>Site (navegador)</t>
        </is>
      </c>
      <c r="S204" s="4" t="n">
        <v>1</v>
      </c>
      <c r="T204" s="4" t="inlineStr">
        <is>
          <t>Não</t>
        </is>
      </c>
      <c r="U204" s="4" t="inlineStr">
        <is>
          <t>Sim</t>
        </is>
      </c>
      <c r="V204" s="4" t="inlineStr">
        <is>
          <t>Não</t>
        </is>
      </c>
      <c r="W204" s="4" t="inlineStr"/>
    </row>
    <row r="205">
      <c r="A205" s="4" t="inlineStr">
        <is>
          <t>XP Investimentos</t>
        </is>
      </c>
      <c r="B205" s="4" t="inlineStr">
        <is>
          <t>XP Horizonte XP Seg FIC FIRF Prev RL</t>
        </is>
      </c>
      <c r="C205" s="6" t="inlineStr">
        <is>
          <t>32.064.950/0001-76</t>
        </is>
      </c>
      <c r="D205" s="4" t="inlineStr">
        <is>
          <t>XP VISTA ASSET MANAGEMENT LTDA.</t>
        </is>
      </c>
      <c r="E205" s="4" t="inlineStr">
        <is>
          <t>16.789.525/0001-98</t>
        </is>
      </c>
      <c r="F205" s="4" t="inlineStr">
        <is>
          <t>BNY Mellon DTVM</t>
        </is>
      </c>
      <c r="G205" s="4" t="inlineStr">
        <is>
          <t>Renda Fixa</t>
        </is>
      </c>
      <c r="H205" s="4" t="inlineStr">
        <is>
          <t>Renda Fixa Ativo</t>
        </is>
      </c>
      <c r="I205" s="7" t="n">
        <v>100</v>
      </c>
      <c r="J205" s="8" t="n">
        <v>0.7</v>
      </c>
      <c r="K205" s="8" t="n"/>
      <c r="L205" s="4" t="inlineStr"/>
      <c r="M205" s="5" t="n">
        <v>0</v>
      </c>
      <c r="N205" s="5" t="n">
        <v>1</v>
      </c>
      <c r="O205" s="5" t="n"/>
      <c r="P205" s="4" t="inlineStr"/>
      <c r="Q205" s="4" t="inlineStr">
        <is>
          <t>Não</t>
        </is>
      </c>
      <c r="R205" s="4" t="inlineStr">
        <is>
          <t>Site (navegador)</t>
        </is>
      </c>
      <c r="S205" s="4" t="n">
        <v>1</v>
      </c>
      <c r="T205" s="4" t="inlineStr">
        <is>
          <t>Não</t>
        </is>
      </c>
      <c r="U205" s="4" t="inlineStr">
        <is>
          <t>Sim</t>
        </is>
      </c>
      <c r="V205" s="4" t="inlineStr">
        <is>
          <t>Não</t>
        </is>
      </c>
      <c r="W205" s="4" t="inlineStr"/>
    </row>
    <row r="206">
      <c r="A206" s="4" t="inlineStr">
        <is>
          <t>XP Investimentos</t>
        </is>
      </c>
      <c r="B206" s="4" t="inlineStr">
        <is>
          <t>XP Icatu Horizonte Macro Prev FIM</t>
        </is>
      </c>
      <c r="C206" s="6" t="inlineStr">
        <is>
          <t>18.927.174/0001-60</t>
        </is>
      </c>
      <c r="D206" s="4" t="inlineStr">
        <is>
          <t>XP GESTÃO DE RECURSOS LTDA</t>
        </is>
      </c>
      <c r="E206" s="4" t="inlineStr">
        <is>
          <t>07.625.200/0001-89</t>
        </is>
      </c>
      <c r="F206" s="4" t="inlineStr">
        <is>
          <t>BNY Mellon DTVM</t>
        </is>
      </c>
      <c r="G206" s="4" t="inlineStr">
        <is>
          <t>Multimercado</t>
        </is>
      </c>
      <c r="H206" s="4" t="inlineStr">
        <is>
          <t>Macro Baixa Vol</t>
        </is>
      </c>
      <c r="I206" s="7" t="n">
        <v>500</v>
      </c>
      <c r="J206" s="8" t="n">
        <v>2</v>
      </c>
      <c r="K206" s="8" t="n"/>
      <c r="L206" s="4" t="inlineStr"/>
      <c r="M206" s="5" t="n">
        <v>3</v>
      </c>
      <c r="N206" s="5" t="n">
        <v>1</v>
      </c>
      <c r="O206" s="5" t="n"/>
      <c r="P206" s="4" t="inlineStr"/>
      <c r="Q206" s="4" t="inlineStr">
        <is>
          <t>Sim</t>
        </is>
      </c>
      <c r="R206" s="4" t="inlineStr">
        <is>
          <t>Site (navegador)</t>
        </is>
      </c>
      <c r="S206" s="4" t="n">
        <v>1</v>
      </c>
      <c r="T206" s="4" t="inlineStr">
        <is>
          <t>Não</t>
        </is>
      </c>
      <c r="U206" s="4" t="inlineStr">
        <is>
          <t>Sim</t>
        </is>
      </c>
      <c r="V206" s="4" t="inlineStr">
        <is>
          <t>Não</t>
        </is>
      </c>
      <c r="W206" s="4" t="inlineStr"/>
    </row>
    <row r="207">
      <c r="A207" s="4" t="inlineStr">
        <is>
          <t>XP Investimentos</t>
        </is>
      </c>
      <c r="B207" s="4" t="inlineStr">
        <is>
          <t>XP Icatu Horizonte Prev FIC FIRF</t>
        </is>
      </c>
      <c r="C207" s="6" t="inlineStr">
        <is>
          <t>18.897.562/0001-45</t>
        </is>
      </c>
      <c r="D207" s="4" t="inlineStr">
        <is>
          <t>XP VISTA ASSET MANAGEMENT LTDA.</t>
        </is>
      </c>
      <c r="E207" s="4" t="inlineStr">
        <is>
          <t>16.789.525/0001-98</t>
        </is>
      </c>
      <c r="F207" s="4" t="inlineStr">
        <is>
          <t>BNY Mellon DTVM</t>
        </is>
      </c>
      <c r="G207" s="4" t="inlineStr">
        <is>
          <t>Renda Fixa</t>
        </is>
      </c>
      <c r="H207" s="4" t="inlineStr">
        <is>
          <t>Renda Fixa Ativo</t>
        </is>
      </c>
      <c r="I207" s="7" t="n">
        <v>500</v>
      </c>
      <c r="J207" s="8" t="n">
        <v>0.8</v>
      </c>
      <c r="K207" s="8" t="n"/>
      <c r="L207" s="4" t="inlineStr"/>
      <c r="M207" s="5" t="n">
        <v>1</v>
      </c>
      <c r="N207" s="5" t="n">
        <v>3</v>
      </c>
      <c r="O207" s="5" t="n"/>
      <c r="P207" s="4" t="inlineStr"/>
      <c r="Q207" s="4" t="inlineStr">
        <is>
          <t>Sim</t>
        </is>
      </c>
      <c r="R207" s="4" t="inlineStr">
        <is>
          <t>Site (navegador)</t>
        </is>
      </c>
      <c r="S207" s="4" t="n">
        <v>1</v>
      </c>
      <c r="T207" s="4" t="inlineStr">
        <is>
          <t>Não</t>
        </is>
      </c>
      <c r="U207" s="4" t="inlineStr">
        <is>
          <t>Sim</t>
        </is>
      </c>
      <c r="V207" s="4" t="inlineStr">
        <is>
          <t>Não</t>
        </is>
      </c>
      <c r="W207" s="4" t="inlineStr"/>
    </row>
    <row r="208">
      <c r="A208" s="4" t="inlineStr">
        <is>
          <t>XP Investimentos</t>
        </is>
      </c>
      <c r="B208" s="4" t="inlineStr">
        <is>
          <t>XP Income FIE Seg FIE FIC FIRF RL</t>
        </is>
      </c>
      <c r="C208" s="6" t="inlineStr">
        <is>
          <t>34.461.635/0001-08</t>
        </is>
      </c>
      <c r="D208" s="4" t="inlineStr">
        <is>
          <t>XP GESTÃO DE RECURSOS LTDA</t>
        </is>
      </c>
      <c r="E208" s="4" t="inlineStr">
        <is>
          <t>07.625.200/0001-89</t>
        </is>
      </c>
      <c r="F208" s="4" t="inlineStr">
        <is>
          <t>BNY Mellon DTVM</t>
        </is>
      </c>
      <c r="G208" s="4" t="inlineStr">
        <is>
          <t>Renda Fixa</t>
        </is>
      </c>
      <c r="H208" s="4" t="inlineStr">
        <is>
          <t>Renda Fixa Ativo</t>
        </is>
      </c>
      <c r="I208" s="7" t="n">
        <v>100</v>
      </c>
      <c r="J208" s="8" t="n">
        <v>0.9</v>
      </c>
      <c r="K208" s="8" t="n"/>
      <c r="L208" s="4" t="inlineStr"/>
      <c r="M208" s="5" t="n">
        <v>7</v>
      </c>
      <c r="N208" s="5" t="n">
        <v>1</v>
      </c>
      <c r="O208" s="5" t="n"/>
      <c r="P208" s="4" t="inlineStr"/>
      <c r="Q208" s="4" t="inlineStr">
        <is>
          <t>Não</t>
        </is>
      </c>
      <c r="R208" s="4" t="inlineStr">
        <is>
          <t>Site (navegador)</t>
        </is>
      </c>
      <c r="S208" s="4" t="n">
        <v>1</v>
      </c>
      <c r="T208" s="4" t="inlineStr">
        <is>
          <t>Não</t>
        </is>
      </c>
      <c r="U208" s="4" t="inlineStr">
        <is>
          <t>Sim</t>
        </is>
      </c>
      <c r="V208" s="4" t="inlineStr">
        <is>
          <t>Não</t>
        </is>
      </c>
      <c r="W208" s="4" t="inlineStr"/>
    </row>
    <row r="209">
      <c r="A209" s="4" t="inlineStr">
        <is>
          <t>XP Investimentos</t>
        </is>
      </c>
      <c r="B209" s="4" t="inlineStr">
        <is>
          <t>XP Macro XP Seg Prev FIC FIM RL</t>
        </is>
      </c>
      <c r="C209" s="6" t="inlineStr">
        <is>
          <t>34.309.549/0001-84</t>
        </is>
      </c>
      <c r="D209" s="4" t="inlineStr">
        <is>
          <t>XP GESTÃO DE RECURSOS LTDA</t>
        </is>
      </c>
      <c r="E209" s="4" t="inlineStr">
        <is>
          <t>07.625.200/0001-89</t>
        </is>
      </c>
      <c r="F209" s="4" t="inlineStr">
        <is>
          <t>BNY Mellon DTVM</t>
        </is>
      </c>
      <c r="G209" s="4" t="inlineStr">
        <is>
          <t>Multimercado</t>
        </is>
      </c>
      <c r="H209" s="4" t="inlineStr">
        <is>
          <t>Macro Média Vol</t>
        </is>
      </c>
      <c r="I209" s="7" t="n">
        <v>100</v>
      </c>
      <c r="J209" s="8" t="n">
        <v>2</v>
      </c>
      <c r="K209" s="8" t="n"/>
      <c r="L209" s="4" t="inlineStr"/>
      <c r="M209" s="5" t="n">
        <v>8</v>
      </c>
      <c r="N209" s="5" t="n">
        <v>1</v>
      </c>
      <c r="O209" s="5" t="n"/>
      <c r="P209" s="4" t="inlineStr"/>
      <c r="Q209" s="4" t="inlineStr">
        <is>
          <t>Não</t>
        </is>
      </c>
      <c r="R209" s="4" t="inlineStr">
        <is>
          <t>Site (navegador)</t>
        </is>
      </c>
      <c r="S209" s="4" t="n">
        <v>1</v>
      </c>
      <c r="T209" s="4" t="inlineStr">
        <is>
          <t>Não</t>
        </is>
      </c>
      <c r="U209" s="4" t="inlineStr">
        <is>
          <t>Sim</t>
        </is>
      </c>
      <c r="V209" s="4" t="inlineStr">
        <is>
          <t>Não</t>
        </is>
      </c>
      <c r="W209" s="4" t="inlineStr"/>
    </row>
    <row r="210">
      <c r="A210" s="4" t="inlineStr">
        <is>
          <t>XP Investimentos</t>
        </is>
      </c>
      <c r="B210" s="4" t="inlineStr">
        <is>
          <t>XP Seg Superprev 2 FIM</t>
        </is>
      </c>
      <c r="C210" s="6" t="inlineStr">
        <is>
          <t>37.900.216/0001-13</t>
        </is>
      </c>
      <c r="D210" s="4" t="inlineStr">
        <is>
          <t>XP VIDA E PREVIDÊNCIA S.A.</t>
        </is>
      </c>
      <c r="E210" s="4" t="inlineStr">
        <is>
          <t>29.408.732/0001-05</t>
        </is>
      </c>
      <c r="F210" s="4" t="inlineStr">
        <is>
          <t>BNY Mellon DTVM</t>
        </is>
      </c>
      <c r="G210" s="4" t="inlineStr">
        <is>
          <t>Multimercado</t>
        </is>
      </c>
      <c r="H210" s="4" t="inlineStr">
        <is>
          <t>Multiestratégia</t>
        </is>
      </c>
      <c r="I210" s="7" t="n">
        <v>100</v>
      </c>
      <c r="J210" s="8" t="n">
        <v>0.6</v>
      </c>
      <c r="K210" s="8" t="n"/>
      <c r="L210" s="4" t="inlineStr"/>
      <c r="M210" s="5" t="n">
        <v>7</v>
      </c>
      <c r="N210" s="5" t="n">
        <v>2</v>
      </c>
      <c r="O210" s="5" t="n"/>
      <c r="P210" s="4" t="inlineStr"/>
      <c r="Q210" s="4" t="inlineStr">
        <is>
          <t>Não</t>
        </is>
      </c>
      <c r="R210" s="4" t="inlineStr">
        <is>
          <t>Site (navegador)</t>
        </is>
      </c>
      <c r="S210" s="4" t="n">
        <v>1</v>
      </c>
      <c r="T210" s="4" t="inlineStr">
        <is>
          <t>Não</t>
        </is>
      </c>
      <c r="U210" s="4" t="inlineStr">
        <is>
          <t>Sim</t>
        </is>
      </c>
      <c r="V210" s="4" t="inlineStr">
        <is>
          <t>Não</t>
        </is>
      </c>
      <c r="W210" s="4" t="inlineStr"/>
    </row>
    <row r="211">
      <c r="A211" s="4" t="inlineStr">
        <is>
          <t>XP Investimentos</t>
        </is>
      </c>
      <c r="B211" s="4" t="inlineStr">
        <is>
          <t>XP Seg Superprev FIM</t>
        </is>
      </c>
      <c r="C211" s="6" t="inlineStr">
        <is>
          <t>35.420.569/0001-90</t>
        </is>
      </c>
      <c r="D211" s="4" t="inlineStr">
        <is>
          <t>XP VIDA E PREVIDÊNCIA S.A.</t>
        </is>
      </c>
      <c r="E211" s="4" t="inlineStr">
        <is>
          <t>29.408.732/0001-05</t>
        </is>
      </c>
      <c r="F211" s="4" t="inlineStr">
        <is>
          <t>BNY Mellon DTVM</t>
        </is>
      </c>
      <c r="G211" s="4" t="inlineStr">
        <is>
          <t>Multimercado</t>
        </is>
      </c>
      <c r="H211" s="4" t="inlineStr">
        <is>
          <t>Multiestratégia</t>
        </is>
      </c>
      <c r="I211" s="7" t="n">
        <v>100</v>
      </c>
      <c r="J211" s="8" t="n">
        <v>0.6</v>
      </c>
      <c r="K211" s="8" t="n"/>
      <c r="L211" s="4" t="inlineStr"/>
      <c r="M211" s="5" t="n">
        <v>7</v>
      </c>
      <c r="N211" s="5" t="n">
        <v>2</v>
      </c>
      <c r="O211" s="5" t="n"/>
      <c r="P211" s="4" t="inlineStr"/>
      <c r="Q211" s="4" t="inlineStr">
        <is>
          <t>Não</t>
        </is>
      </c>
      <c r="R211" s="4" t="inlineStr">
        <is>
          <t>Site (navegador)</t>
        </is>
      </c>
      <c r="S211" s="4" t="n">
        <v>1</v>
      </c>
      <c r="T211" s="4" t="inlineStr">
        <is>
          <t>Não</t>
        </is>
      </c>
      <c r="U211" s="4" t="inlineStr">
        <is>
          <t>Sim</t>
        </is>
      </c>
      <c r="V211" s="4" t="inlineStr">
        <is>
          <t>Não</t>
        </is>
      </c>
      <c r="W211" s="4" t="inlineStr"/>
    </row>
    <row r="212">
      <c r="A212" s="4" t="inlineStr">
        <is>
          <t>XP Investimentos</t>
        </is>
      </c>
      <c r="B212" s="4" t="inlineStr">
        <is>
          <t>XP Strategy III Prev FIC FIM RL</t>
        </is>
      </c>
      <c r="C212" s="6" t="inlineStr">
        <is>
          <t>46.099.658/0001-01</t>
        </is>
      </c>
      <c r="D212" s="4" t="inlineStr">
        <is>
          <t>XP VIDA E PREVIDÊNCIA S.A.</t>
        </is>
      </c>
      <c r="E212" s="4" t="inlineStr">
        <is>
          <t>29.408.732/0001-05</t>
        </is>
      </c>
      <c r="F212" s="4" t="inlineStr">
        <is>
          <t>XP Investimentos</t>
        </is>
      </c>
      <c r="G212" s="4" t="inlineStr">
        <is>
          <t>Multimercado</t>
        </is>
      </c>
      <c r="H212" s="4" t="inlineStr">
        <is>
          <t>Macro Alta Vol</t>
        </is>
      </c>
      <c r="I212" s="7" t="n">
        <v>100</v>
      </c>
      <c r="J212" s="8" t="n">
        <v>2</v>
      </c>
      <c r="K212" s="8" t="n"/>
      <c r="L212" s="4" t="inlineStr"/>
      <c r="M212" s="5" t="n">
        <v>8</v>
      </c>
      <c r="N212" s="5" t="n">
        <v>1</v>
      </c>
      <c r="O212" s="5" t="n"/>
      <c r="P212" s="4" t="inlineStr"/>
      <c r="Q212" s="4" t="inlineStr">
        <is>
          <t>Não</t>
        </is>
      </c>
      <c r="R212" s="4" t="inlineStr">
        <is>
          <t>Site (navegador)</t>
        </is>
      </c>
      <c r="S212" s="4" t="n">
        <v>1</v>
      </c>
      <c r="T212" s="4" t="inlineStr">
        <is>
          <t>Não</t>
        </is>
      </c>
      <c r="U212" s="4" t="inlineStr">
        <is>
          <t>Sim</t>
        </is>
      </c>
      <c r="V212" s="4" t="inlineStr">
        <is>
          <t>Não</t>
        </is>
      </c>
      <c r="W212" s="4" t="inlineStr"/>
    </row>
    <row r="213">
      <c r="A213" s="4" t="inlineStr">
        <is>
          <t>XP Investimentos</t>
        </is>
      </c>
      <c r="B213" s="4" t="inlineStr">
        <is>
          <t>Xp Corporate Light Cp Xp Seg Fic Rf Rl</t>
        </is>
      </c>
      <c r="C213" s="6" t="inlineStr">
        <is>
          <t>30.910.166/0001-06</t>
        </is>
      </c>
      <c r="D213" s="4" t="inlineStr">
        <is>
          <t>XP VISTA ASSET MANAGEMENT LTDA.</t>
        </is>
      </c>
      <c r="E213" s="4" t="inlineStr">
        <is>
          <t>16.789.525/0001-98</t>
        </is>
      </c>
      <c r="F213" s="4" t="inlineStr">
        <is>
          <t>XPI Administradora</t>
        </is>
      </c>
      <c r="G213" s="4" t="inlineStr">
        <is>
          <t>Renda Fixa</t>
        </is>
      </c>
      <c r="H213" s="4" t="inlineStr">
        <is>
          <t>Crédito High Grade</t>
        </is>
      </c>
      <c r="I213" s="7" t="n">
        <v>100</v>
      </c>
      <c r="J213" s="8" t="n">
        <v>0.5</v>
      </c>
      <c r="K213" s="8" t="n"/>
      <c r="L213" s="4" t="inlineStr"/>
      <c r="M213" s="5" t="n">
        <v>0</v>
      </c>
      <c r="N213" s="5" t="n">
        <v>1</v>
      </c>
      <c r="O213" s="5" t="n"/>
      <c r="P213" s="4" t="inlineStr"/>
      <c r="Q213" s="4" t="inlineStr">
        <is>
          <t>Não</t>
        </is>
      </c>
      <c r="R213" s="4" t="inlineStr">
        <is>
          <t>Site (navegador)</t>
        </is>
      </c>
      <c r="S213" s="4" t="n">
        <v>1</v>
      </c>
      <c r="T213" s="4" t="inlineStr">
        <is>
          <t>Não</t>
        </is>
      </c>
      <c r="U213" s="4" t="inlineStr">
        <is>
          <t>Sim</t>
        </is>
      </c>
      <c r="V213" s="4" t="inlineStr">
        <is>
          <t>Não</t>
        </is>
      </c>
      <c r="W213" s="4" t="inlineStr"/>
    </row>
    <row r="214">
      <c r="A214" s="4" t="inlineStr">
        <is>
          <t>XP Investimentos</t>
        </is>
      </c>
      <c r="B214" s="4" t="inlineStr">
        <is>
          <t>Xp Crédito Estruturado High Yield Xp Seg Prev Fic Fim Cp</t>
        </is>
      </c>
      <c r="C214" s="6" t="inlineStr">
        <is>
          <t>41.035.946/0001-70</t>
        </is>
      </c>
      <c r="D214" s="4" t="inlineStr">
        <is>
          <t>XP VISTA ASSET MANAGEMENT LTDA.</t>
        </is>
      </c>
      <c r="E214" s="4" t="inlineStr">
        <is>
          <t>16.789.525/0001-98</t>
        </is>
      </c>
      <c r="F214" s="4" t="inlineStr">
        <is>
          <t>XPI Administradora - Modal</t>
        </is>
      </c>
      <c r="G214" s="4" t="inlineStr">
        <is>
          <t>Multimercado</t>
        </is>
      </c>
      <c r="H214" s="4" t="inlineStr">
        <is>
          <t>Crédito High Yield</t>
        </is>
      </c>
      <c r="I214" s="7" t="n">
        <v>100</v>
      </c>
      <c r="J214" s="8" t="n">
        <v>1.5</v>
      </c>
      <c r="K214" s="8" t="n"/>
      <c r="L214" s="4" t="inlineStr"/>
      <c r="M214" s="5" t="n">
        <v>90</v>
      </c>
      <c r="N214" s="5" t="n">
        <v>2</v>
      </c>
      <c r="O214" s="5" t="n"/>
      <c r="P214" s="4" t="inlineStr"/>
      <c r="Q214" s="4" t="inlineStr">
        <is>
          <t>Não</t>
        </is>
      </c>
      <c r="R214" s="4" t="inlineStr">
        <is>
          <t>Site (navegador)</t>
        </is>
      </c>
      <c r="S214" s="4" t="n">
        <v>1</v>
      </c>
      <c r="T214" s="4" t="inlineStr">
        <is>
          <t>Não</t>
        </is>
      </c>
      <c r="U214" s="4" t="inlineStr">
        <is>
          <t>Sim</t>
        </is>
      </c>
      <c r="V214" s="4" t="inlineStr">
        <is>
          <t>Não</t>
        </is>
      </c>
      <c r="W214" s="4" t="inlineStr"/>
    </row>
    <row r="215">
      <c r="A215" s="4" t="inlineStr">
        <is>
          <t>XP Investimentos</t>
        </is>
      </c>
      <c r="B215" s="4" t="inlineStr">
        <is>
          <t>Xp Equity Hedge Seguros Prev I Fic Fim Rl</t>
        </is>
      </c>
      <c r="C215" s="6" t="inlineStr">
        <is>
          <t>32.990.465/0001-23</t>
        </is>
      </c>
      <c r="D215" s="4" t="inlineStr">
        <is>
          <t>XP VIDA E PREVIDÊNCIA S.A.</t>
        </is>
      </c>
      <c r="E215" s="4" t="inlineStr">
        <is>
          <t>29.408.732/0001-05</t>
        </is>
      </c>
      <c r="F215" s="4" t="inlineStr">
        <is>
          <t>XP Investimentos</t>
        </is>
      </c>
      <c r="G215" s="4" t="inlineStr">
        <is>
          <t>Multimercado</t>
        </is>
      </c>
      <c r="H215" s="4" t="inlineStr">
        <is>
          <t>Long Short Direcional</t>
        </is>
      </c>
      <c r="I215" s="7" t="n">
        <v>100</v>
      </c>
      <c r="J215" s="8" t="n">
        <v>2</v>
      </c>
      <c r="K215" s="8" t="n"/>
      <c r="L215" s="4" t="inlineStr"/>
      <c r="M215" s="5" t="n">
        <v>22</v>
      </c>
      <c r="N215" s="5" t="n">
        <v>2</v>
      </c>
      <c r="O215" s="5" t="n"/>
      <c r="P215" s="4" t="inlineStr"/>
      <c r="Q215" s="4" t="inlineStr">
        <is>
          <t>Não</t>
        </is>
      </c>
      <c r="R215" s="4" t="inlineStr">
        <is>
          <t>Site (navegador)</t>
        </is>
      </c>
      <c r="S215" s="4" t="n">
        <v>1</v>
      </c>
      <c r="T215" s="4" t="inlineStr">
        <is>
          <t>Não</t>
        </is>
      </c>
      <c r="U215" s="4" t="inlineStr">
        <is>
          <t>Sim</t>
        </is>
      </c>
      <c r="V215" s="4" t="inlineStr">
        <is>
          <t>Não</t>
        </is>
      </c>
      <c r="W215" s="4" t="inlineStr"/>
    </row>
    <row r="216">
      <c r="A216" s="4" t="inlineStr">
        <is>
          <t>XP Investimentos</t>
        </is>
      </c>
      <c r="B216" s="4" t="inlineStr">
        <is>
          <t>Xp Liquidez 50 Firf Rl</t>
        </is>
      </c>
      <c r="C216" s="6" t="inlineStr">
        <is>
          <t>52.986.302/0001-84</t>
        </is>
      </c>
      <c r="D216" s="4" t="inlineStr">
        <is>
          <t>XP VISTA ASSET MANAGEMENT LTDA.</t>
        </is>
      </c>
      <c r="E216" s="4" t="inlineStr">
        <is>
          <t>16.789.525/0001-98</t>
        </is>
      </c>
      <c r="F216" s="4" t="inlineStr">
        <is>
          <t>BNY Mellon DTVM</t>
        </is>
      </c>
      <c r="G216" s="4" t="inlineStr">
        <is>
          <t>Renda Fixa</t>
        </is>
      </c>
      <c r="H216" s="4" t="inlineStr">
        <is>
          <t>Crédito Liquidez</t>
        </is>
      </c>
      <c r="I216" s="7" t="n">
        <v>100</v>
      </c>
      <c r="J216" s="8" t="n">
        <v>0.35</v>
      </c>
      <c r="K216" s="8" t="n"/>
      <c r="L216" s="4" t="inlineStr"/>
      <c r="M216" s="5" t="n">
        <v>0</v>
      </c>
      <c r="N216" s="5" t="n">
        <v>1</v>
      </c>
      <c r="O216" s="5" t="n"/>
      <c r="P216" s="4" t="inlineStr"/>
      <c r="Q216" s="4" t="inlineStr">
        <is>
          <t>Não</t>
        </is>
      </c>
      <c r="R216" s="4" t="inlineStr">
        <is>
          <t>Site (navegador)</t>
        </is>
      </c>
      <c r="S216" s="4" t="n">
        <v>1</v>
      </c>
      <c r="T216" s="4" t="inlineStr">
        <is>
          <t>Não</t>
        </is>
      </c>
      <c r="U216" s="4" t="inlineStr">
        <is>
          <t>Sim</t>
        </is>
      </c>
      <c r="V216" s="4" t="inlineStr">
        <is>
          <t>Não</t>
        </is>
      </c>
      <c r="W216" s="4" t="inlineStr"/>
    </row>
    <row r="217">
      <c r="A217" s="4" t="inlineStr">
        <is>
          <t>XP Investimentos</t>
        </is>
      </c>
      <c r="B217" s="4" t="inlineStr">
        <is>
          <t>Xp Long Biased Advisory Xp Seg Fic Fim</t>
        </is>
      </c>
      <c r="C217" s="6" t="inlineStr">
        <is>
          <t>35.744.196/0001-03</t>
        </is>
      </c>
      <c r="D217" s="4" t="inlineStr">
        <is>
          <t>XP GESTÃO DE RECURSOS LTDA</t>
        </is>
      </c>
      <c r="E217" s="4" t="inlineStr">
        <is>
          <t>07.625.200/0001-89</t>
        </is>
      </c>
      <c r="F217" s="4" t="inlineStr">
        <is>
          <t>BNY Mellon DTVM</t>
        </is>
      </c>
      <c r="G217" s="4" t="inlineStr">
        <is>
          <t>Multimercado</t>
        </is>
      </c>
      <c r="H217" s="4" t="inlineStr">
        <is>
          <t>Renda Variável Long Biased</t>
        </is>
      </c>
      <c r="I217" s="7" t="n">
        <v>100</v>
      </c>
      <c r="J217" s="8" t="n">
        <v>2</v>
      </c>
      <c r="K217" s="8" t="n"/>
      <c r="L217" s="4" t="inlineStr"/>
      <c r="M217" s="5" t="n">
        <v>22</v>
      </c>
      <c r="N217" s="5" t="n">
        <v>2</v>
      </c>
      <c r="O217" s="5" t="n"/>
      <c r="P217" s="4" t="inlineStr"/>
      <c r="Q217" s="4" t="inlineStr">
        <is>
          <t>Não</t>
        </is>
      </c>
      <c r="R217" s="4" t="inlineStr">
        <is>
          <t>Site (navegador)</t>
        </is>
      </c>
      <c r="S217" s="4" t="n">
        <v>1</v>
      </c>
      <c r="T217" s="4" t="inlineStr">
        <is>
          <t>Não</t>
        </is>
      </c>
      <c r="U217" s="4" t="inlineStr">
        <is>
          <t>Sim</t>
        </is>
      </c>
      <c r="V217" s="4" t="inlineStr">
        <is>
          <t>Não</t>
        </is>
      </c>
      <c r="W217" s="4" t="inlineStr"/>
    </row>
    <row r="218">
      <c r="A218" s="4" t="inlineStr">
        <is>
          <t>XP Investimentos</t>
        </is>
      </c>
      <c r="B218" s="4" t="inlineStr">
        <is>
          <t>Xp Seguros Verde Master Prev 60 Qualificado Fif Cic Mult Rl</t>
        </is>
      </c>
      <c r="C218" s="6" t="inlineStr">
        <is>
          <t>62.240.600/0001-84</t>
        </is>
      </c>
      <c r="D218" s="4" t="inlineStr">
        <is>
          <t>VERDE ASSET MANAGEMENT S.A.</t>
        </is>
      </c>
      <c r="E218" s="4" t="inlineStr">
        <is>
          <t>19.749.539/0001-76</t>
        </is>
      </c>
      <c r="F218" s="4" t="inlineStr">
        <is>
          <t>Intrag DTVM</t>
        </is>
      </c>
      <c r="G218" s="4" t="inlineStr">
        <is>
          <t>Multimercado</t>
        </is>
      </c>
      <c r="H218" s="4" t="inlineStr">
        <is>
          <t>Macro Alta Vol</t>
        </is>
      </c>
      <c r="I218" s="7" t="n">
        <v>100</v>
      </c>
      <c r="J218" s="8" t="n">
        <v>2</v>
      </c>
      <c r="K218" s="8" t="n"/>
      <c r="L218" s="4" t="inlineStr"/>
      <c r="M218" s="5" t="n">
        <v>44</v>
      </c>
      <c r="N218" s="5" t="n">
        <v>2</v>
      </c>
      <c r="O218" s="5" t="n"/>
      <c r="P218" s="4" t="inlineStr"/>
      <c r="Q218" s="4" t="inlineStr">
        <is>
          <t>Não</t>
        </is>
      </c>
      <c r="R218" s="4" t="inlineStr">
        <is>
          <t>Site (navegador)</t>
        </is>
      </c>
      <c r="S218" s="4" t="n">
        <v>1</v>
      </c>
      <c r="T218" s="4" t="inlineStr">
        <is>
          <t>Não</t>
        </is>
      </c>
      <c r="U218" s="4" t="inlineStr">
        <is>
          <t>Sim</t>
        </is>
      </c>
      <c r="V218" s="4" t="inlineStr">
        <is>
          <t>Não</t>
        </is>
      </c>
      <c r="W218" s="4" t="inlineStr"/>
    </row>
    <row r="219">
      <c r="A219" s="4" t="inlineStr">
        <is>
          <t>XP Investimentos</t>
        </is>
      </c>
      <c r="B219" s="4" t="inlineStr">
        <is>
          <t>Xp Termo Xp Seg Prev Ficfim Cp</t>
        </is>
      </c>
      <c r="C219" s="6" t="inlineStr">
        <is>
          <t>47.032.813/0001-27</t>
        </is>
      </c>
      <c r="D219" s="4" t="inlineStr">
        <is>
          <t>XP VIDA E PREVIDÊNCIA S.A.</t>
        </is>
      </c>
      <c r="E219" s="4" t="inlineStr">
        <is>
          <t>29.408.732/0001-05</t>
        </is>
      </c>
      <c r="F219" s="4" t="inlineStr">
        <is>
          <t>XPI Administradora</t>
        </is>
      </c>
      <c r="G219" s="4" t="inlineStr">
        <is>
          <t>Multimercado</t>
        </is>
      </c>
      <c r="H219" s="4" t="inlineStr">
        <is>
          <t>Crédito Liquidez</t>
        </is>
      </c>
      <c r="I219" s="7" t="n">
        <v>100</v>
      </c>
      <c r="J219" s="8" t="n">
        <v>0.5</v>
      </c>
      <c r="K219" s="8" t="n"/>
      <c r="L219" s="4" t="inlineStr"/>
      <c r="M219" s="5" t="n">
        <v>5</v>
      </c>
      <c r="N219" s="5" t="n">
        <v>1</v>
      </c>
      <c r="O219" s="5" t="n"/>
      <c r="P219" s="4" t="inlineStr"/>
      <c r="Q219" s="4" t="inlineStr">
        <is>
          <t>Não</t>
        </is>
      </c>
      <c r="R219" s="4" t="inlineStr">
        <is>
          <t>Site (navegador)</t>
        </is>
      </c>
      <c r="S219" s="4" t="n">
        <v>1</v>
      </c>
      <c r="T219" s="4" t="inlineStr">
        <is>
          <t>Não</t>
        </is>
      </c>
      <c r="U219" s="4" t="inlineStr">
        <is>
          <t>Sim</t>
        </is>
      </c>
      <c r="V219" s="4" t="inlineStr">
        <is>
          <t>Não</t>
        </is>
      </c>
      <c r="W219" s="4" t="inlineStr"/>
    </row>
    <row r="220">
      <c r="A220" s="4" t="inlineStr">
        <is>
          <t>BTG Pactual</t>
        </is>
      </c>
      <c r="B220" s="4" t="inlineStr">
        <is>
          <t>3R Genus Hedge Prev FIM RL</t>
        </is>
      </c>
      <c r="C220" s="6" t="inlineStr">
        <is>
          <t>51.694.298/0001-18</t>
        </is>
      </c>
      <c r="D220" s="4" t="inlineStr">
        <is>
          <t>3R GESTORA DE RECURSOS LTDA</t>
        </is>
      </c>
      <c r="E220" s="4" t="inlineStr">
        <is>
          <t>13.641.353/0001-12</t>
        </is>
      </c>
      <c r="F220" s="4" t="inlineStr">
        <is>
          <t>BTG PACTUAL SERVICOS FINANCEIROS S.A. DISTRIBUIDOR</t>
        </is>
      </c>
      <c r="G220" s="4" t="inlineStr">
        <is>
          <t>Multimercado</t>
        </is>
      </c>
      <c r="H220" s="4" t="inlineStr">
        <is>
          <t>Renda Variável</t>
        </is>
      </c>
      <c r="I220" s="7" t="n">
        <v>1000</v>
      </c>
      <c r="J220" s="8" t="n"/>
      <c r="K220" s="8" t="n">
        <v>20</v>
      </c>
      <c r="L220" s="4" t="inlineStr">
        <is>
          <t>-</t>
        </is>
      </c>
      <c r="M220" s="5" t="n">
        <v>3</v>
      </c>
      <c r="N220" s="5" t="n">
        <v>4</v>
      </c>
      <c r="O220" s="5" t="n"/>
      <c r="P220" s="4" t="inlineStr">
        <is>
          <t>Curto Prazo</t>
        </is>
      </c>
      <c r="Q220" s="4" t="inlineStr">
        <is>
          <t>Sim</t>
        </is>
      </c>
      <c r="R220" s="4" t="inlineStr">
        <is>
          <t>API interna</t>
        </is>
      </c>
      <c r="S220" s="4" t="n">
        <v>1</v>
      </c>
      <c r="T220" s="4" t="inlineStr">
        <is>
          <t>Não</t>
        </is>
      </c>
      <c r="U220" s="4" t="inlineStr">
        <is>
          <t>Sim</t>
        </is>
      </c>
      <c r="V220" s="4" t="inlineStr">
        <is>
          <t>Não</t>
        </is>
      </c>
      <c r="W220" s="4" t="inlineStr"/>
    </row>
    <row r="221">
      <c r="A221" s="4" t="inlineStr">
        <is>
          <t>BTG Pactual</t>
        </is>
      </c>
      <c r="B221" s="4" t="inlineStr">
        <is>
          <t>A1 High Grade FIE I Prev BP FIC FIRF</t>
        </is>
      </c>
      <c r="C221" s="6" t="inlineStr">
        <is>
          <t>67.124.600/0001-32</t>
        </is>
      </c>
      <c r="D221" s="4" t="inlineStr">
        <is>
          <t>ASSET1 INVESTIMENTOS S/A</t>
        </is>
      </c>
      <c r="E221" s="4" t="inlineStr">
        <is>
          <t>35.185.577/0001-08</t>
        </is>
      </c>
      <c r="F221" s="4" t="inlineStr">
        <is>
          <t>BTG PACTUAL SERVICOS FINANCEIROS S.A. DISTRIBUIDOR</t>
        </is>
      </c>
      <c r="G221" s="4" t="inlineStr">
        <is>
          <t>Renda Fixa</t>
        </is>
      </c>
      <c r="H221" s="4" t="inlineStr">
        <is>
          <t>Outros</t>
        </is>
      </c>
      <c r="I221" s="7" t="n">
        <v>1000</v>
      </c>
      <c r="J221" s="8" t="n">
        <v>0.85</v>
      </c>
      <c r="K221" s="8" t="n"/>
      <c r="L221" s="4" t="inlineStr"/>
      <c r="M221" s="5" t="n">
        <v>0</v>
      </c>
      <c r="N221" s="5" t="n">
        <v>2</v>
      </c>
      <c r="O221" s="5" t="n"/>
      <c r="P221" s="4" t="inlineStr">
        <is>
          <t>Longo Prazo</t>
        </is>
      </c>
      <c r="Q221" s="4" t="inlineStr">
        <is>
          <t>Não</t>
        </is>
      </c>
      <c r="R221" s="4" t="inlineStr">
        <is>
          <t>API interna</t>
        </is>
      </c>
      <c r="S221" s="4" t="n">
        <v>1</v>
      </c>
      <c r="T221" s="4" t="inlineStr">
        <is>
          <t>Não</t>
        </is>
      </c>
      <c r="U221" s="4" t="inlineStr">
        <is>
          <t>Sim</t>
        </is>
      </c>
      <c r="V221" s="4" t="inlineStr">
        <is>
          <t>Não</t>
        </is>
      </c>
      <c r="W221" s="4" t="inlineStr"/>
    </row>
    <row r="222">
      <c r="A222" s="4" t="inlineStr">
        <is>
          <t>BTG Pactual</t>
        </is>
      </c>
      <c r="B222" s="4" t="inlineStr">
        <is>
          <t>A1 RF Ativa Prev FICFIRF RL</t>
        </is>
      </c>
      <c r="C222" s="6" t="inlineStr">
        <is>
          <t>60.356.190/0001-06</t>
        </is>
      </c>
      <c r="D222" s="4" t="inlineStr">
        <is>
          <t>ASSET1 INVESTIMENTOS S/A</t>
        </is>
      </c>
      <c r="E222" s="4" t="inlineStr">
        <is>
          <t>35.185.577/0001-08</t>
        </is>
      </c>
      <c r="F222" s="4" t="inlineStr">
        <is>
          <t>BTG PACTUAL SERVICOS FINANCEIROS S.A. DISTRIBUIDOR</t>
        </is>
      </c>
      <c r="G222" s="4" t="inlineStr">
        <is>
          <t>Renda Fixa</t>
        </is>
      </c>
      <c r="H222" s="4" t="inlineStr">
        <is>
          <t>Renda Fixa</t>
        </is>
      </c>
      <c r="I222" s="7" t="n">
        <v>1000</v>
      </c>
      <c r="J222" s="8" t="n"/>
      <c r="K222" s="8" t="n">
        <v>20</v>
      </c>
      <c r="L222" s="4" t="inlineStr">
        <is>
          <t>-</t>
        </is>
      </c>
      <c r="M222" s="5" t="n">
        <v>0</v>
      </c>
      <c r="N222" s="5" t="n">
        <v>1</v>
      </c>
      <c r="O222" s="5" t="n"/>
      <c r="P222" s="4" t="inlineStr">
        <is>
          <t>Curto Prazo</t>
        </is>
      </c>
      <c r="Q222" s="4" t="inlineStr">
        <is>
          <t>Não</t>
        </is>
      </c>
      <c r="R222" s="4" t="inlineStr">
        <is>
          <t>API interna</t>
        </is>
      </c>
      <c r="S222" s="4" t="n">
        <v>1</v>
      </c>
      <c r="T222" s="4" t="inlineStr">
        <is>
          <t>Não</t>
        </is>
      </c>
      <c r="U222" s="4" t="inlineStr">
        <is>
          <t>Sim</t>
        </is>
      </c>
      <c r="V222" s="4" t="inlineStr">
        <is>
          <t>Não</t>
        </is>
      </c>
      <c r="W222" s="4" t="inlineStr"/>
    </row>
    <row r="223">
      <c r="A223" s="4" t="inlineStr">
        <is>
          <t>BTG Pactual</t>
        </is>
      </c>
      <c r="B223" s="4" t="inlineStr">
        <is>
          <t>ACE Capital Prev Icatu FICFIM RL</t>
        </is>
      </c>
      <c r="C223" s="6" t="inlineStr">
        <is>
          <t>48.212.959/0001-17</t>
        </is>
      </c>
      <c r="D223" s="4" t="inlineStr">
        <is>
          <t>ACE CAPITAL GESTORA DE RECURSOS LTDA.</t>
        </is>
      </c>
      <c r="E223" s="4" t="inlineStr">
        <is>
          <t>33.411.393/0001-85</t>
        </is>
      </c>
      <c r="F223" s="4" t="inlineStr">
        <is>
          <t>INTRAG DISTR DE TITULOS EVALORES MOBILIARIOS LTDA</t>
        </is>
      </c>
      <c r="G223" s="4" t="inlineStr">
        <is>
          <t>Multimercado</t>
        </is>
      </c>
      <c r="H223" s="4" t="inlineStr">
        <is>
          <t>Multimercado</t>
        </is>
      </c>
      <c r="I223" s="7" t="n">
        <v>1500</v>
      </c>
      <c r="J223" s="8" t="n">
        <v>2</v>
      </c>
      <c r="K223" s="8" t="n">
        <v>20</v>
      </c>
      <c r="L223" s="4" t="inlineStr">
        <is>
          <t>CDI</t>
        </is>
      </c>
      <c r="M223" s="5" t="n">
        <v>6</v>
      </c>
      <c r="N223" s="5" t="n">
        <v>7</v>
      </c>
      <c r="O223" s="5" t="n"/>
      <c r="P223" s="4" t="inlineStr">
        <is>
          <t>Longo Prazo</t>
        </is>
      </c>
      <c r="Q223" s="4" t="inlineStr">
        <is>
          <t>Não</t>
        </is>
      </c>
      <c r="R223" s="4" t="inlineStr">
        <is>
          <t>API interna</t>
        </is>
      </c>
      <c r="S223" s="4" t="n">
        <v>1</v>
      </c>
      <c r="T223" s="4" t="inlineStr">
        <is>
          <t>Não</t>
        </is>
      </c>
      <c r="U223" s="4" t="inlineStr">
        <is>
          <t>Sim</t>
        </is>
      </c>
      <c r="V223" s="4" t="inlineStr">
        <is>
          <t>Não</t>
        </is>
      </c>
      <c r="W223" s="4" t="inlineStr"/>
    </row>
    <row r="224">
      <c r="A224" s="4" t="inlineStr">
        <is>
          <t>BTG Pactual</t>
        </is>
      </c>
      <c r="B224" s="4" t="inlineStr">
        <is>
          <t>ARX Denali Prev FIRF Access CrPr RL</t>
        </is>
      </c>
      <c r="C224" s="6" t="inlineStr">
        <is>
          <t>47.564.808/0001-65</t>
        </is>
      </c>
      <c r="D224" s="4" t="inlineStr">
        <is>
          <t>BTG PACTUAL GESTÃO E CONSULTORIA DE INVESTIMENTOS LTDA</t>
        </is>
      </c>
      <c r="E224" s="4" t="inlineStr">
        <is>
          <t>12.695.840/0001-03</t>
        </is>
      </c>
      <c r="F224" s="4" t="inlineStr">
        <is>
          <t>BTG PACTUAL SERVICOS FINANCEIROS S.A. DISTRIBUIDOR</t>
        </is>
      </c>
      <c r="G224" s="4" t="inlineStr">
        <is>
          <t>Renda Fixa</t>
        </is>
      </c>
      <c r="H224" s="4" t="inlineStr">
        <is>
          <t>Renda Fixa</t>
        </is>
      </c>
      <c r="I224" s="7" t="n">
        <v>1000</v>
      </c>
      <c r="J224" s="8" t="n"/>
      <c r="K224" s="8" t="n"/>
      <c r="L224" s="4" t="inlineStr"/>
      <c r="M224" s="5" t="n">
        <v>2</v>
      </c>
      <c r="N224" s="5" t="n">
        <v>4</v>
      </c>
      <c r="O224" s="5" t="n"/>
      <c r="P224" s="4" t="inlineStr">
        <is>
          <t>Curto Prazo</t>
        </is>
      </c>
      <c r="Q224" s="4" t="inlineStr">
        <is>
          <t>Não</t>
        </is>
      </c>
      <c r="R224" s="4" t="inlineStr">
        <is>
          <t>API interna</t>
        </is>
      </c>
      <c r="S224" s="4" t="n">
        <v>1</v>
      </c>
      <c r="T224" s="4" t="inlineStr">
        <is>
          <t>Não</t>
        </is>
      </c>
      <c r="U224" s="4" t="inlineStr">
        <is>
          <t>Sim</t>
        </is>
      </c>
      <c r="V224" s="4" t="inlineStr">
        <is>
          <t>Não</t>
        </is>
      </c>
      <c r="W224" s="4" t="inlineStr"/>
    </row>
    <row r="225">
      <c r="A225" s="4" t="inlineStr">
        <is>
          <t>BTG Pactual</t>
        </is>
      </c>
      <c r="B225" s="4" t="inlineStr">
        <is>
          <t>ARX Income Icatu Prev 100 FICFIA RL</t>
        </is>
      </c>
      <c r="C225" s="6" t="inlineStr">
        <is>
          <t>37.355.672/0001-20</t>
        </is>
      </c>
      <c r="D225" s="4" t="inlineStr">
        <is>
          <t>ARX INVESTIMENTOS LTDA</t>
        </is>
      </c>
      <c r="E225" s="4" t="inlineStr">
        <is>
          <t>04.408.128/0001-40</t>
        </is>
      </c>
      <c r="F225" s="4" t="inlineStr">
        <is>
          <t>BNY MELLON SERVICOS FINANCEIROS DTVM S/A</t>
        </is>
      </c>
      <c r="G225" s="4" t="inlineStr">
        <is>
          <t>Ações</t>
        </is>
      </c>
      <c r="H225" s="4" t="inlineStr">
        <is>
          <t>Renda Variável</t>
        </is>
      </c>
      <c r="I225" s="7" t="n">
        <v>5000</v>
      </c>
      <c r="J225" s="8" t="n">
        <v>2</v>
      </c>
      <c r="K225" s="8" t="n">
        <v>20</v>
      </c>
      <c r="L225" s="4" t="inlineStr">
        <is>
          <t>IBOVESPA</t>
        </is>
      </c>
      <c r="M225" s="5" t="n">
        <v>6</v>
      </c>
      <c r="N225" s="5" t="n">
        <v>8</v>
      </c>
      <c r="O225" s="5" t="n"/>
      <c r="P225" s="4" t="inlineStr">
        <is>
          <t>Renda Variável</t>
        </is>
      </c>
      <c r="Q225" s="4" t="inlineStr">
        <is>
          <t>Não</t>
        </is>
      </c>
      <c r="R225" s="4" t="inlineStr">
        <is>
          <t>API interna</t>
        </is>
      </c>
      <c r="S225" s="4" t="n">
        <v>1</v>
      </c>
      <c r="T225" s="4" t="inlineStr">
        <is>
          <t>Não</t>
        </is>
      </c>
      <c r="U225" s="4" t="inlineStr">
        <is>
          <t>Sim</t>
        </is>
      </c>
      <c r="V225" s="4" t="inlineStr">
        <is>
          <t>Não</t>
        </is>
      </c>
      <c r="W225" s="4" t="inlineStr"/>
    </row>
    <row r="226">
      <c r="A226" s="4" t="inlineStr">
        <is>
          <t>BTG Pactual</t>
        </is>
      </c>
      <c r="B226" s="4" t="inlineStr">
        <is>
          <t>ARX Income Icatu Prev FIM RL</t>
        </is>
      </c>
      <c r="C226" s="6" t="inlineStr">
        <is>
          <t>03.879.361/0001-48</t>
        </is>
      </c>
      <c r="D226" s="4" t="inlineStr">
        <is>
          <t>ARX INVESTIMENTOS LTDA</t>
        </is>
      </c>
      <c r="E226" s="4" t="inlineStr">
        <is>
          <t>04.408.128/0001-40</t>
        </is>
      </c>
      <c r="F226" s="4" t="inlineStr">
        <is>
          <t>BNY MELLON SERVICOS FINANCEIROS DTVM S/A</t>
        </is>
      </c>
      <c r="G226" s="4" t="inlineStr">
        <is>
          <t>Multimercado</t>
        </is>
      </c>
      <c r="H226" s="4" t="inlineStr">
        <is>
          <t>Renda Variável</t>
        </is>
      </c>
      <c r="I226" s="7" t="n">
        <v>1000</v>
      </c>
      <c r="J226" s="8" t="n">
        <v>1.9</v>
      </c>
      <c r="K226" s="8" t="n"/>
      <c r="L226" s="4" t="inlineStr"/>
      <c r="M226" s="5" t="n">
        <v>1</v>
      </c>
      <c r="N226" s="5" t="n">
        <v>2</v>
      </c>
      <c r="O226" s="5" t="n"/>
      <c r="P226" s="4" t="inlineStr">
        <is>
          <t>Não Aplicável</t>
        </is>
      </c>
      <c r="Q226" s="4" t="inlineStr">
        <is>
          <t>Não</t>
        </is>
      </c>
      <c r="R226" s="4" t="inlineStr">
        <is>
          <t>API interna</t>
        </is>
      </c>
      <c r="S226" s="4" t="n">
        <v>1</v>
      </c>
      <c r="T226" s="4" t="inlineStr">
        <is>
          <t>Não</t>
        </is>
      </c>
      <c r="U226" s="4" t="inlineStr">
        <is>
          <t>Sim</t>
        </is>
      </c>
      <c r="V226" s="4" t="inlineStr">
        <is>
          <t>Não</t>
        </is>
      </c>
      <c r="W226" s="4" t="inlineStr"/>
    </row>
    <row r="227">
      <c r="A227" s="4" t="inlineStr">
        <is>
          <t>BTG Pactual</t>
        </is>
      </c>
      <c r="B227" s="4" t="inlineStr">
        <is>
          <t>ARX K2 Prev FICFIM CrPr RL</t>
        </is>
      </c>
      <c r="C227" s="6" t="inlineStr">
        <is>
          <t>33.165.244/0001-83</t>
        </is>
      </c>
      <c r="D227" s="4" t="inlineStr">
        <is>
          <t>ARX INVESTIMENTOS LTDA</t>
        </is>
      </c>
      <c r="E227" s="4" t="inlineStr">
        <is>
          <t>04.408.128/0001-40</t>
        </is>
      </c>
      <c r="F227" s="4" t="inlineStr">
        <is>
          <t>BTG PACTUAL SERVICOS FINANCEIROS S.A. DISTRIBUIDOR</t>
        </is>
      </c>
      <c r="G227" s="4" t="inlineStr">
        <is>
          <t>Multimercado</t>
        </is>
      </c>
      <c r="H227" s="4" t="inlineStr">
        <is>
          <t>Renda Fixa</t>
        </is>
      </c>
      <c r="I227" s="7" t="n">
        <v>0</v>
      </c>
      <c r="J227" s="8" t="n">
        <v>1.1</v>
      </c>
      <c r="K227" s="8" t="n"/>
      <c r="L227" s="4" t="inlineStr"/>
      <c r="M227" s="5" t="n">
        <v>5</v>
      </c>
      <c r="N227" s="5" t="n">
        <v>7</v>
      </c>
      <c r="O227" s="5" t="n"/>
      <c r="P227" s="4" t="inlineStr">
        <is>
          <t>Curto Prazo</t>
        </is>
      </c>
      <c r="Q227" s="4" t="inlineStr">
        <is>
          <t>Não</t>
        </is>
      </c>
      <c r="R227" s="4" t="inlineStr">
        <is>
          <t>API interna</t>
        </is>
      </c>
      <c r="S227" s="4" t="n">
        <v>1</v>
      </c>
      <c r="T227" s="4" t="inlineStr">
        <is>
          <t>Não</t>
        </is>
      </c>
      <c r="U227" s="4" t="inlineStr">
        <is>
          <t>Sim</t>
        </is>
      </c>
      <c r="V227" s="4" t="inlineStr">
        <is>
          <t>Não</t>
        </is>
      </c>
      <c r="W227" s="4" t="inlineStr"/>
    </row>
    <row r="228">
      <c r="A228" s="4" t="inlineStr">
        <is>
          <t>BTG Pactual</t>
        </is>
      </c>
      <c r="B228" s="4" t="inlineStr">
        <is>
          <t>ASA Hedge Icatu Prev FICFIM RL</t>
        </is>
      </c>
      <c r="C228" s="6" t="inlineStr">
        <is>
          <t>26.343.792/0001-90</t>
        </is>
      </c>
      <c r="D228" s="4" t="inlineStr">
        <is>
          <t>ASA ASSET MANAGEMENT LTDA.</t>
        </is>
      </c>
      <c r="E228" s="4" t="inlineStr">
        <is>
          <t>19.807.960/0001-96</t>
        </is>
      </c>
      <c r="F228" s="4" t="inlineStr">
        <is>
          <t>S3 CACEIS BRASIL DISTRIBUIDORA DE TITULOS E VALORE</t>
        </is>
      </c>
      <c r="G228" s="4" t="inlineStr">
        <is>
          <t>Multimercado</t>
        </is>
      </c>
      <c r="H228" s="4" t="inlineStr">
        <is>
          <t>Multimercado</t>
        </is>
      </c>
      <c r="I228" s="7" t="n">
        <v>1000</v>
      </c>
      <c r="J228" s="8" t="n">
        <v>0.9500000000000001</v>
      </c>
      <c r="K228" s="8" t="n"/>
      <c r="L228" s="4" t="inlineStr"/>
      <c r="M228" s="5" t="n">
        <v>0</v>
      </c>
      <c r="N228" s="5" t="n">
        <v>3</v>
      </c>
      <c r="O228" s="5" t="n"/>
      <c r="P228" s="4" t="inlineStr">
        <is>
          <t>Longo Prazo</t>
        </is>
      </c>
      <c r="Q228" s="4" t="inlineStr">
        <is>
          <t>Não</t>
        </is>
      </c>
      <c r="R228" s="4" t="inlineStr">
        <is>
          <t>API interna</t>
        </is>
      </c>
      <c r="S228" s="4" t="n">
        <v>1</v>
      </c>
      <c r="T228" s="4" t="inlineStr">
        <is>
          <t>Não</t>
        </is>
      </c>
      <c r="U228" s="4" t="inlineStr">
        <is>
          <t>Sim</t>
        </is>
      </c>
      <c r="V228" s="4" t="inlineStr">
        <is>
          <t>Não</t>
        </is>
      </c>
      <c r="W228" s="4" t="inlineStr"/>
    </row>
    <row r="229">
      <c r="A229" s="4" t="inlineStr">
        <is>
          <t>BTG Pactual</t>
        </is>
      </c>
      <c r="B229" s="4" t="inlineStr">
        <is>
          <t>AZ Quest Altro Prev FICFIM FIE Access CrPr RL</t>
        </is>
      </c>
      <c r="C229" s="6" t="inlineStr">
        <is>
          <t>47.640.749/0001-67</t>
        </is>
      </c>
      <c r="D229" s="4" t="inlineStr">
        <is>
          <t>BTG PACTUAL GESTÃO E CONSULTORIA DE INVESTIMENTOS LTDA</t>
        </is>
      </c>
      <c r="E229" s="4" t="inlineStr">
        <is>
          <t>12.695.840/0001-03</t>
        </is>
      </c>
      <c r="F229" s="4" t="inlineStr">
        <is>
          <t>BTG PACTUAL SERVICOS FINANCEIROS S.A. DISTRIBUIDOR</t>
        </is>
      </c>
      <c r="G229" s="4" t="inlineStr">
        <is>
          <t>Multimercado</t>
        </is>
      </c>
      <c r="H229" s="4" t="inlineStr">
        <is>
          <t>Renda Fixa</t>
        </is>
      </c>
      <c r="I229" s="7" t="n">
        <v>1000</v>
      </c>
      <c r="J229" s="8" t="n"/>
      <c r="K229" s="8" t="n"/>
      <c r="L229" s="4" t="inlineStr"/>
      <c r="M229" s="5" t="n">
        <v>20</v>
      </c>
      <c r="N229" s="5" t="n">
        <v>21</v>
      </c>
      <c r="O229" s="5" t="n"/>
      <c r="P229" s="4" t="inlineStr">
        <is>
          <t>Curto Prazo</t>
        </is>
      </c>
      <c r="Q229" s="4" t="inlineStr">
        <is>
          <t>Não</t>
        </is>
      </c>
      <c r="R229" s="4" t="inlineStr">
        <is>
          <t>API interna</t>
        </is>
      </c>
      <c r="S229" s="4" t="n">
        <v>1</v>
      </c>
      <c r="T229" s="4" t="inlineStr">
        <is>
          <t>Não</t>
        </is>
      </c>
      <c r="U229" s="4" t="inlineStr">
        <is>
          <t>Sim</t>
        </is>
      </c>
      <c r="V229" s="4" t="inlineStr">
        <is>
          <t>Não</t>
        </is>
      </c>
      <c r="W229" s="4" t="inlineStr"/>
    </row>
    <row r="230">
      <c r="A230" s="4" t="inlineStr">
        <is>
          <t>BTG Pactual</t>
        </is>
      </c>
      <c r="B230" s="4" t="inlineStr">
        <is>
          <t>AZ Quest Icatu Multi Prev FICFIM RL</t>
        </is>
      </c>
      <c r="C230" s="6" t="inlineStr">
        <is>
          <t>18.534.967/0001-19</t>
        </is>
      </c>
      <c r="D230" s="4" t="inlineStr">
        <is>
          <t>AZ Quest Prev Ltda.</t>
        </is>
      </c>
      <c r="E230" s="4" t="inlineStr">
        <is>
          <t>59.312.965/0001-62</t>
        </is>
      </c>
      <c r="F230" s="4" t="inlineStr">
        <is>
          <t>BNY MELLON SERVICOS FINANCEIROS DTVM S/A</t>
        </is>
      </c>
      <c r="G230" s="4" t="inlineStr">
        <is>
          <t>Multimercado</t>
        </is>
      </c>
      <c r="H230" s="4" t="inlineStr">
        <is>
          <t>Multimercado</t>
        </is>
      </c>
      <c r="I230" s="7" t="n">
        <v>1500</v>
      </c>
      <c r="J230" s="8" t="n">
        <v>2</v>
      </c>
      <c r="K230" s="8" t="n"/>
      <c r="L230" s="4" t="inlineStr"/>
      <c r="M230" s="5" t="n">
        <v>1</v>
      </c>
      <c r="N230" s="5" t="n">
        <v>3</v>
      </c>
      <c r="O230" s="5" t="n"/>
      <c r="P230" s="4" t="inlineStr">
        <is>
          <t>Não Aplicável</t>
        </is>
      </c>
      <c r="Q230" s="4" t="inlineStr">
        <is>
          <t>Não</t>
        </is>
      </c>
      <c r="R230" s="4" t="inlineStr">
        <is>
          <t>API interna</t>
        </is>
      </c>
      <c r="S230" s="4" t="n">
        <v>1</v>
      </c>
      <c r="T230" s="4" t="inlineStr">
        <is>
          <t>Não</t>
        </is>
      </c>
      <c r="U230" s="4" t="inlineStr">
        <is>
          <t>Sim</t>
        </is>
      </c>
      <c r="V230" s="4" t="inlineStr">
        <is>
          <t>Não</t>
        </is>
      </c>
      <c r="W230" s="4" t="inlineStr"/>
    </row>
    <row r="231">
      <c r="A231" s="4" t="inlineStr">
        <is>
          <t>BTG Pactual</t>
        </is>
      </c>
      <c r="B231" s="4" t="inlineStr">
        <is>
          <t>AZ Quest Inflacao Ativo Prev FIE I FICFIRF RL</t>
        </is>
      </c>
      <c r="C231" s="6" t="inlineStr">
        <is>
          <t>34.442.059/0001-51</t>
        </is>
      </c>
      <c r="D231" s="4" t="inlineStr">
        <is>
          <t>AZ Quest Prev Ltda.</t>
        </is>
      </c>
      <c r="E231" s="4" t="inlineStr">
        <is>
          <t>59.312.965/0001-62</t>
        </is>
      </c>
      <c r="F231" s="4" t="inlineStr">
        <is>
          <t>BNY MELLON SERVICOS FINANCEIROS DTVM S/A</t>
        </is>
      </c>
      <c r="G231" s="4" t="inlineStr">
        <is>
          <t>Renda Fixa</t>
        </is>
      </c>
      <c r="H231" s="4" t="inlineStr">
        <is>
          <t>Renda Fixa</t>
        </is>
      </c>
      <c r="I231" s="7" t="n">
        <v>1500</v>
      </c>
      <c r="J231" s="8" t="n">
        <v>0.55</v>
      </c>
      <c r="K231" s="8" t="n"/>
      <c r="L231" s="4" t="inlineStr"/>
      <c r="M231" s="5" t="n">
        <v>0</v>
      </c>
      <c r="N231" s="5" t="n">
        <v>1</v>
      </c>
      <c r="O231" s="5" t="n"/>
      <c r="P231" s="4" t="inlineStr">
        <is>
          <t>Longo Prazo</t>
        </is>
      </c>
      <c r="Q231" s="4" t="inlineStr">
        <is>
          <t>Não</t>
        </is>
      </c>
      <c r="R231" s="4" t="inlineStr">
        <is>
          <t>API interna</t>
        </is>
      </c>
      <c r="S231" s="4" t="n">
        <v>1</v>
      </c>
      <c r="T231" s="4" t="inlineStr">
        <is>
          <t>Não</t>
        </is>
      </c>
      <c r="U231" s="4" t="inlineStr">
        <is>
          <t>Sim</t>
        </is>
      </c>
      <c r="V231" s="4" t="inlineStr">
        <is>
          <t>Não</t>
        </is>
      </c>
      <c r="W231" s="4" t="inlineStr"/>
    </row>
    <row r="232">
      <c r="A232" s="4" t="inlineStr">
        <is>
          <t>BTG Pactual</t>
        </is>
      </c>
      <c r="B232" s="4" t="inlineStr">
        <is>
          <t>AZ Quest Prev Icatu Luce FICFIRF CrPr RL</t>
        </is>
      </c>
      <c r="C232" s="6" t="inlineStr">
        <is>
          <t>23.883.385/0001-88</t>
        </is>
      </c>
      <c r="D232" s="4" t="inlineStr">
        <is>
          <t>AZ Quest Prev Ltda.</t>
        </is>
      </c>
      <c r="E232" s="4" t="inlineStr">
        <is>
          <t>59.312.965/0001-62</t>
        </is>
      </c>
      <c r="F232" s="4" t="inlineStr">
        <is>
          <t>BNY MELLON SERVICOS FINANCEIROS DTVM S/A</t>
        </is>
      </c>
      <c r="G232" s="4" t="inlineStr">
        <is>
          <t>Renda Fixa</t>
        </is>
      </c>
      <c r="H232" s="4" t="inlineStr">
        <is>
          <t>Renda Fixa</t>
        </is>
      </c>
      <c r="I232" s="7" t="n">
        <v>3000</v>
      </c>
      <c r="J232" s="8" t="n">
        <v>0.55</v>
      </c>
      <c r="K232" s="8" t="n"/>
      <c r="L232" s="4" t="inlineStr"/>
      <c r="M232" s="5" t="n">
        <v>1</v>
      </c>
      <c r="N232" s="5" t="n">
        <v>3</v>
      </c>
      <c r="O232" s="5" t="n"/>
      <c r="P232" s="4" t="inlineStr">
        <is>
          <t>Longo Prazo</t>
        </is>
      </c>
      <c r="Q232" s="4" t="inlineStr">
        <is>
          <t>Não</t>
        </is>
      </c>
      <c r="R232" s="4" t="inlineStr">
        <is>
          <t>API interna</t>
        </is>
      </c>
      <c r="S232" s="4" t="n">
        <v>1</v>
      </c>
      <c r="T232" s="4" t="inlineStr">
        <is>
          <t>Não</t>
        </is>
      </c>
      <c r="U232" s="4" t="inlineStr">
        <is>
          <t>Sim</t>
        </is>
      </c>
      <c r="V232" s="4" t="inlineStr">
        <is>
          <t>Não</t>
        </is>
      </c>
      <c r="W232" s="4" t="inlineStr"/>
    </row>
    <row r="233">
      <c r="A233" s="4" t="inlineStr">
        <is>
          <t>BTG Pactual</t>
        </is>
      </c>
      <c r="B233" s="4" t="inlineStr">
        <is>
          <t>Absolute Atenas Prev FIM Access CrPr RL</t>
        </is>
      </c>
      <c r="C233" s="6" t="inlineStr">
        <is>
          <t>47.564.734/0001-67</t>
        </is>
      </c>
      <c r="D233" s="4" t="inlineStr">
        <is>
          <t>BTG PACTUAL GESTÃO E CONSULTORIA DE INVESTIMENTOS LTDA</t>
        </is>
      </c>
      <c r="E233" s="4" t="inlineStr">
        <is>
          <t>12.695.840/0001-03</t>
        </is>
      </c>
      <c r="F233" s="4" t="inlineStr">
        <is>
          <t>BTG PACTUAL SERVICOS FINANCEIROS S.A. DISTRIBUIDOR</t>
        </is>
      </c>
      <c r="G233" s="4" t="inlineStr">
        <is>
          <t>Renda Fixa</t>
        </is>
      </c>
      <c r="H233" s="4" t="inlineStr">
        <is>
          <t>Renda Fixa</t>
        </is>
      </c>
      <c r="I233" s="7" t="n">
        <v>1000</v>
      </c>
      <c r="J233" s="8" t="n">
        <v>0.98</v>
      </c>
      <c r="K233" s="8" t="n"/>
      <c r="L233" s="4" t="inlineStr"/>
      <c r="M233" s="5" t="n">
        <v>6</v>
      </c>
      <c r="N233" s="5" t="n">
        <v>8</v>
      </c>
      <c r="O233" s="5" t="n"/>
      <c r="P233" s="4" t="inlineStr">
        <is>
          <t>Curto Prazo</t>
        </is>
      </c>
      <c r="Q233" s="4" t="inlineStr">
        <is>
          <t>Não</t>
        </is>
      </c>
      <c r="R233" s="4" t="inlineStr">
        <is>
          <t>API interna</t>
        </is>
      </c>
      <c r="S233" s="4" t="n">
        <v>1</v>
      </c>
      <c r="T233" s="4" t="inlineStr">
        <is>
          <t>Não</t>
        </is>
      </c>
      <c r="U233" s="4" t="inlineStr">
        <is>
          <t>Sim</t>
        </is>
      </c>
      <c r="V233" s="4" t="inlineStr">
        <is>
          <t>Não</t>
        </is>
      </c>
      <c r="W233" s="4" t="inlineStr"/>
    </row>
    <row r="234">
      <c r="A234" s="4" t="inlineStr">
        <is>
          <t>BTG Pactual</t>
        </is>
      </c>
      <c r="B234" s="4" t="inlineStr">
        <is>
          <t>Absolute Delfos Prev FICFIRF Access CrPr RL</t>
        </is>
      </c>
      <c r="C234" s="6" t="inlineStr">
        <is>
          <t>57.370.727/0001-88</t>
        </is>
      </c>
      <c r="D234" s="4" t="inlineStr">
        <is>
          <t>BTG PACTUAL GESTÃO E CONSULTORIA DE INVESTIMENTOS LTDA</t>
        </is>
      </c>
      <c r="E234" s="4" t="inlineStr">
        <is>
          <t>12.695.840/0001-03</t>
        </is>
      </c>
      <c r="F234" s="4" t="inlineStr">
        <is>
          <t>BTG PACTUAL SERVICOS FINANCEIROS S.A. DISTRIBUIDOR</t>
        </is>
      </c>
      <c r="G234" s="4" t="inlineStr">
        <is>
          <t>Renda Fixa</t>
        </is>
      </c>
      <c r="H234" s="4" t="inlineStr">
        <is>
          <t>Renda Fixa</t>
        </is>
      </c>
      <c r="I234" s="7" t="n">
        <v>1000</v>
      </c>
      <c r="J234" s="8" t="n">
        <v>0.88</v>
      </c>
      <c r="K234" s="8" t="n"/>
      <c r="L234" s="4" t="inlineStr"/>
      <c r="M234" s="5" t="n">
        <v>20</v>
      </c>
      <c r="N234" s="5" t="n">
        <v>22</v>
      </c>
      <c r="O234" s="5" t="n"/>
      <c r="P234" s="4" t="inlineStr">
        <is>
          <t>Curto Prazo</t>
        </is>
      </c>
      <c r="Q234" s="4" t="inlineStr">
        <is>
          <t>Não</t>
        </is>
      </c>
      <c r="R234" s="4" t="inlineStr">
        <is>
          <t>API interna</t>
        </is>
      </c>
      <c r="S234" s="4" t="n">
        <v>1</v>
      </c>
      <c r="T234" s="4" t="inlineStr">
        <is>
          <t>Não</t>
        </is>
      </c>
      <c r="U234" s="4" t="inlineStr">
        <is>
          <t>Sim</t>
        </is>
      </c>
      <c r="V234" s="4" t="inlineStr">
        <is>
          <t>Não</t>
        </is>
      </c>
      <c r="W234" s="4" t="inlineStr"/>
    </row>
    <row r="235">
      <c r="A235" s="4" t="inlineStr">
        <is>
          <t>BTG Pactual</t>
        </is>
      </c>
      <c r="B235" s="4" t="inlineStr">
        <is>
          <t>Absolute Hedge Prev FICFIM Access RL</t>
        </is>
      </c>
      <c r="C235" s="6" t="inlineStr">
        <is>
          <t>61.861.454/0001-41</t>
        </is>
      </c>
      <c r="D235" s="4" t="inlineStr">
        <is>
          <t>BTG PACTUAL GESTÃO E CONSULTORIA DE INVESTIMENTOS LTDA</t>
        </is>
      </c>
      <c r="E235" s="4" t="inlineStr">
        <is>
          <t>12.695.840/0001-03</t>
        </is>
      </c>
      <c r="F235" s="4" t="inlineStr">
        <is>
          <t>BTG PACTUAL SERVICOS FINANCEIROS S.A. DISTRIBUIDOR</t>
        </is>
      </c>
      <c r="G235" s="4" t="inlineStr">
        <is>
          <t>Multimercado</t>
        </is>
      </c>
      <c r="H235" s="4" t="inlineStr">
        <is>
          <t>Multimercado</t>
        </is>
      </c>
      <c r="I235" s="7" t="n">
        <v>1000</v>
      </c>
      <c r="J235" s="8" t="n">
        <v>2</v>
      </c>
      <c r="K235" s="8" t="n">
        <v>20</v>
      </c>
      <c r="L235" s="4" t="inlineStr">
        <is>
          <t>-</t>
        </is>
      </c>
      <c r="M235" s="5" t="n">
        <v>4</v>
      </c>
      <c r="N235" s="5" t="n">
        <v>5</v>
      </c>
      <c r="O235" s="5" t="n"/>
      <c r="P235" s="4" t="inlineStr">
        <is>
          <t>Curto Prazo</t>
        </is>
      </c>
      <c r="Q235" s="4" t="inlineStr">
        <is>
          <t>Não</t>
        </is>
      </c>
      <c r="R235" s="4" t="inlineStr">
        <is>
          <t>API interna</t>
        </is>
      </c>
      <c r="S235" s="4" t="n">
        <v>1</v>
      </c>
      <c r="T235" s="4" t="inlineStr">
        <is>
          <t>Não</t>
        </is>
      </c>
      <c r="U235" s="4" t="inlineStr">
        <is>
          <t>Sim</t>
        </is>
      </c>
      <c r="V235" s="4" t="inlineStr">
        <is>
          <t>Não</t>
        </is>
      </c>
      <c r="W235" s="4" t="inlineStr"/>
    </row>
    <row r="236">
      <c r="A236" s="4" t="inlineStr">
        <is>
          <t>BTG Pactual</t>
        </is>
      </c>
      <c r="B236" s="4" t="inlineStr">
        <is>
          <t>Absolute Icatu I Prev FICFIM RL</t>
        </is>
      </c>
      <c r="C236" s="6" t="inlineStr">
        <is>
          <t>29.242.441/0001-81</t>
        </is>
      </c>
      <c r="D236" s="4" t="inlineStr">
        <is>
          <t>ABSOLUTE GESTAO DE INVESTIMENTOS LTDA</t>
        </is>
      </c>
      <c r="E236" s="4" t="inlineStr">
        <is>
          <t>17.285.755/0001-82</t>
        </is>
      </c>
      <c r="F236" s="4" t="inlineStr">
        <is>
          <t>BNY MELLON SERVICOS FINANCEIROS DTVM S/A</t>
        </is>
      </c>
      <c r="G236" s="4" t="inlineStr">
        <is>
          <t>Multimercado</t>
        </is>
      </c>
      <c r="H236" s="4" t="inlineStr">
        <is>
          <t>Multimercado</t>
        </is>
      </c>
      <c r="I236" s="7" t="n">
        <v>1500</v>
      </c>
      <c r="J236" s="8" t="n">
        <v>2</v>
      </c>
      <c r="K236" s="8" t="n">
        <v>20</v>
      </c>
      <c r="L236" s="4" t="inlineStr">
        <is>
          <t>CDI</t>
        </is>
      </c>
      <c r="M236" s="5" t="n">
        <v>0</v>
      </c>
      <c r="N236" s="5" t="n">
        <v>3</v>
      </c>
      <c r="O236" s="5" t="n"/>
      <c r="P236" s="4" t="inlineStr">
        <is>
          <t>Longo Prazo</t>
        </is>
      </c>
      <c r="Q236" s="4" t="inlineStr">
        <is>
          <t>Não</t>
        </is>
      </c>
      <c r="R236" s="4" t="inlineStr">
        <is>
          <t>API interna</t>
        </is>
      </c>
      <c r="S236" s="4" t="n">
        <v>1</v>
      </c>
      <c r="T236" s="4" t="inlineStr">
        <is>
          <t>Não</t>
        </is>
      </c>
      <c r="U236" s="4" t="inlineStr">
        <is>
          <t>Sim</t>
        </is>
      </c>
      <c r="V236" s="4" t="inlineStr">
        <is>
          <t>Não</t>
        </is>
      </c>
      <c r="W236" s="4" t="inlineStr"/>
    </row>
    <row r="237">
      <c r="A237" s="4" t="inlineStr">
        <is>
          <t>BTG Pactual</t>
        </is>
      </c>
      <c r="B237" s="4" t="inlineStr">
        <is>
          <t>Absolute Pace Prev FICFIA Access RL</t>
        </is>
      </c>
      <c r="C237" s="6" t="inlineStr">
        <is>
          <t>55.498.621/0001-39</t>
        </is>
      </c>
      <c r="D237" s="4" t="inlineStr">
        <is>
          <t>BTG PACTUAL GESTÃO E CONSULTORIA DE INVESTIMENTOS LTDA</t>
        </is>
      </c>
      <c r="E237" s="4" t="inlineStr">
        <is>
          <t>12.695.840/0001-03</t>
        </is>
      </c>
      <c r="F237" s="4" t="inlineStr">
        <is>
          <t>BTG PACTUAL SERVICOS FINANCEIROS S.A. DISTRIBUIDOR</t>
        </is>
      </c>
      <c r="G237" s="4" t="inlineStr">
        <is>
          <t>Ações</t>
        </is>
      </c>
      <c r="H237" s="4" t="inlineStr">
        <is>
          <t>Renda Variável</t>
        </is>
      </c>
      <c r="I237" s="7" t="n">
        <v>0</v>
      </c>
      <c r="J237" s="8" t="n">
        <v>2</v>
      </c>
      <c r="K237" s="8" t="n">
        <v>20</v>
      </c>
      <c r="L237" s="4" t="inlineStr">
        <is>
          <t>-</t>
        </is>
      </c>
      <c r="M237" s="5" t="n">
        <v>22</v>
      </c>
      <c r="N237" s="5" t="n">
        <v>24</v>
      </c>
      <c r="O237" s="5" t="n"/>
      <c r="P237" s="4" t="inlineStr">
        <is>
          <t>Curto Prazo</t>
        </is>
      </c>
      <c r="Q237" s="4" t="inlineStr">
        <is>
          <t>Sim</t>
        </is>
      </c>
      <c r="R237" s="4" t="inlineStr">
        <is>
          <t>API interna</t>
        </is>
      </c>
      <c r="S237" s="4" t="n">
        <v>1</v>
      </c>
      <c r="T237" s="4" t="inlineStr">
        <is>
          <t>Não</t>
        </is>
      </c>
      <c r="U237" s="4" t="inlineStr">
        <is>
          <t>Sim</t>
        </is>
      </c>
      <c r="V237" s="4" t="inlineStr">
        <is>
          <t>Não</t>
        </is>
      </c>
      <c r="W237" s="4" t="inlineStr"/>
    </row>
    <row r="238">
      <c r="A238" s="4" t="inlineStr">
        <is>
          <t>BTG Pactual</t>
        </is>
      </c>
      <c r="B238" s="4" t="inlineStr">
        <is>
          <t>Absolute Vertex Prev FIM Access RL</t>
        </is>
      </c>
      <c r="C238" s="6" t="inlineStr">
        <is>
          <t>43.509.130/0001-67</t>
        </is>
      </c>
      <c r="D238" s="4" t="inlineStr">
        <is>
          <t>BTG PACTUAL GESTÃO E CONSULTORIA DE INVESTIMENTOS LTDA</t>
        </is>
      </c>
      <c r="E238" s="4" t="inlineStr">
        <is>
          <t>12.695.840/0001-03</t>
        </is>
      </c>
      <c r="F238" s="4" t="inlineStr">
        <is>
          <t>BTG PACTUAL SERVICOS FINANCEIROS S.A. DISTRIBUIDOR</t>
        </is>
      </c>
      <c r="G238" s="4" t="inlineStr">
        <is>
          <t>Multimercado</t>
        </is>
      </c>
      <c r="H238" s="4" t="inlineStr">
        <is>
          <t>Multimercado</t>
        </is>
      </c>
      <c r="I238" s="7" t="n">
        <v>1000</v>
      </c>
      <c r="J238" s="8" t="n">
        <v>2</v>
      </c>
      <c r="K238" s="8" t="n">
        <v>20</v>
      </c>
      <c r="L238" s="4" t="inlineStr">
        <is>
          <t>CDI</t>
        </is>
      </c>
      <c r="M238" s="5" t="n">
        <v>21</v>
      </c>
      <c r="N238" s="5" t="n">
        <v>22</v>
      </c>
      <c r="O238" s="5" t="n"/>
      <c r="P238" s="4" t="inlineStr">
        <is>
          <t>Curto Prazo</t>
        </is>
      </c>
      <c r="Q238" s="4" t="inlineStr">
        <is>
          <t>Não</t>
        </is>
      </c>
      <c r="R238" s="4" t="inlineStr">
        <is>
          <t>API interna</t>
        </is>
      </c>
      <c r="S238" s="4" t="n">
        <v>1</v>
      </c>
      <c r="T238" s="4" t="inlineStr">
        <is>
          <t>Não</t>
        </is>
      </c>
      <c r="U238" s="4" t="inlineStr">
        <is>
          <t>Sim</t>
        </is>
      </c>
      <c r="V238" s="4" t="inlineStr">
        <is>
          <t>Não</t>
        </is>
      </c>
      <c r="W238" s="4" t="inlineStr"/>
    </row>
    <row r="239">
      <c r="A239" s="4" t="inlineStr">
        <is>
          <t>BTG Pactual</t>
        </is>
      </c>
      <c r="B239" s="4" t="inlineStr">
        <is>
          <t>Adam BP Prev FICFIM RL</t>
        </is>
      </c>
      <c r="C239" s="6" t="inlineStr">
        <is>
          <t>24.751.504/0001-01</t>
        </is>
      </c>
      <c r="D239" s="4" t="inlineStr">
        <is>
          <t>ADAMCAPITAL GESTÃO DE RECURSOS LTDA.</t>
        </is>
      </c>
      <c r="E239" s="4" t="inlineStr">
        <is>
          <t>17.905.206/0001-63</t>
        </is>
      </c>
      <c r="F239" s="4" t="inlineStr">
        <is>
          <t>INTRAG DISTR DE TITULOS EVALORES MOBILIARIOS LTDA</t>
        </is>
      </c>
      <c r="G239" s="4" t="inlineStr">
        <is>
          <t>Multimercado</t>
        </is>
      </c>
      <c r="H239" s="4" t="inlineStr">
        <is>
          <t>Multimercado</t>
        </is>
      </c>
      <c r="I239" s="7" t="n">
        <v>1000</v>
      </c>
      <c r="J239" s="8" t="n">
        <v>2</v>
      </c>
      <c r="K239" s="8" t="n"/>
      <c r="L239" s="4" t="inlineStr"/>
      <c r="M239" s="5" t="n">
        <v>0</v>
      </c>
      <c r="N239" s="5" t="n">
        <v>2</v>
      </c>
      <c r="O239" s="5" t="n"/>
      <c r="P239" s="4" t="inlineStr">
        <is>
          <t>Longo Prazo</t>
        </is>
      </c>
      <c r="Q239" s="4" t="inlineStr">
        <is>
          <t>Sim</t>
        </is>
      </c>
      <c r="R239" s="4" t="inlineStr">
        <is>
          <t>API interna</t>
        </is>
      </c>
      <c r="S239" s="4" t="n">
        <v>1</v>
      </c>
      <c r="T239" s="4" t="inlineStr">
        <is>
          <t>Não</t>
        </is>
      </c>
      <c r="U239" s="4" t="inlineStr">
        <is>
          <t>Sim</t>
        </is>
      </c>
      <c r="V239" s="4" t="inlineStr">
        <is>
          <t>Não</t>
        </is>
      </c>
      <c r="W239" s="4" t="inlineStr"/>
    </row>
    <row r="240">
      <c r="A240" s="4" t="inlineStr">
        <is>
          <t>BTG Pactual</t>
        </is>
      </c>
      <c r="B240" s="4" t="inlineStr">
        <is>
          <t>Adam Icatu RF Ativa Prev FICFIRF LP RL</t>
        </is>
      </c>
      <c r="C240" s="6" t="inlineStr">
        <is>
          <t>52.091.995/0001-47</t>
        </is>
      </c>
      <c r="D240" s="4" t="inlineStr">
        <is>
          <t>ADAMCAPITAL GESTÃO DE RECURSOS LTDA.</t>
        </is>
      </c>
      <c r="E240" s="4" t="inlineStr">
        <is>
          <t>17.905.206/0001-63</t>
        </is>
      </c>
      <c r="F240" s="4" t="inlineStr">
        <is>
          <t>INTRAG DISTR DE TITULOS EVALORES MOBILIARIOS LTDA</t>
        </is>
      </c>
      <c r="G240" s="4" t="inlineStr">
        <is>
          <t>Renda Fixa</t>
        </is>
      </c>
      <c r="H240" s="4" t="inlineStr">
        <is>
          <t>Renda Fixa</t>
        </is>
      </c>
      <c r="I240" s="7" t="n">
        <v>1500</v>
      </c>
      <c r="J240" s="8" t="n">
        <v>0.9</v>
      </c>
      <c r="K240" s="8" t="n"/>
      <c r="L240" s="4" t="inlineStr"/>
      <c r="M240" s="5" t="n">
        <v>5</v>
      </c>
      <c r="N240" s="5" t="n">
        <v>6</v>
      </c>
      <c r="O240" s="5" t="n"/>
      <c r="P240" s="4" t="inlineStr">
        <is>
          <t>Longo Prazo</t>
        </is>
      </c>
      <c r="Q240" s="4" t="inlineStr">
        <is>
          <t>Não</t>
        </is>
      </c>
      <c r="R240" s="4" t="inlineStr">
        <is>
          <t>API interna</t>
        </is>
      </c>
      <c r="S240" s="4" t="n">
        <v>1</v>
      </c>
      <c r="T240" s="4" t="inlineStr">
        <is>
          <t>Não</t>
        </is>
      </c>
      <c r="U240" s="4" t="inlineStr">
        <is>
          <t>Sim</t>
        </is>
      </c>
      <c r="V240" s="4" t="inlineStr">
        <is>
          <t>Não</t>
        </is>
      </c>
      <c r="W240" s="4" t="inlineStr"/>
    </row>
    <row r="241">
      <c r="A241" s="4" t="inlineStr">
        <is>
          <t>BTG Pactual</t>
        </is>
      </c>
      <c r="B241" s="4" t="inlineStr">
        <is>
          <t>Alaska Long Only Prev 70 FICFIM RL</t>
        </is>
      </c>
      <c r="C241" s="6" t="inlineStr">
        <is>
          <t>41.881.132/0001-57</t>
        </is>
      </c>
      <c r="D241" s="4" t="inlineStr">
        <is>
          <t>ALASKA INVESTIMENTOS LTDA.</t>
        </is>
      </c>
      <c r="E241" s="4" t="inlineStr">
        <is>
          <t>11.752.203/0001-50</t>
        </is>
      </c>
      <c r="F241" s="4" t="inlineStr">
        <is>
          <t>BTG PACTUAL SERVICOS FINANCEIROS S.A. DISTRIBUIDOR</t>
        </is>
      </c>
      <c r="G241" s="4" t="inlineStr">
        <is>
          <t>Multimercado</t>
        </is>
      </c>
      <c r="H241" s="4" t="inlineStr">
        <is>
          <t>Renda Variável</t>
        </is>
      </c>
      <c r="I241" s="7" t="n">
        <v>1000</v>
      </c>
      <c r="J241" s="8" t="n">
        <v>1.65</v>
      </c>
      <c r="K241" s="8" t="n">
        <v>20</v>
      </c>
      <c r="L241" s="4" t="inlineStr">
        <is>
          <t>-</t>
        </is>
      </c>
      <c r="M241" s="5" t="n">
        <v>6</v>
      </c>
      <c r="N241" s="5" t="n">
        <v>8</v>
      </c>
      <c r="O241" s="5" t="n"/>
      <c r="P241" s="4" t="inlineStr">
        <is>
          <t>Curto Prazo</t>
        </is>
      </c>
      <c r="Q241" s="4" t="inlineStr">
        <is>
          <t>Não</t>
        </is>
      </c>
      <c r="R241" s="4" t="inlineStr">
        <is>
          <t>API interna</t>
        </is>
      </c>
      <c r="S241" s="4" t="n">
        <v>1</v>
      </c>
      <c r="T241" s="4" t="inlineStr">
        <is>
          <t>Não</t>
        </is>
      </c>
      <c r="U241" s="4" t="inlineStr">
        <is>
          <t>Sim</t>
        </is>
      </c>
      <c r="V241" s="4" t="inlineStr">
        <is>
          <t>Não</t>
        </is>
      </c>
      <c r="W241" s="4" t="inlineStr"/>
    </row>
    <row r="242">
      <c r="A242" s="4" t="inlineStr">
        <is>
          <t>BTG Pactual</t>
        </is>
      </c>
      <c r="B242" s="4" t="inlineStr">
        <is>
          <t>Alaska Prev 100 Long Only FICFIM RL</t>
        </is>
      </c>
      <c r="C242" s="6" t="inlineStr">
        <is>
          <t>37.313.900/0001-07</t>
        </is>
      </c>
      <c r="D242" s="4" t="inlineStr">
        <is>
          <t>ALASKA INVESTIMENTOS LTDA.</t>
        </is>
      </c>
      <c r="E242" s="4" t="inlineStr">
        <is>
          <t>11.752.203/0001-50</t>
        </is>
      </c>
      <c r="F242" s="4" t="inlineStr">
        <is>
          <t>BTG PACTUAL SERVICOS FINANCEIROS S.A. DISTRIBUIDOR</t>
        </is>
      </c>
      <c r="G242" s="4" t="inlineStr">
        <is>
          <t>Multimercado</t>
        </is>
      </c>
      <c r="H242" s="4" t="inlineStr">
        <is>
          <t>Renda Variável</t>
        </is>
      </c>
      <c r="I242" s="7" t="n">
        <v>0</v>
      </c>
      <c r="J242" s="8" t="n">
        <v>1.5</v>
      </c>
      <c r="K242" s="8" t="n">
        <v>20</v>
      </c>
      <c r="L242" s="4" t="inlineStr">
        <is>
          <t>-</t>
        </is>
      </c>
      <c r="M242" s="5" t="n">
        <v>6</v>
      </c>
      <c r="N242" s="5" t="n">
        <v>8</v>
      </c>
      <c r="O242" s="5" t="n"/>
      <c r="P242" s="4" t="inlineStr">
        <is>
          <t>Curto Prazo</t>
        </is>
      </c>
      <c r="Q242" s="4" t="inlineStr">
        <is>
          <t>Não</t>
        </is>
      </c>
      <c r="R242" s="4" t="inlineStr">
        <is>
          <t>API interna</t>
        </is>
      </c>
      <c r="S242" s="4" t="n">
        <v>1</v>
      </c>
      <c r="T242" s="4" t="inlineStr">
        <is>
          <t>Não</t>
        </is>
      </c>
      <c r="U242" s="4" t="inlineStr">
        <is>
          <t>Sim</t>
        </is>
      </c>
      <c r="V242" s="4" t="inlineStr">
        <is>
          <t>Não</t>
        </is>
      </c>
      <c r="W242" s="4" t="inlineStr"/>
    </row>
    <row r="243">
      <c r="A243" s="4" t="inlineStr">
        <is>
          <t>BTG Pactual</t>
        </is>
      </c>
      <c r="B243" s="4" t="inlineStr">
        <is>
          <t>Alphakey Prev 70 FIC FIF MM</t>
        </is>
      </c>
      <c r="C243" s="6" t="inlineStr">
        <is>
          <t>65.655.653/0001-54</t>
        </is>
      </c>
      <c r="D243" s="4" t="inlineStr">
        <is>
          <t>ALPHAKEY CAPITAL MANAGEMENT INVESTIMENTOS LTDA</t>
        </is>
      </c>
      <c r="E243" s="4" t="inlineStr">
        <is>
          <t>31.340.246/0001-36</t>
        </is>
      </c>
      <c r="F243" s="4" t="inlineStr">
        <is>
          <t>BTG PACTUAL SERVICOS FINANCEIROS S.A. DISTRIBUIDOR</t>
        </is>
      </c>
      <c r="G243" s="4" t="inlineStr">
        <is>
          <t>Multimercado</t>
        </is>
      </c>
      <c r="H243" s="4" t="inlineStr">
        <is>
          <t>Renda Variável</t>
        </is>
      </c>
      <c r="I243" s="7" t="n">
        <v>1000</v>
      </c>
      <c r="J243" s="8" t="n"/>
      <c r="K243" s="8" t="n">
        <v>20</v>
      </c>
      <c r="L243" s="4" t="inlineStr">
        <is>
          <t>-</t>
        </is>
      </c>
      <c r="M243" s="5" t="n">
        <v>8</v>
      </c>
      <c r="N243" s="5" t="n">
        <v>10</v>
      </c>
      <c r="O243" s="5" t="n"/>
      <c r="P243" s="4" t="inlineStr">
        <is>
          <t>Curto Prazo</t>
        </is>
      </c>
      <c r="Q243" s="4" t="inlineStr">
        <is>
          <t>Não</t>
        </is>
      </c>
      <c r="R243" s="4" t="inlineStr">
        <is>
          <t>API interna</t>
        </is>
      </c>
      <c r="S243" s="4" t="n">
        <v>1</v>
      </c>
      <c r="T243" s="4" t="inlineStr">
        <is>
          <t>Não</t>
        </is>
      </c>
      <c r="U243" s="4" t="inlineStr">
        <is>
          <t>Sim</t>
        </is>
      </c>
      <c r="V243" s="4" t="inlineStr">
        <is>
          <t>Não</t>
        </is>
      </c>
      <c r="W243" s="4" t="inlineStr"/>
    </row>
    <row r="244">
      <c r="A244" s="4" t="inlineStr">
        <is>
          <t>BTG Pactual</t>
        </is>
      </c>
      <c r="B244" s="4" t="inlineStr">
        <is>
          <t>Arca Grao Prev FICFIM Access RL</t>
        </is>
      </c>
      <c r="C244" s="6" t="inlineStr">
        <is>
          <t>42.848.021/0001-01</t>
        </is>
      </c>
      <c r="D244" s="4" t="inlineStr">
        <is>
          <t>GRÃO GESTÃO DE RECURSOS LTDA.</t>
        </is>
      </c>
      <c r="E244" s="4" t="inlineStr">
        <is>
          <t>43.739.164/0001-48</t>
        </is>
      </c>
      <c r="F244" s="4" t="inlineStr">
        <is>
          <t>S3 CACEIS BRASIL DISTRIBUIDORA DE TITULOS E VALORE</t>
        </is>
      </c>
      <c r="G244" s="4" t="inlineStr">
        <is>
          <t>Multimercado</t>
        </is>
      </c>
      <c r="H244" s="4" t="inlineStr">
        <is>
          <t>Alocação</t>
        </is>
      </c>
      <c r="I244" s="7" t="n">
        <v>1000</v>
      </c>
      <c r="J244" s="8" t="n">
        <v>0.59</v>
      </c>
      <c r="K244" s="8" t="n"/>
      <c r="L244" s="4" t="inlineStr"/>
      <c r="M244" s="5" t="n">
        <v>7</v>
      </c>
      <c r="N244" s="5" t="n">
        <v>9</v>
      </c>
      <c r="O244" s="5" t="n"/>
      <c r="P244" s="4" t="inlineStr">
        <is>
          <t>Longo Prazo</t>
        </is>
      </c>
      <c r="Q244" s="4" t="inlineStr">
        <is>
          <t>Não</t>
        </is>
      </c>
      <c r="R244" s="4" t="inlineStr">
        <is>
          <t>API interna</t>
        </is>
      </c>
      <c r="S244" s="4" t="n">
        <v>1</v>
      </c>
      <c r="T244" s="4" t="inlineStr">
        <is>
          <t>Não</t>
        </is>
      </c>
      <c r="U244" s="4" t="inlineStr">
        <is>
          <t>Sim</t>
        </is>
      </c>
      <c r="V244" s="4" t="inlineStr">
        <is>
          <t>Não</t>
        </is>
      </c>
      <c r="W244" s="4" t="inlineStr"/>
    </row>
    <row r="245">
      <c r="A245" s="4" t="inlineStr">
        <is>
          <t>BTG Pactual</t>
        </is>
      </c>
      <c r="B245" s="4" t="inlineStr">
        <is>
          <t>Arca Grao Prev FICFIRF Access CrPr RL</t>
        </is>
      </c>
      <c r="C245" s="6" t="inlineStr">
        <is>
          <t>57.445.402/0001-17</t>
        </is>
      </c>
      <c r="D245" s="4" t="inlineStr">
        <is>
          <t>GRÃO GESTÃO DE RECURSOS LTDA.</t>
        </is>
      </c>
      <c r="E245" s="4" t="inlineStr">
        <is>
          <t>43.739.164/0001-48</t>
        </is>
      </c>
      <c r="F245" s="4" t="inlineStr">
        <is>
          <t>S3 CACEIS BRASIL DISTRIBUIDORA DE TITULOS E VALORE</t>
        </is>
      </c>
      <c r="G245" s="4" t="inlineStr">
        <is>
          <t>Renda Fixa</t>
        </is>
      </c>
      <c r="H245" s="4" t="inlineStr">
        <is>
          <t>Renda Fixa</t>
        </is>
      </c>
      <c r="I245" s="7" t="n">
        <v>1000</v>
      </c>
      <c r="J245" s="8" t="n">
        <v>0.59</v>
      </c>
      <c r="K245" s="8" t="n"/>
      <c r="L245" s="4" t="inlineStr"/>
      <c r="M245" s="5" t="n">
        <v>7</v>
      </c>
      <c r="N245" s="5" t="n">
        <v>9</v>
      </c>
      <c r="O245" s="5" t="n"/>
      <c r="P245" s="4" t="inlineStr">
        <is>
          <t>Não Aplicável</t>
        </is>
      </c>
      <c r="Q245" s="4" t="inlineStr">
        <is>
          <t>Sim</t>
        </is>
      </c>
      <c r="R245" s="4" t="inlineStr">
        <is>
          <t>API interna</t>
        </is>
      </c>
      <c r="S245" s="4" t="n">
        <v>1</v>
      </c>
      <c r="T245" s="4" t="inlineStr">
        <is>
          <t>Não</t>
        </is>
      </c>
      <c r="U245" s="4" t="inlineStr">
        <is>
          <t>Sim</t>
        </is>
      </c>
      <c r="V245" s="4" t="inlineStr">
        <is>
          <t>Não</t>
        </is>
      </c>
      <c r="W245" s="4" t="inlineStr"/>
    </row>
    <row r="246">
      <c r="A246" s="4" t="inlineStr">
        <is>
          <t>BTG Pactual</t>
        </is>
      </c>
      <c r="B246" s="4" t="inlineStr">
        <is>
          <t>Armor Prev FIE I FIF MM</t>
        </is>
      </c>
      <c r="C246" s="6" t="inlineStr">
        <is>
          <t>64.157.228/0001-72</t>
        </is>
      </c>
      <c r="D246" s="4" t="inlineStr">
        <is>
          <t>ARMOR GESTORA DE RECURSOS LTDA.</t>
        </is>
      </c>
      <c r="E246" s="4" t="inlineStr">
        <is>
          <t>34.176.302/0001-37</t>
        </is>
      </c>
      <c r="F246" s="4" t="inlineStr">
        <is>
          <t>BTG PACTUAL SERVICOS FINANCEIROS S.A. DISTRIBUIDOR</t>
        </is>
      </c>
      <c r="G246" s="4" t="inlineStr">
        <is>
          <t>Multimercado</t>
        </is>
      </c>
      <c r="H246" s="4" t="inlineStr">
        <is>
          <t>Outros</t>
        </is>
      </c>
      <c r="I246" s="7" t="n">
        <v>1000</v>
      </c>
      <c r="J246" s="8" t="n"/>
      <c r="K246" s="8" t="n">
        <v>20</v>
      </c>
      <c r="L246" s="4" t="inlineStr">
        <is>
          <t>-</t>
        </is>
      </c>
      <c r="M246" s="5" t="n">
        <v>5</v>
      </c>
      <c r="N246" s="5" t="n">
        <v>6</v>
      </c>
      <c r="O246" s="5" t="n"/>
      <c r="P246" s="4" t="inlineStr">
        <is>
          <t>Longo Prazo</t>
        </is>
      </c>
      <c r="Q246" s="4" t="inlineStr">
        <is>
          <t>Não</t>
        </is>
      </c>
      <c r="R246" s="4" t="inlineStr">
        <is>
          <t>API interna</t>
        </is>
      </c>
      <c r="S246" s="4" t="n">
        <v>1</v>
      </c>
      <c r="T246" s="4" t="inlineStr">
        <is>
          <t>Não</t>
        </is>
      </c>
      <c r="U246" s="4" t="inlineStr">
        <is>
          <t>Sim</t>
        </is>
      </c>
      <c r="V246" s="4" t="inlineStr">
        <is>
          <t>Não</t>
        </is>
      </c>
      <c r="W246" s="4" t="inlineStr"/>
    </row>
    <row r="247">
      <c r="A247" s="4" t="inlineStr">
        <is>
          <t>BTG Pactual</t>
        </is>
      </c>
      <c r="B247" s="4" t="inlineStr">
        <is>
          <t>Artesanal Prev FIM RL</t>
        </is>
      </c>
      <c r="C247" s="6" t="inlineStr">
        <is>
          <t>53.497.497/0001-61</t>
        </is>
      </c>
      <c r="D247" s="4" t="inlineStr">
        <is>
          <t>ARTESANAL INVESTIMENTOS LTDA</t>
        </is>
      </c>
      <c r="E247" s="4" t="inlineStr">
        <is>
          <t>03.084.098/0001-09</t>
        </is>
      </c>
      <c r="F247" s="4" t="inlineStr">
        <is>
          <t>BTG PACTUAL SERVICOS FINANCEIROS S.A. DISTRIBUIDOR</t>
        </is>
      </c>
      <c r="G247" s="4" t="inlineStr">
        <is>
          <t>Multimercado</t>
        </is>
      </c>
      <c r="H247" s="4" t="inlineStr">
        <is>
          <t>Multimercado</t>
        </is>
      </c>
      <c r="I247" s="7" t="n">
        <v>100</v>
      </c>
      <c r="J247" s="8" t="n"/>
      <c r="K247" s="8" t="n">
        <v>15</v>
      </c>
      <c r="L247" s="4" t="inlineStr">
        <is>
          <t>-</t>
        </is>
      </c>
      <c r="M247" s="5" t="n">
        <v>9</v>
      </c>
      <c r="N247" s="5" t="n">
        <v>10</v>
      </c>
      <c r="O247" s="5" t="n"/>
      <c r="P247" s="4" t="inlineStr">
        <is>
          <t>Longo Prazo</t>
        </is>
      </c>
      <c r="Q247" s="4" t="inlineStr">
        <is>
          <t>Não</t>
        </is>
      </c>
      <c r="R247" s="4" t="inlineStr">
        <is>
          <t>API interna</t>
        </is>
      </c>
      <c r="S247" s="4" t="n">
        <v>1</v>
      </c>
      <c r="T247" s="4" t="inlineStr">
        <is>
          <t>Não</t>
        </is>
      </c>
      <c r="U247" s="4" t="inlineStr">
        <is>
          <t>Sim</t>
        </is>
      </c>
      <c r="V247" s="4" t="inlineStr">
        <is>
          <t>Não</t>
        </is>
      </c>
      <c r="W247" s="4" t="inlineStr"/>
    </row>
    <row r="248">
      <c r="A248" s="4" t="inlineStr">
        <is>
          <t>BTG Pactual</t>
        </is>
      </c>
      <c r="B248" s="4" t="inlineStr">
        <is>
          <t>Artica Prev FIM RL</t>
        </is>
      </c>
      <c r="C248" s="6" t="inlineStr">
        <is>
          <t>54.347.632/0001-55</t>
        </is>
      </c>
      <c r="D248" s="4" t="inlineStr">
        <is>
          <t>ARTICA GESTÃO DE RECURSOS LTDA</t>
        </is>
      </c>
      <c r="E248" s="4" t="inlineStr">
        <is>
          <t>31.227.292/0001-23</t>
        </is>
      </c>
      <c r="F248" s="4" t="inlineStr">
        <is>
          <t>BTG PACTUAL SERVICOS FINANCEIROS S.A. DISTRIBUIDOR</t>
        </is>
      </c>
      <c r="G248" s="4" t="inlineStr">
        <is>
          <t>Multimercado</t>
        </is>
      </c>
      <c r="H248" s="4" t="inlineStr">
        <is>
          <t>Renda Variável</t>
        </is>
      </c>
      <c r="I248" s="7" t="n">
        <v>1000</v>
      </c>
      <c r="J248" s="8" t="n"/>
      <c r="K248" s="8" t="n">
        <v>20</v>
      </c>
      <c r="L248" s="4" t="inlineStr">
        <is>
          <t>IBOVESPA</t>
        </is>
      </c>
      <c r="M248" s="5" t="n">
        <v>88</v>
      </c>
      <c r="N248" s="5" t="n">
        <v>90</v>
      </c>
      <c r="O248" s="5" t="n"/>
      <c r="P248" s="4" t="inlineStr">
        <is>
          <t>Curto Prazo</t>
        </is>
      </c>
      <c r="Q248" s="4" t="inlineStr">
        <is>
          <t>Não</t>
        </is>
      </c>
      <c r="R248" s="4" t="inlineStr">
        <is>
          <t>API interna</t>
        </is>
      </c>
      <c r="S248" s="4" t="n">
        <v>1</v>
      </c>
      <c r="T248" s="4" t="inlineStr">
        <is>
          <t>Não</t>
        </is>
      </c>
      <c r="U248" s="4" t="inlineStr">
        <is>
          <t>Sim</t>
        </is>
      </c>
      <c r="V248" s="4" t="inlineStr">
        <is>
          <t>Não</t>
        </is>
      </c>
      <c r="W248" s="4" t="inlineStr"/>
    </row>
    <row r="249">
      <c r="A249" s="4" t="inlineStr">
        <is>
          <t>BTG Pactual</t>
        </is>
      </c>
      <c r="B249" s="4" t="inlineStr">
        <is>
          <t>Atena Prev FICFIRF FIE 1 CrPr RL</t>
        </is>
      </c>
      <c r="C249" s="6" t="inlineStr">
        <is>
          <t>53.798.822/0001-26</t>
        </is>
      </c>
      <c r="D249" s="4" t="inlineStr">
        <is>
          <t>ATENA CAPITAL GESTÃO DE RECURSOS LTDA.</t>
        </is>
      </c>
      <c r="E249" s="4" t="inlineStr">
        <is>
          <t>19.005.052/0001-89</t>
        </is>
      </c>
      <c r="F249" s="4" t="inlineStr">
        <is>
          <t>BTG PACTUAL SERVICOS FINANCEIROS S.A. DISTRIBUIDOR</t>
        </is>
      </c>
      <c r="G249" s="4" t="inlineStr">
        <is>
          <t>Renda Fixa</t>
        </is>
      </c>
      <c r="H249" s="4" t="inlineStr">
        <is>
          <t>Renda Fixa</t>
        </is>
      </c>
      <c r="I249" s="7" t="n">
        <v>1000</v>
      </c>
      <c r="J249" s="8" t="n"/>
      <c r="K249" s="8" t="n">
        <v>15</v>
      </c>
      <c r="L249" s="4" t="inlineStr">
        <is>
          <t>-</t>
        </is>
      </c>
      <c r="M249" s="5" t="n">
        <v>7</v>
      </c>
      <c r="N249" s="5" t="n">
        <v>9</v>
      </c>
      <c r="O249" s="5" t="n"/>
      <c r="P249" s="4" t="inlineStr">
        <is>
          <t>Curto Prazo</t>
        </is>
      </c>
      <c r="Q249" s="4" t="inlineStr">
        <is>
          <t>Não</t>
        </is>
      </c>
      <c r="R249" s="4" t="inlineStr">
        <is>
          <t>API interna</t>
        </is>
      </c>
      <c r="S249" s="4" t="n">
        <v>1</v>
      </c>
      <c r="T249" s="4" t="inlineStr">
        <is>
          <t>Não</t>
        </is>
      </c>
      <c r="U249" s="4" t="inlineStr">
        <is>
          <t>Sim</t>
        </is>
      </c>
      <c r="V249" s="4" t="inlineStr">
        <is>
          <t>Não</t>
        </is>
      </c>
      <c r="W249" s="4" t="inlineStr"/>
    </row>
    <row r="250">
      <c r="A250" s="4" t="inlineStr">
        <is>
          <t>BTG Pactual</t>
        </is>
      </c>
      <c r="B250" s="4" t="inlineStr">
        <is>
          <t>Atlas ONE Icatu 70 Prev FIM RL</t>
        </is>
      </c>
      <c r="C250" s="6" t="inlineStr">
        <is>
          <t>33.520.932/0001-14</t>
        </is>
      </c>
      <c r="D250" s="4" t="inlineStr">
        <is>
          <t>ATLAS ONE INVESTIMENTOS GESTÃO DE RECURSOS LTDA.</t>
        </is>
      </c>
      <c r="E250" s="4" t="inlineStr">
        <is>
          <t>36.658.682/0001-71</t>
        </is>
      </c>
      <c r="F250" s="4" t="inlineStr">
        <is>
          <t>BEM DISTRIBUIDORA DE TITULOS E VALORES MOBILIARIOS</t>
        </is>
      </c>
      <c r="G250" s="4" t="inlineStr">
        <is>
          <t>Multimercado</t>
        </is>
      </c>
      <c r="H250" s="4" t="inlineStr">
        <is>
          <t>Renda Variável</t>
        </is>
      </c>
      <c r="I250" s="7" t="n">
        <v>1500</v>
      </c>
      <c r="J250" s="8" t="n">
        <v>0.55</v>
      </c>
      <c r="K250" s="8" t="n"/>
      <c r="L250" s="4" t="inlineStr"/>
      <c r="M250" s="5" t="n">
        <v>7</v>
      </c>
      <c r="N250" s="5" t="n">
        <v>9</v>
      </c>
      <c r="O250" s="5" t="n"/>
      <c r="P250" s="4" t="inlineStr">
        <is>
          <t>Longo Prazo</t>
        </is>
      </c>
      <c r="Q250" s="4" t="inlineStr">
        <is>
          <t>Não</t>
        </is>
      </c>
      <c r="R250" s="4" t="inlineStr">
        <is>
          <t>API interna</t>
        </is>
      </c>
      <c r="S250" s="4" t="n">
        <v>1</v>
      </c>
      <c r="T250" s="4" t="inlineStr">
        <is>
          <t>Não</t>
        </is>
      </c>
      <c r="U250" s="4" t="inlineStr">
        <is>
          <t>Sim</t>
        </is>
      </c>
      <c r="V250" s="4" t="inlineStr">
        <is>
          <t>Não</t>
        </is>
      </c>
      <c r="W250" s="4" t="inlineStr"/>
    </row>
    <row r="251">
      <c r="A251" s="4" t="inlineStr">
        <is>
          <t>BTG Pactual</t>
        </is>
      </c>
      <c r="B251" s="4" t="inlineStr">
        <is>
          <t>BTG Alocacao Global Cred Prev FIM CrPr RL</t>
        </is>
      </c>
      <c r="C251" s="6" t="inlineStr">
        <is>
          <t>52.279.451/0001-03</t>
        </is>
      </c>
      <c r="D251" s="4" t="inlineStr">
        <is>
          <t>BTG PACTUAL ASSET MANAGEMENT S/A DTVM</t>
        </is>
      </c>
      <c r="E251" s="4" t="inlineStr">
        <is>
          <t>29.650.082/0001-00</t>
        </is>
      </c>
      <c r="F251" s="4" t="inlineStr">
        <is>
          <t>BTG PACTUAL SERVICOS FINANCEIROS S.A. DISTRIBUIDOR</t>
        </is>
      </c>
      <c r="G251" s="4" t="inlineStr">
        <is>
          <t>Multimercado</t>
        </is>
      </c>
      <c r="H251" s="4" t="inlineStr">
        <is>
          <t>Multimercado</t>
        </is>
      </c>
      <c r="I251" s="7" t="n">
        <v>1000</v>
      </c>
      <c r="J251" s="8" t="n"/>
      <c r="K251" s="8" t="n"/>
      <c r="L251" s="4" t="inlineStr"/>
      <c r="M251" s="5" t="n">
        <v>7</v>
      </c>
      <c r="N251" s="5" t="n">
        <v>8</v>
      </c>
      <c r="O251" s="5" t="n"/>
      <c r="P251" s="4" t="inlineStr">
        <is>
          <t>Curto Prazo</t>
        </is>
      </c>
      <c r="Q251" s="4" t="inlineStr">
        <is>
          <t>Não</t>
        </is>
      </c>
      <c r="R251" s="4" t="inlineStr">
        <is>
          <t>API interna</t>
        </is>
      </c>
      <c r="S251" s="4" t="n">
        <v>1</v>
      </c>
      <c r="T251" s="4" t="inlineStr">
        <is>
          <t>Não</t>
        </is>
      </c>
      <c r="U251" s="4" t="inlineStr">
        <is>
          <t>Sim</t>
        </is>
      </c>
      <c r="V251" s="4" t="inlineStr">
        <is>
          <t>Não</t>
        </is>
      </c>
      <c r="W251" s="4" t="inlineStr"/>
    </row>
    <row r="252">
      <c r="A252" s="4" t="inlineStr">
        <is>
          <t>BTG Pactual</t>
        </is>
      </c>
      <c r="B252" s="4" t="inlineStr">
        <is>
          <t>BTG Autoinvest Balanceado Prev FIM CrPr RL</t>
        </is>
      </c>
      <c r="C252" s="6" t="inlineStr">
        <is>
          <t>44.672.908/0001-17</t>
        </is>
      </c>
      <c r="D252" s="4" t="inlineStr">
        <is>
          <t>BTG PACTUAL GESTÃO E CONSULTORIA DE INVESTIMENTOS LTDA</t>
        </is>
      </c>
      <c r="E252" s="4" t="inlineStr">
        <is>
          <t>12.695.840/0001-03</t>
        </is>
      </c>
      <c r="F252" s="4" t="inlineStr">
        <is>
          <t>BTG PACTUAL SERVICOS FINANCEIROS S.A. DISTRIBUIDOR</t>
        </is>
      </c>
      <c r="G252" s="4" t="inlineStr">
        <is>
          <t>Multimercado</t>
        </is>
      </c>
      <c r="H252" s="4" t="inlineStr">
        <is>
          <t>Alocação</t>
        </is>
      </c>
      <c r="I252" s="7" t="n">
        <v>1000</v>
      </c>
      <c r="J252" s="8" t="n">
        <v>0.5</v>
      </c>
      <c r="K252" s="8" t="n">
        <v>10</v>
      </c>
      <c r="L252" s="4" t="inlineStr">
        <is>
          <t>CDI</t>
        </is>
      </c>
      <c r="M252" s="5" t="n">
        <v>7</v>
      </c>
      <c r="N252" s="5" t="n">
        <v>9</v>
      </c>
      <c r="O252" s="5" t="n"/>
      <c r="P252" s="4" t="inlineStr">
        <is>
          <t>Curto Prazo</t>
        </is>
      </c>
      <c r="Q252" s="4" t="inlineStr">
        <is>
          <t>Não</t>
        </is>
      </c>
      <c r="R252" s="4" t="inlineStr">
        <is>
          <t>API interna</t>
        </is>
      </c>
      <c r="S252" s="4" t="n">
        <v>1</v>
      </c>
      <c r="T252" s="4" t="inlineStr">
        <is>
          <t>Não</t>
        </is>
      </c>
      <c r="U252" s="4" t="inlineStr">
        <is>
          <t>Sim</t>
        </is>
      </c>
      <c r="V252" s="4" t="inlineStr">
        <is>
          <t>Não</t>
        </is>
      </c>
      <c r="W252" s="4" t="inlineStr"/>
    </row>
    <row r="253">
      <c r="A253" s="4" t="inlineStr">
        <is>
          <t>BTG Pactual</t>
        </is>
      </c>
      <c r="B253" s="4" t="inlineStr">
        <is>
          <t>BTG Autoinvest Sofisticado Prev FIM CrPr RL</t>
        </is>
      </c>
      <c r="C253" s="6" t="inlineStr">
        <is>
          <t>20.332.753/0001-01</t>
        </is>
      </c>
      <c r="D253" s="4" t="inlineStr">
        <is>
          <t>BTG PACTUAL GESTÃO E CONSULTORIA DE INVESTIMENTOS LTDA</t>
        </is>
      </c>
      <c r="E253" s="4" t="inlineStr">
        <is>
          <t>12.695.840/0001-03</t>
        </is>
      </c>
      <c r="F253" s="4" t="inlineStr">
        <is>
          <t>BTG PACTUAL SERVICOS FINANCEIROS S.A. DISTRIBUIDOR</t>
        </is>
      </c>
      <c r="G253" s="4" t="inlineStr">
        <is>
          <t>Multimercado</t>
        </is>
      </c>
      <c r="H253" s="4" t="inlineStr">
        <is>
          <t>Alocação</t>
        </is>
      </c>
      <c r="I253" s="7" t="n">
        <v>1000</v>
      </c>
      <c r="J253" s="8" t="n">
        <v>1</v>
      </c>
      <c r="K253" s="8" t="n"/>
      <c r="L253" s="4" t="inlineStr"/>
      <c r="M253" s="5" t="n">
        <v>0</v>
      </c>
      <c r="N253" s="5" t="n">
        <v>2</v>
      </c>
      <c r="O253" s="5" t="n"/>
      <c r="P253" s="4" t="inlineStr">
        <is>
          <t>Curto Prazo</t>
        </is>
      </c>
      <c r="Q253" s="4" t="inlineStr">
        <is>
          <t>Não</t>
        </is>
      </c>
      <c r="R253" s="4" t="inlineStr">
        <is>
          <t>API interna</t>
        </is>
      </c>
      <c r="S253" s="4" t="n">
        <v>1</v>
      </c>
      <c r="T253" s="4" t="inlineStr">
        <is>
          <t>Não</t>
        </is>
      </c>
      <c r="U253" s="4" t="inlineStr">
        <is>
          <t>Sim</t>
        </is>
      </c>
      <c r="V253" s="4" t="inlineStr">
        <is>
          <t>Não</t>
        </is>
      </c>
      <c r="W253" s="4" t="inlineStr"/>
    </row>
    <row r="254">
      <c r="A254" s="4" t="inlineStr">
        <is>
          <t>BTG Pactual</t>
        </is>
      </c>
      <c r="B254" s="4" t="inlineStr">
        <is>
          <t>BTG CDB Plus Prev FIM CrPr RL</t>
        </is>
      </c>
      <c r="C254" s="6" t="inlineStr">
        <is>
          <t>47.564.915/0001-93</t>
        </is>
      </c>
      <c r="D254" s="4" t="inlineStr">
        <is>
          <t>BTG PACTUAL ASSET MANAGEMENT S/A DTVM</t>
        </is>
      </c>
      <c r="E254" s="4" t="inlineStr">
        <is>
          <t>29.650.082/0001-00</t>
        </is>
      </c>
      <c r="F254" s="4" t="inlineStr">
        <is>
          <t>BTG PACTUAL SERVICOS FINANCEIROS S.A. DISTRIBUIDOR</t>
        </is>
      </c>
      <c r="G254" s="4" t="inlineStr">
        <is>
          <t>Multimercado</t>
        </is>
      </c>
      <c r="H254" s="4" t="inlineStr">
        <is>
          <t>Renda Fixa</t>
        </is>
      </c>
      <c r="I254" s="7" t="n">
        <v>1000</v>
      </c>
      <c r="J254" s="8" t="n"/>
      <c r="K254" s="8" t="n"/>
      <c r="L254" s="4" t="inlineStr"/>
      <c r="M254" s="5" t="n">
        <v>0</v>
      </c>
      <c r="N254" s="5" t="n">
        <v>1</v>
      </c>
      <c r="O254" s="5" t="n"/>
      <c r="P254" s="4" t="inlineStr">
        <is>
          <t>Curto Prazo</t>
        </is>
      </c>
      <c r="Q254" s="4" t="inlineStr">
        <is>
          <t>Não</t>
        </is>
      </c>
      <c r="R254" s="4" t="inlineStr">
        <is>
          <t>API interna</t>
        </is>
      </c>
      <c r="S254" s="4" t="n">
        <v>1</v>
      </c>
      <c r="T254" s="4" t="inlineStr">
        <is>
          <t>Não</t>
        </is>
      </c>
      <c r="U254" s="4" t="inlineStr">
        <is>
          <t>Sim</t>
        </is>
      </c>
      <c r="V254" s="4" t="inlineStr">
        <is>
          <t>Não</t>
        </is>
      </c>
      <c r="W254" s="4" t="inlineStr"/>
    </row>
    <row r="255">
      <c r="A255" s="4" t="inlineStr">
        <is>
          <t>BTG Pactual</t>
        </is>
      </c>
      <c r="B255" s="4" t="inlineStr">
        <is>
          <t>BTG Cred Corp OAK3 Global Prev FIE FIM CrPr RL</t>
        </is>
      </c>
      <c r="C255" s="6" t="inlineStr">
        <is>
          <t>54.304.610/0001-08</t>
        </is>
      </c>
      <c r="D255" s="4" t="inlineStr">
        <is>
          <t>BTG PACTUAL ASSET MANAGEMENT S/A DTVM</t>
        </is>
      </c>
      <c r="E255" s="4" t="inlineStr">
        <is>
          <t>29.650.082/0001-00</t>
        </is>
      </c>
      <c r="F255" s="4" t="inlineStr">
        <is>
          <t>BTG PACTUAL SERVICOS FINANCEIROS S.A. DISTRIBUIDOR</t>
        </is>
      </c>
      <c r="G255" s="4" t="inlineStr">
        <is>
          <t>Multimercado</t>
        </is>
      </c>
      <c r="H255" s="4" t="inlineStr">
        <is>
          <t>Renda Fixa</t>
        </is>
      </c>
      <c r="I255" s="7" t="n">
        <v>1000</v>
      </c>
      <c r="J255" s="8" t="n"/>
      <c r="K255" s="8" t="n"/>
      <c r="L255" s="4" t="inlineStr"/>
      <c r="M255" s="5" t="n">
        <v>9</v>
      </c>
      <c r="N255" s="5" t="n">
        <v>12</v>
      </c>
      <c r="O255" s="5" t="n"/>
      <c r="P255" s="4" t="inlineStr">
        <is>
          <t>Curto Prazo</t>
        </is>
      </c>
      <c r="Q255" s="4" t="inlineStr">
        <is>
          <t>Não</t>
        </is>
      </c>
      <c r="R255" s="4" t="inlineStr">
        <is>
          <t>API interna</t>
        </is>
      </c>
      <c r="S255" s="4" t="n">
        <v>1</v>
      </c>
      <c r="T255" s="4" t="inlineStr">
        <is>
          <t>Não</t>
        </is>
      </c>
      <c r="U255" s="4" t="inlineStr">
        <is>
          <t>Sim</t>
        </is>
      </c>
      <c r="V255" s="4" t="inlineStr">
        <is>
          <t>Não</t>
        </is>
      </c>
      <c r="W255" s="4" t="inlineStr"/>
    </row>
    <row r="256">
      <c r="A256" s="4" t="inlineStr">
        <is>
          <t>BTG Pactual</t>
        </is>
      </c>
      <c r="B256" s="4" t="inlineStr">
        <is>
          <t>BTG Icatu Vanguarda Absoluto II FIRF Prev CrPr RL</t>
        </is>
      </c>
      <c r="C256" s="6" t="inlineStr">
        <is>
          <t>46.700.364/0001-85</t>
        </is>
      </c>
      <c r="D256" s="4" t="inlineStr">
        <is>
          <t>ICATU VANGUARDA GESTÃO DE RECURSOS LTDA</t>
        </is>
      </c>
      <c r="E256" s="4" t="inlineStr">
        <is>
          <t>68.622.174/0001-20</t>
        </is>
      </c>
      <c r="F256" s="4" t="inlineStr">
        <is>
          <t>BEM DISTRIBUIDORA DE TITULOS E VALORES MOBILIARIOS</t>
        </is>
      </c>
      <c r="G256" s="4" t="inlineStr">
        <is>
          <t>Renda Fixa</t>
        </is>
      </c>
      <c r="H256" s="4" t="inlineStr">
        <is>
          <t>Renda Fixa</t>
        </is>
      </c>
      <c r="I256" s="7" t="n">
        <v>1000</v>
      </c>
      <c r="J256" s="8" t="n">
        <v>0.8</v>
      </c>
      <c r="K256" s="8" t="n">
        <v>20</v>
      </c>
      <c r="L256" s="4" t="inlineStr">
        <is>
          <t>CDI</t>
        </is>
      </c>
      <c r="M256" s="5" t="n">
        <v>9</v>
      </c>
      <c r="N256" s="5" t="n">
        <v>10</v>
      </c>
      <c r="O256" s="5" t="n"/>
      <c r="P256" s="4" t="inlineStr">
        <is>
          <t>Longo Prazo</t>
        </is>
      </c>
      <c r="Q256" s="4" t="inlineStr">
        <is>
          <t>Não</t>
        </is>
      </c>
      <c r="R256" s="4" t="inlineStr">
        <is>
          <t>API interna</t>
        </is>
      </c>
      <c r="S256" s="4" t="n">
        <v>1</v>
      </c>
      <c r="T256" s="4" t="inlineStr">
        <is>
          <t>Não</t>
        </is>
      </c>
      <c r="U256" s="4" t="inlineStr">
        <is>
          <t>Sim</t>
        </is>
      </c>
      <c r="V256" s="4" t="inlineStr">
        <is>
          <t>Não</t>
        </is>
      </c>
      <c r="W256" s="4" t="inlineStr"/>
    </row>
    <row r="257">
      <c r="A257" s="4" t="inlineStr">
        <is>
          <t>BTG Pactual</t>
        </is>
      </c>
      <c r="B257" s="4" t="inlineStr">
        <is>
          <t>BTG Long Term Prev FIA FIE</t>
        </is>
      </c>
      <c r="C257" s="6" t="inlineStr">
        <is>
          <t>57.976.621/0001-22</t>
        </is>
      </c>
      <c r="D257" s="4" t="inlineStr">
        <is>
          <t>BTG PACTUAL ASSET MANAGEMENT S/A DTVM</t>
        </is>
      </c>
      <c r="E257" s="4" t="inlineStr">
        <is>
          <t>29.650.082/0001-00</t>
        </is>
      </c>
      <c r="F257" s="4" t="inlineStr">
        <is>
          <t>BTG PACTUAL SERVICOS FINANCEIROS S.A. DISTRIBUIDOR</t>
        </is>
      </c>
      <c r="G257" s="4" t="inlineStr">
        <is>
          <t>Ações</t>
        </is>
      </c>
      <c r="H257" s="4" t="inlineStr">
        <is>
          <t>Renda Variável</t>
        </is>
      </c>
      <c r="I257" s="7" t="n">
        <v>1000</v>
      </c>
      <c r="J257" s="8" t="n"/>
      <c r="K257" s="8" t="n">
        <v>20</v>
      </c>
      <c r="L257" s="4" t="inlineStr">
        <is>
          <t>-</t>
        </is>
      </c>
      <c r="M257" s="5" t="n">
        <v>30</v>
      </c>
      <c r="N257" s="5" t="n">
        <v>32</v>
      </c>
      <c r="O257" s="5" t="n"/>
      <c r="P257" s="4" t="inlineStr">
        <is>
          <t>Curto Prazo</t>
        </is>
      </c>
      <c r="Q257" s="4" t="inlineStr">
        <is>
          <t>Não</t>
        </is>
      </c>
      <c r="R257" s="4" t="inlineStr">
        <is>
          <t>API interna</t>
        </is>
      </c>
      <c r="S257" s="4" t="n">
        <v>1</v>
      </c>
      <c r="T257" s="4" t="inlineStr">
        <is>
          <t>Não</t>
        </is>
      </c>
      <c r="U257" s="4" t="inlineStr">
        <is>
          <t>Sim</t>
        </is>
      </c>
      <c r="V257" s="4" t="inlineStr">
        <is>
          <t>Não</t>
        </is>
      </c>
      <c r="W257" s="4" t="inlineStr"/>
    </row>
    <row r="258">
      <c r="A258" s="4" t="inlineStr">
        <is>
          <t>BTG Pactual</t>
        </is>
      </c>
      <c r="B258" s="4" t="inlineStr">
        <is>
          <t>BTG Multigestor Credit Plus Prev FICFIM CrPr RL</t>
        </is>
      </c>
      <c r="C258" s="6" t="inlineStr">
        <is>
          <t>60.230.790/0001-23</t>
        </is>
      </c>
      <c r="D258" s="4" t="inlineStr">
        <is>
          <t>BTG PACTUAL GESTÃO E CONSULTORIA DE INVESTIMENTOS LTDA</t>
        </is>
      </c>
      <c r="E258" s="4" t="inlineStr">
        <is>
          <t>12.695.840/0001-03</t>
        </is>
      </c>
      <c r="F258" s="4" t="inlineStr">
        <is>
          <t>BTG PACTUAL SERVICOS FINANCEIROS S.A. DISTRIBUIDOR</t>
        </is>
      </c>
      <c r="G258" s="4" t="inlineStr">
        <is>
          <t>Multimercado</t>
        </is>
      </c>
      <c r="H258" s="4" t="inlineStr">
        <is>
          <t>Renda Fixa</t>
        </is>
      </c>
      <c r="I258" s="7" t="n">
        <v>1000</v>
      </c>
      <c r="J258" s="8" t="n"/>
      <c r="K258" s="8" t="n"/>
      <c r="L258" s="4" t="inlineStr"/>
      <c r="M258" s="5" t="n">
        <v>30</v>
      </c>
      <c r="N258" s="5" t="n">
        <v>32</v>
      </c>
      <c r="O258" s="5" t="n"/>
      <c r="P258" s="4" t="inlineStr">
        <is>
          <t>Curto Prazo</t>
        </is>
      </c>
      <c r="Q258" s="4" t="inlineStr">
        <is>
          <t>Não</t>
        </is>
      </c>
      <c r="R258" s="4" t="inlineStr">
        <is>
          <t>API interna</t>
        </is>
      </c>
      <c r="S258" s="4" t="n">
        <v>1</v>
      </c>
      <c r="T258" s="4" t="inlineStr">
        <is>
          <t>Não</t>
        </is>
      </c>
      <c r="U258" s="4" t="inlineStr">
        <is>
          <t>Sim</t>
        </is>
      </c>
      <c r="V258" s="4" t="inlineStr">
        <is>
          <t>Não</t>
        </is>
      </c>
      <c r="W258" s="4" t="inlineStr"/>
    </row>
    <row r="259">
      <c r="A259" s="4" t="inlineStr">
        <is>
          <t>BTG Pactual</t>
        </is>
      </c>
      <c r="B259" s="4" t="inlineStr">
        <is>
          <t>BTG Pactual Absoluto LS Prev FICFIM RL</t>
        </is>
      </c>
      <c r="C259" s="6" t="inlineStr">
        <is>
          <t>37.681.077/0001-84</t>
        </is>
      </c>
      <c r="D259" s="4" t="inlineStr">
        <is>
          <t>BTG PACTUAL ASSET MANAGEMENT S/A DTVM</t>
        </is>
      </c>
      <c r="E259" s="4" t="inlineStr">
        <is>
          <t>29.650.082/0001-00</t>
        </is>
      </c>
      <c r="F259" s="4" t="inlineStr">
        <is>
          <t>BTG PACTUAL SERVICOS FINANCEIROS S.A. DISTRIBUIDOR</t>
        </is>
      </c>
      <c r="G259" s="4" t="inlineStr">
        <is>
          <t>Multimercado</t>
        </is>
      </c>
      <c r="H259" s="4" t="inlineStr">
        <is>
          <t>Renda Variável</t>
        </is>
      </c>
      <c r="I259" s="7" t="n">
        <v>1000</v>
      </c>
      <c r="J259" s="8" t="n">
        <v>2</v>
      </c>
      <c r="K259" s="8" t="n">
        <v>20</v>
      </c>
      <c r="L259" s="4" t="inlineStr">
        <is>
          <t>CDI</t>
        </is>
      </c>
      <c r="M259" s="5" t="n">
        <v>6</v>
      </c>
      <c r="N259" s="5" t="n">
        <v>8</v>
      </c>
      <c r="O259" s="5" t="n"/>
      <c r="P259" s="4" t="inlineStr">
        <is>
          <t>Curto Prazo</t>
        </is>
      </c>
      <c r="Q259" s="4" t="inlineStr">
        <is>
          <t>Não</t>
        </is>
      </c>
      <c r="R259" s="4" t="inlineStr">
        <is>
          <t>API interna</t>
        </is>
      </c>
      <c r="S259" s="4" t="n">
        <v>1</v>
      </c>
      <c r="T259" s="4" t="inlineStr">
        <is>
          <t>Não</t>
        </is>
      </c>
      <c r="U259" s="4" t="inlineStr">
        <is>
          <t>Sim</t>
        </is>
      </c>
      <c r="V259" s="4" t="inlineStr">
        <is>
          <t>Não</t>
        </is>
      </c>
      <c r="W259" s="4" t="inlineStr"/>
    </row>
    <row r="260">
      <c r="A260" s="4" t="inlineStr">
        <is>
          <t>BTG Pactual</t>
        </is>
      </c>
      <c r="B260" s="4" t="inlineStr">
        <is>
          <t>BTG Pactual Absoluto Prev FICFIM CrPr RL</t>
        </is>
      </c>
      <c r="C260" s="6" t="inlineStr">
        <is>
          <t>35.002.894/0001-33</t>
        </is>
      </c>
      <c r="D260" s="4" t="inlineStr">
        <is>
          <t>BTG PACTUAL ASSET MANAGEMENT S/A DTVM</t>
        </is>
      </c>
      <c r="E260" s="4" t="inlineStr">
        <is>
          <t>29.650.082/0001-00</t>
        </is>
      </c>
      <c r="F260" s="4" t="inlineStr">
        <is>
          <t>BTG PACTUAL SERVICOS FINANCEIROS S.A. DISTRIBUIDOR</t>
        </is>
      </c>
      <c r="G260" s="4" t="inlineStr">
        <is>
          <t>Multimercado</t>
        </is>
      </c>
      <c r="H260" s="4" t="inlineStr">
        <is>
          <t>Renda Variável</t>
        </is>
      </c>
      <c r="I260" s="7" t="n">
        <v>0</v>
      </c>
      <c r="J260" s="8" t="n">
        <v>1.75</v>
      </c>
      <c r="K260" s="8" t="n">
        <v>20</v>
      </c>
      <c r="L260" s="4" t="inlineStr">
        <is>
          <t>IBOVESPA</t>
        </is>
      </c>
      <c r="M260" s="5" t="n">
        <v>7</v>
      </c>
      <c r="N260" s="5" t="n">
        <v>9</v>
      </c>
      <c r="O260" s="5" t="n"/>
      <c r="P260" s="4" t="inlineStr">
        <is>
          <t>Curto Prazo</t>
        </is>
      </c>
      <c r="Q260" s="4" t="inlineStr">
        <is>
          <t>Não</t>
        </is>
      </c>
      <c r="R260" s="4" t="inlineStr">
        <is>
          <t>API interna</t>
        </is>
      </c>
      <c r="S260" s="4" t="n">
        <v>1</v>
      </c>
      <c r="T260" s="4" t="inlineStr">
        <is>
          <t>Não</t>
        </is>
      </c>
      <c r="U260" s="4" t="inlineStr">
        <is>
          <t>Sim</t>
        </is>
      </c>
      <c r="V260" s="4" t="inlineStr">
        <is>
          <t>Não</t>
        </is>
      </c>
      <c r="W260" s="4" t="inlineStr"/>
    </row>
    <row r="261">
      <c r="A261" s="4" t="inlineStr">
        <is>
          <t>BTG Pactual</t>
        </is>
      </c>
      <c r="B261" s="4" t="inlineStr">
        <is>
          <t>BTG Pactual Cred Corp II Prev FICFIM CrPr RL</t>
        </is>
      </c>
      <c r="C261" s="6" t="inlineStr">
        <is>
          <t>44.025.282/0001-57</t>
        </is>
      </c>
      <c r="D261" s="4" t="inlineStr">
        <is>
          <t>BTG PACTUAL ASSET MANAGEMENT S/A DTVM</t>
        </is>
      </c>
      <c r="E261" s="4" t="inlineStr">
        <is>
          <t>29.650.082/0001-00</t>
        </is>
      </c>
      <c r="F261" s="4" t="inlineStr">
        <is>
          <t>BTG PACTUAL SERVICOS FINANCEIROS S.A. DISTRIBUIDOR</t>
        </is>
      </c>
      <c r="G261" s="4" t="inlineStr">
        <is>
          <t>Multimercado</t>
        </is>
      </c>
      <c r="H261" s="4" t="inlineStr">
        <is>
          <t>Renda Fixa</t>
        </is>
      </c>
      <c r="I261" s="7" t="n">
        <v>0</v>
      </c>
      <c r="J261" s="8" t="n">
        <v>0.9</v>
      </c>
      <c r="K261" s="8" t="n">
        <v>20</v>
      </c>
      <c r="L261" s="4" t="inlineStr">
        <is>
          <t>CDI</t>
        </is>
      </c>
      <c r="M261" s="5" t="n">
        <v>6</v>
      </c>
      <c r="N261" s="5" t="n">
        <v>7</v>
      </c>
      <c r="O261" s="5" t="n"/>
      <c r="P261" s="4" t="inlineStr">
        <is>
          <t>Curto Prazo</t>
        </is>
      </c>
      <c r="Q261" s="4" t="inlineStr">
        <is>
          <t>Não</t>
        </is>
      </c>
      <c r="R261" s="4" t="inlineStr">
        <is>
          <t>API interna</t>
        </is>
      </c>
      <c r="S261" s="4" t="n">
        <v>1</v>
      </c>
      <c r="T261" s="4" t="inlineStr">
        <is>
          <t>Não</t>
        </is>
      </c>
      <c r="U261" s="4" t="inlineStr">
        <is>
          <t>Sim</t>
        </is>
      </c>
      <c r="V261" s="4" t="inlineStr">
        <is>
          <t>Não</t>
        </is>
      </c>
      <c r="W261" s="4" t="inlineStr"/>
    </row>
    <row r="262">
      <c r="A262" s="4" t="inlineStr">
        <is>
          <t>BTG Pactual</t>
        </is>
      </c>
      <c r="B262" s="4" t="inlineStr">
        <is>
          <t>BTG Pactual Cred Corp Plus Prev FIE FICFIM CrPr RL</t>
        </is>
      </c>
      <c r="C262" s="6" t="inlineStr">
        <is>
          <t>41.801.819/0001-35</t>
        </is>
      </c>
      <c r="D262" s="4" t="inlineStr">
        <is>
          <t>BTG PACTUAL ASSET MANAGEMENT S/A DTVM</t>
        </is>
      </c>
      <c r="E262" s="4" t="inlineStr">
        <is>
          <t>29.650.082/0001-00</t>
        </is>
      </c>
      <c r="F262" s="4" t="inlineStr">
        <is>
          <t>BTG PACTUAL SERVICOS FINANCEIROS S.A. DISTRIBUIDOR</t>
        </is>
      </c>
      <c r="G262" s="4" t="inlineStr">
        <is>
          <t>Renda Fixa</t>
        </is>
      </c>
      <c r="H262" s="4" t="inlineStr">
        <is>
          <t>Renda Fixa</t>
        </is>
      </c>
      <c r="I262" s="7" t="n">
        <v>1000</v>
      </c>
      <c r="J262" s="8" t="n">
        <v>1.1</v>
      </c>
      <c r="K262" s="8" t="n">
        <v>20</v>
      </c>
      <c r="L262" s="4" t="inlineStr">
        <is>
          <t>CDI</t>
        </is>
      </c>
      <c r="M262" s="5" t="n">
        <v>7</v>
      </c>
      <c r="N262" s="5" t="n">
        <v>9</v>
      </c>
      <c r="O262" s="5" t="n"/>
      <c r="P262" s="4" t="inlineStr">
        <is>
          <t>Curto Prazo</t>
        </is>
      </c>
      <c r="Q262" s="4" t="inlineStr">
        <is>
          <t>Não</t>
        </is>
      </c>
      <c r="R262" s="4" t="inlineStr">
        <is>
          <t>API interna</t>
        </is>
      </c>
      <c r="S262" s="4" t="n">
        <v>1</v>
      </c>
      <c r="T262" s="4" t="inlineStr">
        <is>
          <t>Não</t>
        </is>
      </c>
      <c r="U262" s="4" t="inlineStr">
        <is>
          <t>Sim</t>
        </is>
      </c>
      <c r="V262" s="4" t="inlineStr">
        <is>
          <t>Não</t>
        </is>
      </c>
      <c r="W262" s="4" t="inlineStr"/>
    </row>
    <row r="263">
      <c r="A263" s="4" t="inlineStr">
        <is>
          <t>BTG Pactual</t>
        </is>
      </c>
      <c r="B263" s="4" t="inlineStr">
        <is>
          <t>BTG Pactual Cred Corp Prev Ipca FIRF CrPr RL</t>
        </is>
      </c>
      <c r="C263" s="6" t="inlineStr">
        <is>
          <t>43.103.846/0001-60</t>
        </is>
      </c>
      <c r="D263" s="4" t="inlineStr">
        <is>
          <t>BTG PACTUAL ASSET MANAGEMENT S/A DTVM</t>
        </is>
      </c>
      <c r="E263" s="4" t="inlineStr">
        <is>
          <t>29.650.082/0001-00</t>
        </is>
      </c>
      <c r="F263" s="4" t="inlineStr">
        <is>
          <t>BTG PACTUAL SERVICOS FINANCEIROS S.A. DISTRIBUIDOR</t>
        </is>
      </c>
      <c r="G263" s="4" t="inlineStr">
        <is>
          <t>Renda Fixa</t>
        </is>
      </c>
      <c r="H263" s="4" t="inlineStr">
        <is>
          <t>Renda Fixa</t>
        </is>
      </c>
      <c r="I263" s="7" t="n">
        <v>5000</v>
      </c>
      <c r="J263" s="8" t="n">
        <v>0.8</v>
      </c>
      <c r="K263" s="8" t="n">
        <v>20</v>
      </c>
      <c r="L263" s="4" t="inlineStr">
        <is>
          <t>IMA-B</t>
        </is>
      </c>
      <c r="M263" s="5" t="n">
        <v>5</v>
      </c>
      <c r="N263" s="5" t="n">
        <v>7</v>
      </c>
      <c r="O263" s="5" t="n"/>
      <c r="P263" s="4" t="inlineStr">
        <is>
          <t>Curto Prazo</t>
        </is>
      </c>
      <c r="Q263" s="4" t="inlineStr">
        <is>
          <t>Não</t>
        </is>
      </c>
      <c r="R263" s="4" t="inlineStr">
        <is>
          <t>API interna</t>
        </is>
      </c>
      <c r="S263" s="4" t="n">
        <v>1</v>
      </c>
      <c r="T263" s="4" t="inlineStr">
        <is>
          <t>Não</t>
        </is>
      </c>
      <c r="U263" s="4" t="inlineStr">
        <is>
          <t>Sim</t>
        </is>
      </c>
      <c r="V263" s="4" t="inlineStr">
        <is>
          <t>Não</t>
        </is>
      </c>
      <c r="W263" s="4" t="inlineStr"/>
    </row>
    <row r="264">
      <c r="A264" s="4" t="inlineStr">
        <is>
          <t>BTG Pactual</t>
        </is>
      </c>
      <c r="B264" s="4" t="inlineStr">
        <is>
          <t>BTG Pactual Discovery Prev FICFIM RL</t>
        </is>
      </c>
      <c r="C264" s="6" t="inlineStr">
        <is>
          <t>29.178.343/0001-22</t>
        </is>
      </c>
      <c r="D264" s="4" t="inlineStr">
        <is>
          <t>BTG PACTUAL ASSET MANAGEMENT S/A DTVM</t>
        </is>
      </c>
      <c r="E264" s="4" t="inlineStr">
        <is>
          <t>29.650.082/0001-00</t>
        </is>
      </c>
      <c r="F264" s="4" t="inlineStr">
        <is>
          <t>BTG PACTUAL SERVICOS FINANCEIROS S.A. DISTRIBUIDOR</t>
        </is>
      </c>
      <c r="G264" s="4" t="inlineStr">
        <is>
          <t>Multimercado</t>
        </is>
      </c>
      <c r="H264" s="4" t="inlineStr">
        <is>
          <t>Multimercado</t>
        </is>
      </c>
      <c r="I264" s="7" t="n">
        <v>0</v>
      </c>
      <c r="J264" s="8" t="n">
        <v>2</v>
      </c>
      <c r="K264" s="8" t="n"/>
      <c r="L264" s="4" t="inlineStr"/>
      <c r="M264" s="5" t="n">
        <v>6</v>
      </c>
      <c r="N264" s="5" t="n">
        <v>7</v>
      </c>
      <c r="O264" s="5" t="n"/>
      <c r="P264" s="4" t="inlineStr">
        <is>
          <t>Curto Prazo</t>
        </is>
      </c>
      <c r="Q264" s="4" t="inlineStr">
        <is>
          <t>Não</t>
        </is>
      </c>
      <c r="R264" s="4" t="inlineStr">
        <is>
          <t>API interna</t>
        </is>
      </c>
      <c r="S264" s="4" t="n">
        <v>1</v>
      </c>
      <c r="T264" s="4" t="inlineStr">
        <is>
          <t>Não</t>
        </is>
      </c>
      <c r="U264" s="4" t="inlineStr">
        <is>
          <t>Sim</t>
        </is>
      </c>
      <c r="V264" s="4" t="inlineStr">
        <is>
          <t>Não</t>
        </is>
      </c>
      <c r="W264" s="4" t="inlineStr"/>
    </row>
    <row r="265">
      <c r="A265" s="4" t="inlineStr">
        <is>
          <t>BTG Pactual</t>
        </is>
      </c>
      <c r="B265" s="4" t="inlineStr">
        <is>
          <t>BTG Pactual Hedge Prev FIM CrPr RL</t>
        </is>
      </c>
      <c r="C265" s="6" t="inlineStr">
        <is>
          <t>50.875.116/0001-42</t>
        </is>
      </c>
      <c r="D265" s="4" t="inlineStr">
        <is>
          <t>BTG PACTUAL ASSET MANAGEMENT S/A DTVM</t>
        </is>
      </c>
      <c r="E265" s="4" t="inlineStr">
        <is>
          <t>29.650.082/0001-00</t>
        </is>
      </c>
      <c r="F265" s="4" t="inlineStr">
        <is>
          <t>BTG PACTUAL SERVICOS FINANCEIROS S.A. DISTRIBUIDOR</t>
        </is>
      </c>
      <c r="G265" s="4" t="inlineStr">
        <is>
          <t>Multimercado</t>
        </is>
      </c>
      <c r="H265" s="4" t="inlineStr">
        <is>
          <t>Renda Fixa</t>
        </is>
      </c>
      <c r="I265" s="7" t="n">
        <v>1000</v>
      </c>
      <c r="J265" s="8" t="n">
        <v>1</v>
      </c>
      <c r="K265" s="8" t="n">
        <v>20</v>
      </c>
      <c r="L265" s="4" t="inlineStr">
        <is>
          <t>CDI</t>
        </is>
      </c>
      <c r="M265" s="5" t="n">
        <v>7</v>
      </c>
      <c r="N265" s="5" t="n">
        <v>9</v>
      </c>
      <c r="O265" s="5" t="n"/>
      <c r="P265" s="4" t="inlineStr">
        <is>
          <t>Curto Prazo</t>
        </is>
      </c>
      <c r="Q265" s="4" t="inlineStr">
        <is>
          <t>Não</t>
        </is>
      </c>
      <c r="R265" s="4" t="inlineStr">
        <is>
          <t>API interna</t>
        </is>
      </c>
      <c r="S265" s="4" t="n">
        <v>1</v>
      </c>
      <c r="T265" s="4" t="inlineStr">
        <is>
          <t>Não</t>
        </is>
      </c>
      <c r="U265" s="4" t="inlineStr">
        <is>
          <t>Sim</t>
        </is>
      </c>
      <c r="V265" s="4" t="inlineStr">
        <is>
          <t>Não</t>
        </is>
      </c>
      <c r="W265" s="4" t="inlineStr"/>
    </row>
    <row r="266">
      <c r="A266" s="4" t="inlineStr">
        <is>
          <t>BTG Pactual</t>
        </is>
      </c>
      <c r="B266" s="4" t="inlineStr">
        <is>
          <t>BTG Pactual Hedge Sigma Prev FIE FICFIM RL</t>
        </is>
      </c>
      <c r="C266" s="6" t="inlineStr">
        <is>
          <t>44.025.612/0001-04</t>
        </is>
      </c>
      <c r="D266" s="4" t="inlineStr">
        <is>
          <t>BTG PACTUAL ASSET MANAGEMENT S/A DTVM</t>
        </is>
      </c>
      <c r="E266" s="4" t="inlineStr">
        <is>
          <t>29.650.082/0001-00</t>
        </is>
      </c>
      <c r="F266" s="4" t="inlineStr">
        <is>
          <t>BTG PACTUAL SERVICOS FINANCEIROS S.A. DISTRIBUIDOR</t>
        </is>
      </c>
      <c r="G266" s="4" t="inlineStr">
        <is>
          <t>Multimercado</t>
        </is>
      </c>
      <c r="H266" s="4" t="inlineStr">
        <is>
          <t>Renda Fixa</t>
        </is>
      </c>
      <c r="I266" s="7" t="n">
        <v>1000</v>
      </c>
      <c r="J266" s="8" t="n">
        <v>1</v>
      </c>
      <c r="K266" s="8" t="n"/>
      <c r="L266" s="4" t="inlineStr"/>
      <c r="M266" s="5" t="n">
        <v>2</v>
      </c>
      <c r="N266" s="5" t="n">
        <v>3</v>
      </c>
      <c r="O266" s="5" t="n"/>
      <c r="P266" s="4" t="inlineStr">
        <is>
          <t>Curto Prazo</t>
        </is>
      </c>
      <c r="Q266" s="4" t="inlineStr">
        <is>
          <t>Não</t>
        </is>
      </c>
      <c r="R266" s="4" t="inlineStr">
        <is>
          <t>API interna</t>
        </is>
      </c>
      <c r="S266" s="4" t="n">
        <v>1</v>
      </c>
      <c r="T266" s="4" t="inlineStr">
        <is>
          <t>Não</t>
        </is>
      </c>
      <c r="U266" s="4" t="inlineStr">
        <is>
          <t>Sim</t>
        </is>
      </c>
      <c r="V266" s="4" t="inlineStr">
        <is>
          <t>Não</t>
        </is>
      </c>
      <c r="W266" s="4" t="inlineStr"/>
    </row>
    <row r="267">
      <c r="A267" s="4" t="inlineStr">
        <is>
          <t>BTG Pactual</t>
        </is>
      </c>
      <c r="B267" s="4" t="inlineStr">
        <is>
          <t>BTG Pactual Ibovespa 100 Index Prev FIM RL</t>
        </is>
      </c>
      <c r="C267" s="6" t="inlineStr">
        <is>
          <t>55.138.930/0001-06</t>
        </is>
      </c>
      <c r="D267" s="4" t="inlineStr">
        <is>
          <t>BTG PACTUAL ASSET MANAGEMENT S/A DTVM</t>
        </is>
      </c>
      <c r="E267" s="4" t="inlineStr">
        <is>
          <t>29.650.082/0001-00</t>
        </is>
      </c>
      <c r="F267" s="4" t="inlineStr">
        <is>
          <t>BTG PACTUAL SERVICOS FINANCEIROS S.A. DISTRIBUIDOR</t>
        </is>
      </c>
      <c r="G267" s="4" t="inlineStr">
        <is>
          <t>Multimercado</t>
        </is>
      </c>
      <c r="H267" s="4" t="inlineStr">
        <is>
          <t>Renda Variável</t>
        </is>
      </c>
      <c r="I267" s="7" t="n">
        <v>1000</v>
      </c>
      <c r="J267" s="8" t="n"/>
      <c r="K267" s="8" t="n"/>
      <c r="L267" s="4" t="inlineStr"/>
      <c r="M267" s="5" t="n">
        <v>2</v>
      </c>
      <c r="N267" s="5" t="n">
        <v>4</v>
      </c>
      <c r="O267" s="5" t="n"/>
      <c r="P267" s="4" t="inlineStr">
        <is>
          <t>Curto Prazo</t>
        </is>
      </c>
      <c r="Q267" s="4" t="inlineStr">
        <is>
          <t>Não</t>
        </is>
      </c>
      <c r="R267" s="4" t="inlineStr">
        <is>
          <t>API interna</t>
        </is>
      </c>
      <c r="S267" s="4" t="n">
        <v>1</v>
      </c>
      <c r="T267" s="4" t="inlineStr">
        <is>
          <t>Não</t>
        </is>
      </c>
      <c r="U267" s="4" t="inlineStr">
        <is>
          <t>Sim</t>
        </is>
      </c>
      <c r="V267" s="4" t="inlineStr">
        <is>
          <t>Não</t>
        </is>
      </c>
      <c r="W267" s="4" t="inlineStr"/>
    </row>
    <row r="268">
      <c r="A268" s="4" t="inlineStr">
        <is>
          <t>BTG Pactual</t>
        </is>
      </c>
      <c r="B268" s="4" t="inlineStr">
        <is>
          <t>BTG Pactual Ipca Curta Prev FICFIRF CrPr RL</t>
        </is>
      </c>
      <c r="C268" s="6" t="inlineStr">
        <is>
          <t>54.305.132/0001-50</t>
        </is>
      </c>
      <c r="D268" s="4" t="inlineStr">
        <is>
          <t>BTG PACTUAL ASSET MANAGEMENT S/A DTVM</t>
        </is>
      </c>
      <c r="E268" s="4" t="inlineStr">
        <is>
          <t>29.650.082/0001-00</t>
        </is>
      </c>
      <c r="F268" s="4" t="inlineStr">
        <is>
          <t>BTG PACTUAL SERVICOS FINANCEIROS S.A. DISTRIBUIDOR</t>
        </is>
      </c>
      <c r="G268" s="4" t="inlineStr">
        <is>
          <t>Renda Fixa</t>
        </is>
      </c>
      <c r="H268" s="4" t="inlineStr">
        <is>
          <t>Renda Fixa</t>
        </is>
      </c>
      <c r="I268" s="7" t="n">
        <v>0</v>
      </c>
      <c r="J268" s="8" t="n">
        <v>0.35</v>
      </c>
      <c r="K268" s="8" t="n"/>
      <c r="L268" s="4" t="inlineStr"/>
      <c r="M268" s="5" t="n">
        <v>0</v>
      </c>
      <c r="N268" s="5" t="n">
        <v>1</v>
      </c>
      <c r="O268" s="5" t="n"/>
      <c r="P268" s="4" t="inlineStr">
        <is>
          <t>Curto Prazo</t>
        </is>
      </c>
      <c r="Q268" s="4" t="inlineStr">
        <is>
          <t>Não</t>
        </is>
      </c>
      <c r="R268" s="4" t="inlineStr">
        <is>
          <t>API interna</t>
        </is>
      </c>
      <c r="S268" s="4" t="n">
        <v>1</v>
      </c>
      <c r="T268" s="4" t="inlineStr">
        <is>
          <t>Não</t>
        </is>
      </c>
      <c r="U268" s="4" t="inlineStr">
        <is>
          <t>Sim</t>
        </is>
      </c>
      <c r="V268" s="4" t="inlineStr">
        <is>
          <t>Não</t>
        </is>
      </c>
      <c r="W268" s="4" t="inlineStr"/>
    </row>
    <row r="269">
      <c r="A269" s="4" t="inlineStr">
        <is>
          <t>BTG Pactual</t>
        </is>
      </c>
      <c r="B269" s="4" t="inlineStr">
        <is>
          <t>BTG Pactual Macro HF FIE Prev FICFIM RL</t>
        </is>
      </c>
      <c r="C269" s="6" t="inlineStr">
        <is>
          <t>43.915.616/0001-03</t>
        </is>
      </c>
      <c r="D269" s="4" t="inlineStr">
        <is>
          <t>BTG PACTUAL ASSET MANAGEMENT S/A DTVM</t>
        </is>
      </c>
      <c r="E269" s="4" t="inlineStr">
        <is>
          <t>29.650.082/0001-00</t>
        </is>
      </c>
      <c r="F269" s="4" t="inlineStr">
        <is>
          <t>BTG PACTUAL SERVICOS FINANCEIROS S.A. DISTRIBUIDOR</t>
        </is>
      </c>
      <c r="G269" s="4" t="inlineStr">
        <is>
          <t>Multimercado</t>
        </is>
      </c>
      <c r="H269" s="4" t="inlineStr">
        <is>
          <t>Multimercado</t>
        </is>
      </c>
      <c r="I269" s="7" t="n">
        <v>1000</v>
      </c>
      <c r="J269" s="8" t="n">
        <v>2.5</v>
      </c>
      <c r="K269" s="8" t="n"/>
      <c r="L269" s="4" t="inlineStr"/>
      <c r="M269" s="5" t="n">
        <v>7</v>
      </c>
      <c r="N269" s="5" t="n">
        <v>9</v>
      </c>
      <c r="O269" s="5" t="n"/>
      <c r="P269" s="4" t="inlineStr">
        <is>
          <t>Curto Prazo</t>
        </is>
      </c>
      <c r="Q269" s="4" t="inlineStr">
        <is>
          <t>Não</t>
        </is>
      </c>
      <c r="R269" s="4" t="inlineStr">
        <is>
          <t>API interna</t>
        </is>
      </c>
      <c r="S269" s="4" t="n">
        <v>1</v>
      </c>
      <c r="T269" s="4" t="inlineStr">
        <is>
          <t>Não</t>
        </is>
      </c>
      <c r="U269" s="4" t="inlineStr">
        <is>
          <t>Sim</t>
        </is>
      </c>
      <c r="V269" s="4" t="inlineStr">
        <is>
          <t>Não</t>
        </is>
      </c>
      <c r="W269" s="4" t="inlineStr"/>
    </row>
    <row r="270">
      <c r="A270" s="4" t="inlineStr">
        <is>
          <t>BTG Pactual</t>
        </is>
      </c>
      <c r="B270" s="4" t="inlineStr">
        <is>
          <t>BTG Pactual NTN B 2035 Yield Prev FIRF RL</t>
        </is>
      </c>
      <c r="C270" s="6" t="inlineStr">
        <is>
          <t>42.357.379/0001-31</t>
        </is>
      </c>
      <c r="D270" s="4" t="inlineStr">
        <is>
          <t>BTG PACTUAL ASSET MANAGEMENT S/A DTVM</t>
        </is>
      </c>
      <c r="E270" s="4" t="inlineStr">
        <is>
          <t>29.650.082/0001-00</t>
        </is>
      </c>
      <c r="F270" s="4" t="inlineStr">
        <is>
          <t>BTG PACTUAL SERVICOS FINANCEIROS S.A. DISTRIBUIDOR</t>
        </is>
      </c>
      <c r="G270" s="4" t="inlineStr">
        <is>
          <t>Renda Fixa</t>
        </is>
      </c>
      <c r="H270" s="4" t="inlineStr">
        <is>
          <t>Renda Fixa</t>
        </is>
      </c>
      <c r="I270" s="7" t="n">
        <v>1000</v>
      </c>
      <c r="J270" s="8" t="n">
        <v>0.25</v>
      </c>
      <c r="K270" s="8" t="n"/>
      <c r="L270" s="4" t="inlineStr"/>
      <c r="M270" s="5" t="n">
        <v>2</v>
      </c>
      <c r="N270" s="5" t="n">
        <v>3</v>
      </c>
      <c r="O270" s="5" t="n"/>
      <c r="P270" s="4" t="inlineStr">
        <is>
          <t>Curto Prazo</t>
        </is>
      </c>
      <c r="Q270" s="4" t="inlineStr">
        <is>
          <t>Não</t>
        </is>
      </c>
      <c r="R270" s="4" t="inlineStr">
        <is>
          <t>API interna</t>
        </is>
      </c>
      <c r="S270" s="4" t="n">
        <v>1</v>
      </c>
      <c r="T270" s="4" t="inlineStr">
        <is>
          <t>Não</t>
        </is>
      </c>
      <c r="U270" s="4" t="inlineStr">
        <is>
          <t>Sim</t>
        </is>
      </c>
      <c r="V270" s="4" t="inlineStr">
        <is>
          <t>Não</t>
        </is>
      </c>
      <c r="W270" s="4" t="inlineStr"/>
    </row>
    <row r="271">
      <c r="A271" s="4" t="inlineStr">
        <is>
          <t>BTG Pactual</t>
        </is>
      </c>
      <c r="B271" s="4" t="inlineStr">
        <is>
          <t>BTG Pactual NTN B 2045 Yield Prev FIRF RL</t>
        </is>
      </c>
      <c r="C271" s="6" t="inlineStr">
        <is>
          <t>54.248.765/0001-74</t>
        </is>
      </c>
      <c r="D271" s="4" t="inlineStr">
        <is>
          <t>BTG PACTUAL ASSET MANAGEMENT S/A DTVM</t>
        </is>
      </c>
      <c r="E271" s="4" t="inlineStr">
        <is>
          <t>29.650.082/0001-00</t>
        </is>
      </c>
      <c r="F271" s="4" t="inlineStr">
        <is>
          <t>BTG PACTUAL SERVICOS FINANCEIROS S.A. DISTRIBUIDOR</t>
        </is>
      </c>
      <c r="G271" s="4" t="inlineStr">
        <is>
          <t>Renda Fixa</t>
        </is>
      </c>
      <c r="H271" s="4" t="inlineStr">
        <is>
          <t>Renda Fixa</t>
        </is>
      </c>
      <c r="I271" s="7" t="n">
        <v>1000</v>
      </c>
      <c r="J271" s="8" t="n"/>
      <c r="K271" s="8" t="n"/>
      <c r="L271" s="4" t="inlineStr"/>
      <c r="M271" s="5" t="n">
        <v>2</v>
      </c>
      <c r="N271" s="5" t="n">
        <v>3</v>
      </c>
      <c r="O271" s="5" t="n"/>
      <c r="P271" s="4" t="inlineStr">
        <is>
          <t>Longo Prazo</t>
        </is>
      </c>
      <c r="Q271" s="4" t="inlineStr">
        <is>
          <t>Não</t>
        </is>
      </c>
      <c r="R271" s="4" t="inlineStr">
        <is>
          <t>API interna</t>
        </is>
      </c>
      <c r="S271" s="4" t="n">
        <v>1</v>
      </c>
      <c r="T271" s="4" t="inlineStr">
        <is>
          <t>Não</t>
        </is>
      </c>
      <c r="U271" s="4" t="inlineStr">
        <is>
          <t>Sim</t>
        </is>
      </c>
      <c r="V271" s="4" t="inlineStr">
        <is>
          <t>Não</t>
        </is>
      </c>
      <c r="W271" s="4" t="inlineStr"/>
    </row>
    <row r="272">
      <c r="A272" s="4" t="inlineStr">
        <is>
          <t>BTG Pactual</t>
        </is>
      </c>
      <c r="B272" s="4" t="inlineStr">
        <is>
          <t>BTG Pactual NTN B 2055 Yield Prev FIRF RL</t>
        </is>
      </c>
      <c r="C272" s="6" t="inlineStr">
        <is>
          <t>50.876.690/0001-15</t>
        </is>
      </c>
      <c r="D272" s="4" t="inlineStr">
        <is>
          <t>BTG PACTUAL ASSET MANAGEMENT S/A DTVM</t>
        </is>
      </c>
      <c r="E272" s="4" t="inlineStr">
        <is>
          <t>29.650.082/0001-00</t>
        </is>
      </c>
      <c r="F272" s="4" t="inlineStr">
        <is>
          <t>BTG PACTUAL SERVICOS FINANCEIROS S.A. DISTRIBUIDOR</t>
        </is>
      </c>
      <c r="G272" s="4" t="inlineStr">
        <is>
          <t>Renda Fixa</t>
        </is>
      </c>
      <c r="H272" s="4" t="inlineStr">
        <is>
          <t>Renda Fixa</t>
        </is>
      </c>
      <c r="I272" s="7" t="n">
        <v>1000</v>
      </c>
      <c r="J272" s="8" t="n">
        <v>0.25</v>
      </c>
      <c r="K272" s="8" t="n"/>
      <c r="L272" s="4" t="inlineStr"/>
      <c r="M272" s="5" t="n">
        <v>2</v>
      </c>
      <c r="N272" s="5" t="n">
        <v>3</v>
      </c>
      <c r="O272" s="5" t="n"/>
      <c r="P272" s="4" t="inlineStr">
        <is>
          <t>Curto Prazo</t>
        </is>
      </c>
      <c r="Q272" s="4" t="inlineStr">
        <is>
          <t>Não</t>
        </is>
      </c>
      <c r="R272" s="4" t="inlineStr">
        <is>
          <t>API interna</t>
        </is>
      </c>
      <c r="S272" s="4" t="n">
        <v>1</v>
      </c>
      <c r="T272" s="4" t="inlineStr">
        <is>
          <t>Não</t>
        </is>
      </c>
      <c r="U272" s="4" t="inlineStr">
        <is>
          <t>Sim</t>
        </is>
      </c>
      <c r="V272" s="4" t="inlineStr">
        <is>
          <t>Não</t>
        </is>
      </c>
      <c r="W272" s="4" t="inlineStr"/>
    </row>
    <row r="273">
      <c r="A273" s="4" t="inlineStr">
        <is>
          <t>BTG Pactual</t>
        </is>
      </c>
      <c r="B273" s="4" t="inlineStr">
        <is>
          <t>BTG Pactual Prev IMA B FICFIRF de Fundos de RF RL</t>
        </is>
      </c>
      <c r="C273" s="6" t="inlineStr">
        <is>
          <t>22.187.479/0001-50</t>
        </is>
      </c>
      <c r="D273" s="4" t="inlineStr">
        <is>
          <t>BTG PACTUAL ASSET MANAGEMENT S/A DTVM</t>
        </is>
      </c>
      <c r="E273" s="4" t="inlineStr">
        <is>
          <t>29.650.082/0001-00</t>
        </is>
      </c>
      <c r="F273" s="4" t="inlineStr">
        <is>
          <t>BTG PACTUAL SERVICOS FINANCEIROS S.A. DISTRIBUIDOR</t>
        </is>
      </c>
      <c r="G273" s="4" t="inlineStr">
        <is>
          <t>Renda Fixa</t>
        </is>
      </c>
      <c r="H273" s="4" t="inlineStr">
        <is>
          <t>Renda Fixa</t>
        </is>
      </c>
      <c r="I273" s="7" t="n">
        <v>1000</v>
      </c>
      <c r="J273" s="8" t="n">
        <v>0.5</v>
      </c>
      <c r="K273" s="8" t="n"/>
      <c r="L273" s="4" t="inlineStr"/>
      <c r="M273" s="5" t="n">
        <v>1</v>
      </c>
      <c r="N273" s="5" t="n">
        <v>2</v>
      </c>
      <c r="O273" s="5" t="n"/>
      <c r="P273" s="4" t="inlineStr">
        <is>
          <t>Curto Prazo</t>
        </is>
      </c>
      <c r="Q273" s="4" t="inlineStr">
        <is>
          <t>Não</t>
        </is>
      </c>
      <c r="R273" s="4" t="inlineStr">
        <is>
          <t>API interna</t>
        </is>
      </c>
      <c r="S273" s="4" t="n">
        <v>1</v>
      </c>
      <c r="T273" s="4" t="inlineStr">
        <is>
          <t>Não</t>
        </is>
      </c>
      <c r="U273" s="4" t="inlineStr">
        <is>
          <t>Sim</t>
        </is>
      </c>
      <c r="V273" s="4" t="inlineStr">
        <is>
          <t>Não</t>
        </is>
      </c>
      <c r="W273" s="4" t="inlineStr"/>
    </row>
    <row r="274">
      <c r="A274" s="4" t="inlineStr">
        <is>
          <t>BTG Pactual</t>
        </is>
      </c>
      <c r="B274" s="4" t="inlineStr">
        <is>
          <t>BTG Pactual Reference S&amp;P500 USD Prev FIM RL</t>
        </is>
      </c>
      <c r="C274" s="6" t="inlineStr">
        <is>
          <t>44.025.397/0001-41</t>
        </is>
      </c>
      <c r="D274" s="4" t="inlineStr">
        <is>
          <t>BTG PACTUAL ASSET MANAGEMENT S/A DTVM</t>
        </is>
      </c>
      <c r="E274" s="4" t="inlineStr">
        <is>
          <t>29.650.082/0001-00</t>
        </is>
      </c>
      <c r="F274" s="4" t="inlineStr">
        <is>
          <t>BTG PACTUAL SERVICOS FINANCEIROS S.A. DISTRIBUIDOR</t>
        </is>
      </c>
      <c r="G274" s="4" t="inlineStr">
        <is>
          <t>Multimercado</t>
        </is>
      </c>
      <c r="H274" s="4" t="inlineStr">
        <is>
          <t>Multimercado</t>
        </is>
      </c>
      <c r="I274" s="7" t="n">
        <v>1000</v>
      </c>
      <c r="J274" s="8" t="n"/>
      <c r="K274" s="8" t="n"/>
      <c r="L274" s="4" t="inlineStr"/>
      <c r="M274" s="5" t="n">
        <v>1</v>
      </c>
      <c r="N274" s="5" t="n">
        <v>3</v>
      </c>
      <c r="O274" s="5" t="n"/>
      <c r="P274" s="4" t="inlineStr">
        <is>
          <t>Curto Prazo</t>
        </is>
      </c>
      <c r="Q274" s="4" t="inlineStr">
        <is>
          <t>Não</t>
        </is>
      </c>
      <c r="R274" s="4" t="inlineStr">
        <is>
          <t>API interna</t>
        </is>
      </c>
      <c r="S274" s="4" t="n">
        <v>1</v>
      </c>
      <c r="T274" s="4" t="inlineStr">
        <is>
          <t>Não</t>
        </is>
      </c>
      <c r="U274" s="4" t="inlineStr">
        <is>
          <t>Sim</t>
        </is>
      </c>
      <c r="V274" s="4" t="inlineStr">
        <is>
          <t>Não</t>
        </is>
      </c>
      <c r="W274" s="4" t="inlineStr"/>
    </row>
    <row r="275">
      <c r="A275" s="4" t="inlineStr">
        <is>
          <t>BTG Pactual</t>
        </is>
      </c>
      <c r="B275" s="4" t="inlineStr">
        <is>
          <t>BTG Pactual Reference Tesouro Selic Prev FIRF RL</t>
        </is>
      </c>
      <c r="C275" s="6" t="inlineStr">
        <is>
          <t>55.275.422/0001-61</t>
        </is>
      </c>
      <c r="D275" s="4" t="inlineStr">
        <is>
          <t>BTG PACTUAL ASSET MANAGEMENT S/A DTVM</t>
        </is>
      </c>
      <c r="E275" s="4" t="inlineStr">
        <is>
          <t>29.650.082/0001-00</t>
        </is>
      </c>
      <c r="F275" s="4" t="inlineStr">
        <is>
          <t>BTG PACTUAL SERVICOS FINANCEIROS S.A. DISTRIBUIDOR</t>
        </is>
      </c>
      <c r="G275" s="4" t="inlineStr">
        <is>
          <t>Renda Fixa</t>
        </is>
      </c>
      <c r="H275" s="4" t="inlineStr">
        <is>
          <t>Renda Fixa</t>
        </is>
      </c>
      <c r="I275" s="7" t="n">
        <v>1000</v>
      </c>
      <c r="J275" s="8" t="n">
        <v>0.2</v>
      </c>
      <c r="K275" s="8" t="n"/>
      <c r="L275" s="4" t="inlineStr"/>
      <c r="M275" s="5" t="n">
        <v>0</v>
      </c>
      <c r="N275" s="5" t="n">
        <v>1</v>
      </c>
      <c r="O275" s="5" t="n"/>
      <c r="P275" s="4" t="inlineStr">
        <is>
          <t>Curto Prazo</t>
        </is>
      </c>
      <c r="Q275" s="4" t="inlineStr">
        <is>
          <t>Não</t>
        </is>
      </c>
      <c r="R275" s="4" t="inlineStr">
        <is>
          <t>API interna</t>
        </is>
      </c>
      <c r="S275" s="4" t="n">
        <v>1</v>
      </c>
      <c r="T275" s="4" t="inlineStr">
        <is>
          <t>Não</t>
        </is>
      </c>
      <c r="U275" s="4" t="inlineStr">
        <is>
          <t>Sim</t>
        </is>
      </c>
      <c r="V275" s="4" t="inlineStr">
        <is>
          <t>Não</t>
        </is>
      </c>
      <c r="W275" s="4" t="inlineStr"/>
    </row>
    <row r="276">
      <c r="A276" s="4" t="inlineStr">
        <is>
          <t>BTG Pactual</t>
        </is>
      </c>
      <c r="B276" s="4" t="inlineStr">
        <is>
          <t>BTG Pactual Synergy Equity Hedge Prev FIE FIM RL</t>
        </is>
      </c>
      <c r="C276" s="6" t="inlineStr">
        <is>
          <t>57.997.804/0001-24</t>
        </is>
      </c>
      <c r="D276" s="4" t="inlineStr">
        <is>
          <t>BTG PACTUAL ASSET MANAGEMENT S/A DTVM</t>
        </is>
      </c>
      <c r="E276" s="4" t="inlineStr">
        <is>
          <t>29.650.082/0001-00</t>
        </is>
      </c>
      <c r="F276" s="4" t="inlineStr">
        <is>
          <t>BTG PACTUAL SERVICOS FINANCEIROS S.A. DISTRIBUIDOR</t>
        </is>
      </c>
      <c r="G276" s="4" t="inlineStr">
        <is>
          <t>Multimercado</t>
        </is>
      </c>
      <c r="H276" s="4" t="inlineStr">
        <is>
          <t>Renda Variável</t>
        </is>
      </c>
      <c r="I276" s="7" t="n">
        <v>0</v>
      </c>
      <c r="J276" s="8" t="n"/>
      <c r="K276" s="8" t="n">
        <v>20</v>
      </c>
      <c r="L276" s="4" t="inlineStr">
        <is>
          <t>-</t>
        </is>
      </c>
      <c r="M276" s="5" t="n">
        <v>30</v>
      </c>
      <c r="N276" s="5" t="n">
        <v>32</v>
      </c>
      <c r="O276" s="5" t="n"/>
      <c r="P276" s="4" t="inlineStr">
        <is>
          <t>Curto Prazo</t>
        </is>
      </c>
      <c r="Q276" s="4" t="inlineStr">
        <is>
          <t>Não</t>
        </is>
      </c>
      <c r="R276" s="4" t="inlineStr">
        <is>
          <t>API interna</t>
        </is>
      </c>
      <c r="S276" s="4" t="n">
        <v>1</v>
      </c>
      <c r="T276" s="4" t="inlineStr">
        <is>
          <t>Não</t>
        </is>
      </c>
      <c r="U276" s="4" t="inlineStr">
        <is>
          <t>Sim</t>
        </is>
      </c>
      <c r="V276" s="4" t="inlineStr">
        <is>
          <t>Não</t>
        </is>
      </c>
      <c r="W276" s="4" t="inlineStr"/>
    </row>
    <row r="277">
      <c r="A277" s="4" t="inlineStr">
        <is>
          <t>BTG Pactual</t>
        </is>
      </c>
      <c r="B277" s="4" t="inlineStr">
        <is>
          <t>BTG Pactual Synergy Long Only Prev FIE FIA RL</t>
        </is>
      </c>
      <c r="C277" s="6" t="inlineStr">
        <is>
          <t>57.998.092/0001-68</t>
        </is>
      </c>
      <c r="D277" s="4" t="inlineStr">
        <is>
          <t>BTG PACTUAL ASSET MANAGEMENT S/A DTVM</t>
        </is>
      </c>
      <c r="E277" s="4" t="inlineStr">
        <is>
          <t>29.650.082/0001-00</t>
        </is>
      </c>
      <c r="F277" s="4" t="inlineStr">
        <is>
          <t>BTG PACTUAL SERVICOS FINANCEIROS S.A. DISTRIBUIDOR</t>
        </is>
      </c>
      <c r="G277" s="4" t="inlineStr">
        <is>
          <t>Internacional</t>
        </is>
      </c>
      <c r="H277" s="4" t="inlineStr">
        <is>
          <t>Renda Variável</t>
        </is>
      </c>
      <c r="I277" s="7" t="n">
        <v>0</v>
      </c>
      <c r="J277" s="8" t="n">
        <v>2</v>
      </c>
      <c r="K277" s="8" t="n"/>
      <c r="L277" s="4" t="inlineStr"/>
      <c r="M277" s="5" t="n">
        <v>30</v>
      </c>
      <c r="N277" s="5" t="n">
        <v>32</v>
      </c>
      <c r="O277" s="5" t="n"/>
      <c r="P277" s="4" t="inlineStr">
        <is>
          <t>Curto Prazo</t>
        </is>
      </c>
      <c r="Q277" s="4" t="inlineStr">
        <is>
          <t>Não</t>
        </is>
      </c>
      <c r="R277" s="4" t="inlineStr">
        <is>
          <t>API interna</t>
        </is>
      </c>
      <c r="S277" s="4" t="n">
        <v>1</v>
      </c>
      <c r="T277" s="4" t="inlineStr">
        <is>
          <t>Não</t>
        </is>
      </c>
      <c r="U277" s="4" t="inlineStr">
        <is>
          <t>Sim</t>
        </is>
      </c>
      <c r="V277" s="4" t="inlineStr">
        <is>
          <t>Não</t>
        </is>
      </c>
      <c r="W277" s="4" t="inlineStr"/>
    </row>
    <row r="278">
      <c r="A278" s="4" t="inlineStr">
        <is>
          <t>BTG Pactual</t>
        </is>
      </c>
      <c r="B278" s="4" t="inlineStr">
        <is>
          <t>BTG Pactual Tesouro Ipca Longo Prev FICFIRF de RF RL</t>
        </is>
      </c>
      <c r="C278" s="6" t="inlineStr">
        <is>
          <t>27.762.397/0001-05</t>
        </is>
      </c>
      <c r="D278" s="4" t="inlineStr">
        <is>
          <t>BTG PACTUAL ASSET MANAGEMENT S/A DTVM</t>
        </is>
      </c>
      <c r="E278" s="4" t="inlineStr">
        <is>
          <t>29.650.082/0001-00</t>
        </is>
      </c>
      <c r="F278" s="4" t="inlineStr">
        <is>
          <t>BTG PACTUAL SERVICOS FINANCEIROS S.A. DISTRIBUIDOR</t>
        </is>
      </c>
      <c r="G278" s="4" t="inlineStr">
        <is>
          <t>Renda Fixa</t>
        </is>
      </c>
      <c r="H278" s="4" t="inlineStr">
        <is>
          <t>Renda Fixa</t>
        </is>
      </c>
      <c r="I278" s="7" t="n">
        <v>1000</v>
      </c>
      <c r="J278" s="8" t="n">
        <v>0.75</v>
      </c>
      <c r="K278" s="8" t="n"/>
      <c r="L278" s="4" t="inlineStr"/>
      <c r="M278" s="5" t="n">
        <v>0</v>
      </c>
      <c r="N278" s="5" t="n">
        <v>1</v>
      </c>
      <c r="O278" s="5" t="n"/>
      <c r="P278" s="4" t="inlineStr">
        <is>
          <t>Curto Prazo</t>
        </is>
      </c>
      <c r="Q278" s="4" t="inlineStr">
        <is>
          <t>Não</t>
        </is>
      </c>
      <c r="R278" s="4" t="inlineStr">
        <is>
          <t>API interna</t>
        </is>
      </c>
      <c r="S278" s="4" t="n">
        <v>1</v>
      </c>
      <c r="T278" s="4" t="inlineStr">
        <is>
          <t>Não</t>
        </is>
      </c>
      <c r="U278" s="4" t="inlineStr">
        <is>
          <t>Sim</t>
        </is>
      </c>
      <c r="V278" s="4" t="inlineStr">
        <is>
          <t>Não</t>
        </is>
      </c>
      <c r="W278" s="4" t="inlineStr"/>
    </row>
    <row r="279">
      <c r="A279" s="4" t="inlineStr">
        <is>
          <t>BTG Pactual</t>
        </is>
      </c>
      <c r="B279" s="4" t="inlineStr">
        <is>
          <t>BTG Pactual Tesouro Selic Prev FIRF Ref. DI RL</t>
        </is>
      </c>
      <c r="C279" s="6" t="inlineStr">
        <is>
          <t>29.078.039/0001-03</t>
        </is>
      </c>
      <c r="D279" s="4" t="inlineStr">
        <is>
          <t>BTG PACTUAL ASSET MANAGEMENT S/A DTVM</t>
        </is>
      </c>
      <c r="E279" s="4" t="inlineStr">
        <is>
          <t>29.650.082/0001-00</t>
        </is>
      </c>
      <c r="F279" s="4" t="inlineStr">
        <is>
          <t>BTG PACTUAL SERVICOS FINANCEIROS S.A. DISTRIBUIDOR</t>
        </is>
      </c>
      <c r="G279" s="4" t="inlineStr">
        <is>
          <t>Renda Fixa</t>
        </is>
      </c>
      <c r="H279" s="4" t="inlineStr">
        <is>
          <t>Renda Fixa</t>
        </is>
      </c>
      <c r="I279" s="7" t="n">
        <v>1000</v>
      </c>
      <c r="J279" s="8" t="n">
        <v>0</v>
      </c>
      <c r="K279" s="8" t="n"/>
      <c r="L279" s="4" t="inlineStr"/>
      <c r="M279" s="5" t="n">
        <v>0</v>
      </c>
      <c r="N279" s="5" t="n">
        <v>1</v>
      </c>
      <c r="O279" s="5" t="n"/>
      <c r="P279" s="4" t="inlineStr">
        <is>
          <t>Curto Prazo</t>
        </is>
      </c>
      <c r="Q279" s="4" t="inlineStr">
        <is>
          <t>Não</t>
        </is>
      </c>
      <c r="R279" s="4" t="inlineStr">
        <is>
          <t>API interna</t>
        </is>
      </c>
      <c r="S279" s="4" t="n">
        <v>1</v>
      </c>
      <c r="T279" s="4" t="inlineStr">
        <is>
          <t>Não</t>
        </is>
      </c>
      <c r="U279" s="4" t="inlineStr">
        <is>
          <t>Sim</t>
        </is>
      </c>
      <c r="V279" s="4" t="inlineStr">
        <is>
          <t>Não</t>
        </is>
      </c>
      <c r="W279" s="4" t="inlineStr"/>
    </row>
    <row r="280">
      <c r="A280" s="4" t="inlineStr">
        <is>
          <t>BTG Pactual</t>
        </is>
      </c>
      <c r="B280" s="4" t="inlineStr">
        <is>
          <t>BTG Pactual Total Prev FICFIM RL</t>
        </is>
      </c>
      <c r="C280" s="6" t="inlineStr">
        <is>
          <t>50.875.410/0001-54</t>
        </is>
      </c>
      <c r="D280" s="4" t="inlineStr">
        <is>
          <t>BTG PACTUAL ASSET MANAGEMENT S/A DTVM</t>
        </is>
      </c>
      <c r="E280" s="4" t="inlineStr">
        <is>
          <t>29.650.082/0001-00</t>
        </is>
      </c>
      <c r="F280" s="4" t="inlineStr">
        <is>
          <t>BTG PACTUAL SERVICOS FINANCEIROS S.A. DISTRIBUIDOR</t>
        </is>
      </c>
      <c r="G280" s="4" t="inlineStr">
        <is>
          <t>Multimercado</t>
        </is>
      </c>
      <c r="H280" s="4" t="inlineStr">
        <is>
          <t>Multimercado</t>
        </is>
      </c>
      <c r="I280" s="7" t="n">
        <v>1000</v>
      </c>
      <c r="J280" s="8" t="n">
        <v>2</v>
      </c>
      <c r="K280" s="8" t="n">
        <v>20</v>
      </c>
      <c r="L280" s="4" t="inlineStr">
        <is>
          <t>CDI</t>
        </is>
      </c>
      <c r="M280" s="5" t="n">
        <v>7</v>
      </c>
      <c r="N280" s="5" t="n">
        <v>9</v>
      </c>
      <c r="O280" s="5" t="n"/>
      <c r="P280" s="4" t="inlineStr">
        <is>
          <t>Curto Prazo</t>
        </is>
      </c>
      <c r="Q280" s="4" t="inlineStr">
        <is>
          <t>Não</t>
        </is>
      </c>
      <c r="R280" s="4" t="inlineStr">
        <is>
          <t>API interna</t>
        </is>
      </c>
      <c r="S280" s="4" t="n">
        <v>1</v>
      </c>
      <c r="T280" s="4" t="inlineStr">
        <is>
          <t>Não</t>
        </is>
      </c>
      <c r="U280" s="4" t="inlineStr">
        <is>
          <t>Sim</t>
        </is>
      </c>
      <c r="V280" s="4" t="inlineStr">
        <is>
          <t>Não</t>
        </is>
      </c>
      <c r="W280" s="4" t="inlineStr"/>
    </row>
    <row r="281">
      <c r="A281" s="4" t="inlineStr">
        <is>
          <t>BTG Pactual</t>
        </is>
      </c>
      <c r="B281" s="4" t="inlineStr">
        <is>
          <t>BTG Pactual Yield Prev FICFIM CrPr RL</t>
        </is>
      </c>
      <c r="C281" s="6" t="inlineStr">
        <is>
          <t>20.997.959/0001-50</t>
        </is>
      </c>
      <c r="D281" s="4" t="inlineStr">
        <is>
          <t>BTG PACTUAL ASSET MANAGEMENT S/A DTVM</t>
        </is>
      </c>
      <c r="E281" s="4" t="inlineStr">
        <is>
          <t>29.650.082/0001-00</t>
        </is>
      </c>
      <c r="F281" s="4" t="inlineStr">
        <is>
          <t>BTG PACTUAL SERVICOS FINANCEIROS S.A. DISTRIBUIDOR</t>
        </is>
      </c>
      <c r="G281" s="4" t="inlineStr">
        <is>
          <t>Multimercado</t>
        </is>
      </c>
      <c r="H281" s="4" t="inlineStr">
        <is>
          <t>Renda Fixa</t>
        </is>
      </c>
      <c r="I281" s="7" t="n">
        <v>1000</v>
      </c>
      <c r="J281" s="8" t="n">
        <v>0.55</v>
      </c>
      <c r="K281" s="8" t="n"/>
      <c r="L281" s="4" t="inlineStr"/>
      <c r="M281" s="5" t="n">
        <v>0</v>
      </c>
      <c r="N281" s="5" t="n">
        <v>1</v>
      </c>
      <c r="O281" s="5" t="n"/>
      <c r="P281" s="4" t="inlineStr">
        <is>
          <t>Curto Prazo</t>
        </is>
      </c>
      <c r="Q281" s="4" t="inlineStr">
        <is>
          <t>Não</t>
        </is>
      </c>
      <c r="R281" s="4" t="inlineStr">
        <is>
          <t>API interna</t>
        </is>
      </c>
      <c r="S281" s="4" t="n">
        <v>1</v>
      </c>
      <c r="T281" s="4" t="inlineStr">
        <is>
          <t>Não</t>
        </is>
      </c>
      <c r="U281" s="4" t="inlineStr">
        <is>
          <t>Sim</t>
        </is>
      </c>
      <c r="V281" s="4" t="inlineStr">
        <is>
          <t>Não</t>
        </is>
      </c>
      <c r="W281" s="4" t="inlineStr"/>
    </row>
    <row r="282">
      <c r="A282" s="4" t="inlineStr">
        <is>
          <t>BTG Pactual</t>
        </is>
      </c>
      <c r="B282" s="4" t="inlineStr">
        <is>
          <t>Bradesco Maple Valor Prev FIC FIA Access</t>
        </is>
      </c>
      <c r="C282" s="6" t="inlineStr">
        <is>
          <t>66.220.281/0001-04</t>
        </is>
      </c>
      <c r="D282" s="4" t="inlineStr">
        <is>
          <t>BTG PACTUAL GESTÃO E CONSULTORIA DE INVESTIMENTOS LTDA</t>
        </is>
      </c>
      <c r="E282" s="4" t="inlineStr">
        <is>
          <t>12.695.840/0001-03</t>
        </is>
      </c>
      <c r="F282" s="4" t="inlineStr">
        <is>
          <t>BTG PACTUAL SERVICOS FINANCEIROS S.A. DISTRIBUIDOR</t>
        </is>
      </c>
      <c r="G282" s="4" t="inlineStr">
        <is>
          <t>Ações</t>
        </is>
      </c>
      <c r="H282" s="4" t="inlineStr">
        <is>
          <t>Renda Variável</t>
        </is>
      </c>
      <c r="I282" s="7" t="n">
        <v>0</v>
      </c>
      <c r="J282" s="8" t="n">
        <v>1.5</v>
      </c>
      <c r="K282" s="8" t="n">
        <v>20</v>
      </c>
      <c r="L282" s="4" t="inlineStr">
        <is>
          <t>-</t>
        </is>
      </c>
      <c r="M282" s="5" t="n">
        <v>3</v>
      </c>
      <c r="N282" s="5" t="n">
        <v>5</v>
      </c>
      <c r="O282" s="5" t="n"/>
      <c r="P282" s="4" t="inlineStr">
        <is>
          <t>Curto Prazo</t>
        </is>
      </c>
      <c r="Q282" s="4" t="inlineStr">
        <is>
          <t>Não</t>
        </is>
      </c>
      <c r="R282" s="4" t="inlineStr">
        <is>
          <t>API interna</t>
        </is>
      </c>
      <c r="S282" s="4" t="n">
        <v>1</v>
      </c>
      <c r="T282" s="4" t="inlineStr">
        <is>
          <t>Não</t>
        </is>
      </c>
      <c r="U282" s="4" t="inlineStr">
        <is>
          <t>Sim</t>
        </is>
      </c>
      <c r="V282" s="4" t="inlineStr">
        <is>
          <t>Não</t>
        </is>
      </c>
      <c r="W282" s="4" t="inlineStr"/>
    </row>
    <row r="283">
      <c r="A283" s="4" t="inlineStr">
        <is>
          <t>BTG Pactual</t>
        </is>
      </c>
      <c r="B283" s="4" t="inlineStr">
        <is>
          <t>Bradesco Ultra Prev Access FICFIRF CrPr RL</t>
        </is>
      </c>
      <c r="C283" s="6" t="inlineStr">
        <is>
          <t>47.564.878/0001-13</t>
        </is>
      </c>
      <c r="D283" s="4" t="inlineStr">
        <is>
          <t>BTG PACTUAL GESTÃO E CONSULTORIA DE INVESTIMENTOS LTDA</t>
        </is>
      </c>
      <c r="E283" s="4" t="inlineStr">
        <is>
          <t>12.695.840/0001-03</t>
        </is>
      </c>
      <c r="F283" s="4" t="inlineStr">
        <is>
          <t>BTG PACTUAL SERVICOS FINANCEIROS S.A. DISTRIBUIDOR</t>
        </is>
      </c>
      <c r="G283" s="4" t="inlineStr">
        <is>
          <t>Renda Fixa</t>
        </is>
      </c>
      <c r="H283" s="4" t="inlineStr">
        <is>
          <t>Renda Fixa</t>
        </is>
      </c>
      <c r="I283" s="7" t="n">
        <v>1000</v>
      </c>
      <c r="J283" s="8" t="n"/>
      <c r="K283" s="8" t="n">
        <v>6</v>
      </c>
      <c r="L283" s="4" t="inlineStr">
        <is>
          <t>CDI</t>
        </is>
      </c>
      <c r="M283" s="5" t="n">
        <v>5</v>
      </c>
      <c r="N283" s="5" t="n">
        <v>6</v>
      </c>
      <c r="O283" s="5" t="n"/>
      <c r="P283" s="4" t="inlineStr">
        <is>
          <t>Curto Prazo</t>
        </is>
      </c>
      <c r="Q283" s="4" t="inlineStr">
        <is>
          <t>Não</t>
        </is>
      </c>
      <c r="R283" s="4" t="inlineStr">
        <is>
          <t>API interna</t>
        </is>
      </c>
      <c r="S283" s="4" t="n">
        <v>1</v>
      </c>
      <c r="T283" s="4" t="inlineStr">
        <is>
          <t>Não</t>
        </is>
      </c>
      <c r="U283" s="4" t="inlineStr">
        <is>
          <t>Sim</t>
        </is>
      </c>
      <c r="V283" s="4" t="inlineStr">
        <is>
          <t>Não</t>
        </is>
      </c>
      <c r="W283" s="4" t="inlineStr"/>
    </row>
    <row r="284">
      <c r="A284" s="4" t="inlineStr">
        <is>
          <t>BTG Pactual</t>
        </is>
      </c>
      <c r="B284" s="4" t="inlineStr">
        <is>
          <t>Brasil Capital 100 B Prev FICFIA RL</t>
        </is>
      </c>
      <c r="C284" s="6" t="inlineStr">
        <is>
          <t>38.015.734/0001-17</t>
        </is>
      </c>
      <c r="D284" s="4" t="inlineStr">
        <is>
          <t>BC GESTÃO DE RECURSOS LTDA</t>
        </is>
      </c>
      <c r="E284" s="4" t="inlineStr">
        <is>
          <t>08.752.088/0001-00</t>
        </is>
      </c>
      <c r="F284" s="4" t="inlineStr">
        <is>
          <t>BNY MELLON SERVICOS FINANCEIROS DTVM S/A</t>
        </is>
      </c>
      <c r="G284" s="4" t="inlineStr">
        <is>
          <t>Ações</t>
        </is>
      </c>
      <c r="H284" s="4" t="inlineStr">
        <is>
          <t>Renda Variável</t>
        </is>
      </c>
      <c r="I284" s="7" t="n">
        <v>1000</v>
      </c>
      <c r="J284" s="8" t="n">
        <v>2</v>
      </c>
      <c r="K284" s="8" t="n">
        <v>20</v>
      </c>
      <c r="L284" s="4" t="inlineStr">
        <is>
          <t>IBOVESPA</t>
        </is>
      </c>
      <c r="M284" s="5" t="n">
        <v>22</v>
      </c>
      <c r="N284" s="5" t="n">
        <v>24</v>
      </c>
      <c r="O284" s="5" t="n"/>
      <c r="P284" s="4" t="inlineStr">
        <is>
          <t>Longo Prazo</t>
        </is>
      </c>
      <c r="Q284" s="4" t="inlineStr">
        <is>
          <t>Não</t>
        </is>
      </c>
      <c r="R284" s="4" t="inlineStr">
        <is>
          <t>API interna</t>
        </is>
      </c>
      <c r="S284" s="4" t="n">
        <v>1</v>
      </c>
      <c r="T284" s="4" t="inlineStr">
        <is>
          <t>Não</t>
        </is>
      </c>
      <c r="U284" s="4" t="inlineStr">
        <is>
          <t>Sim</t>
        </is>
      </c>
      <c r="V284" s="4" t="inlineStr">
        <is>
          <t>Não</t>
        </is>
      </c>
      <c r="W284" s="4" t="inlineStr"/>
    </row>
    <row r="285">
      <c r="A285" s="4" t="inlineStr">
        <is>
          <t>BTG Pactual</t>
        </is>
      </c>
      <c r="B285" s="4" t="inlineStr">
        <is>
          <t>Brasil Plural Cred Corp Icatu Prev FICFIRF CrPr RL</t>
        </is>
      </c>
      <c r="C285" s="6" t="inlineStr">
        <is>
          <t>23.263.359/0001-57</t>
        </is>
      </c>
      <c r="D285" s="4" t="inlineStr">
        <is>
          <t>PLURAL GESTÃO DE RECURSOS LTDA</t>
        </is>
      </c>
      <c r="E285" s="4" t="inlineStr">
        <is>
          <t>11.397.672/0002-80</t>
        </is>
      </c>
      <c r="F285" s="4" t="inlineStr">
        <is>
          <t>BNY MELLON SERVICOS FINANCEIROS DTVM S/A</t>
        </is>
      </c>
      <c r="G285" s="4" t="inlineStr">
        <is>
          <t>Renda Fixa</t>
        </is>
      </c>
      <c r="H285" s="4" t="inlineStr">
        <is>
          <t>Renda Fixa</t>
        </is>
      </c>
      <c r="I285" s="7" t="n">
        <v>3000</v>
      </c>
      <c r="J285" s="8" t="n">
        <v>0.8</v>
      </c>
      <c r="K285" s="8" t="n"/>
      <c r="L285" s="4" t="inlineStr"/>
      <c r="M285" s="5" t="n">
        <v>3</v>
      </c>
      <c r="N285" s="5" t="n">
        <v>4</v>
      </c>
      <c r="O285" s="5" t="n"/>
      <c r="P285" s="4" t="inlineStr">
        <is>
          <t>Longo Prazo</t>
        </is>
      </c>
      <c r="Q285" s="4" t="inlineStr">
        <is>
          <t>Não</t>
        </is>
      </c>
      <c r="R285" s="4" t="inlineStr">
        <is>
          <t>API interna</t>
        </is>
      </c>
      <c r="S285" s="4" t="n">
        <v>1</v>
      </c>
      <c r="T285" s="4" t="inlineStr">
        <is>
          <t>Não</t>
        </is>
      </c>
      <c r="U285" s="4" t="inlineStr">
        <is>
          <t>Sim</t>
        </is>
      </c>
      <c r="V285" s="4" t="inlineStr">
        <is>
          <t>Não</t>
        </is>
      </c>
      <c r="W285" s="4" t="inlineStr"/>
    </row>
    <row r="286">
      <c r="A286" s="4" t="inlineStr">
        <is>
          <t>BTG Pactual</t>
        </is>
      </c>
      <c r="B286" s="4" t="inlineStr">
        <is>
          <t>Btgp Multi Acoes 100 Prev Fundo de Invstimento em Cotas de FICFIA RL</t>
        </is>
      </c>
      <c r="C286" s="6" t="inlineStr">
        <is>
          <t>37.320.765/0001-19</t>
        </is>
      </c>
      <c r="D286" s="4" t="inlineStr">
        <is>
          <t>BTG PACTUAL GESTÃO E CONSULTORIA DE INVESTIMENTOS LTDA</t>
        </is>
      </c>
      <c r="E286" s="4" t="inlineStr">
        <is>
          <t>12.695.840/0001-03</t>
        </is>
      </c>
      <c r="F286" s="4" t="inlineStr">
        <is>
          <t>BTG PACTUAL SERVICOS FINANCEIROS S.A. DISTRIBUIDOR</t>
        </is>
      </c>
      <c r="G286" s="4" t="inlineStr">
        <is>
          <t>Ações</t>
        </is>
      </c>
      <c r="H286" s="4" t="inlineStr">
        <is>
          <t>Renda Variável</t>
        </is>
      </c>
      <c r="I286" s="7" t="n">
        <v>1000</v>
      </c>
      <c r="J286" s="8" t="n">
        <v>0.5</v>
      </c>
      <c r="K286" s="8" t="n">
        <v>10</v>
      </c>
      <c r="L286" s="4" t="inlineStr">
        <is>
          <t>IPCA</t>
        </is>
      </c>
      <c r="M286" s="5" t="n">
        <v>60</v>
      </c>
      <c r="N286" s="5" t="n">
        <v>62</v>
      </c>
      <c r="O286" s="5" t="n"/>
      <c r="P286" s="4" t="inlineStr">
        <is>
          <t>Curto Prazo</t>
        </is>
      </c>
      <c r="Q286" s="4" t="inlineStr">
        <is>
          <t>Não</t>
        </is>
      </c>
      <c r="R286" s="4" t="inlineStr">
        <is>
          <t>API interna</t>
        </is>
      </c>
      <c r="S286" s="4" t="n">
        <v>1</v>
      </c>
      <c r="T286" s="4" t="inlineStr">
        <is>
          <t>Não</t>
        </is>
      </c>
      <c r="U286" s="4" t="inlineStr">
        <is>
          <t>Sim</t>
        </is>
      </c>
      <c r="V286" s="4" t="inlineStr">
        <is>
          <t>Não</t>
        </is>
      </c>
      <c r="W286" s="4" t="inlineStr"/>
    </row>
    <row r="287">
      <c r="A287" s="4" t="inlineStr">
        <is>
          <t>BTG Pactual</t>
        </is>
      </c>
      <c r="B287" s="4" t="inlineStr">
        <is>
          <t>Btgp Multigestor Total Return Prev FICFIM CrPr RL</t>
        </is>
      </c>
      <c r="C287" s="6" t="inlineStr">
        <is>
          <t>41.884.249/0001-94</t>
        </is>
      </c>
      <c r="D287" s="4" t="inlineStr">
        <is>
          <t>BTG PACTUAL GESTÃO E CONSULTORIA DE INVESTIMENTOS LTDA</t>
        </is>
      </c>
      <c r="E287" s="4" t="inlineStr">
        <is>
          <t>12.695.840/0001-03</t>
        </is>
      </c>
      <c r="F287" s="4" t="inlineStr">
        <is>
          <t>BTG PACTUAL SERVICOS FINANCEIROS S.A. DISTRIBUIDOR</t>
        </is>
      </c>
      <c r="G287" s="4" t="inlineStr">
        <is>
          <t>Multimercado</t>
        </is>
      </c>
      <c r="H287" s="4" t="inlineStr">
        <is>
          <t>Multimercado</t>
        </is>
      </c>
      <c r="I287" s="7" t="n">
        <v>10000</v>
      </c>
      <c r="J287" s="8" t="n">
        <v>0.5</v>
      </c>
      <c r="K287" s="8" t="n">
        <v>10</v>
      </c>
      <c r="L287" s="4" t="inlineStr">
        <is>
          <t>CDI</t>
        </is>
      </c>
      <c r="M287" s="5" t="n">
        <v>30</v>
      </c>
      <c r="N287" s="5" t="n">
        <v>31</v>
      </c>
      <c r="O287" s="5" t="n"/>
      <c r="P287" s="4" t="inlineStr">
        <is>
          <t>Curto Prazo</t>
        </is>
      </c>
      <c r="Q287" s="4" t="inlineStr">
        <is>
          <t>Não</t>
        </is>
      </c>
      <c r="R287" s="4" t="inlineStr">
        <is>
          <t>API interna</t>
        </is>
      </c>
      <c r="S287" s="4" t="n">
        <v>1</v>
      </c>
      <c r="T287" s="4" t="inlineStr">
        <is>
          <t>Não</t>
        </is>
      </c>
      <c r="U287" s="4" t="inlineStr">
        <is>
          <t>Sim</t>
        </is>
      </c>
      <c r="V287" s="4" t="inlineStr">
        <is>
          <t>Não</t>
        </is>
      </c>
      <c r="W287" s="4" t="inlineStr"/>
    </row>
    <row r="288">
      <c r="A288" s="4" t="inlineStr">
        <is>
          <t>BTG Pactual</t>
        </is>
      </c>
      <c r="B288" s="4" t="inlineStr">
        <is>
          <t>Butia Excellence Prev FICFIM RL</t>
        </is>
      </c>
      <c r="C288" s="6" t="inlineStr">
        <is>
          <t>28.819.628/0001-32</t>
        </is>
      </c>
      <c r="D288" s="4" t="inlineStr">
        <is>
          <t>BUTIÁ GESTÃO DE INVESTIMENTOS LTDA.</t>
        </is>
      </c>
      <c r="E288" s="4" t="inlineStr">
        <is>
          <t>22.899.452/0001-90</t>
        </is>
      </c>
      <c r="F288" s="4" t="inlineStr">
        <is>
          <t>BTG PACTUAL SERVICOS FINANCEIROS S.A. DISTRIBUIDOR</t>
        </is>
      </c>
      <c r="G288" s="4" t="inlineStr">
        <is>
          <t>Multimercado</t>
        </is>
      </c>
      <c r="H288" s="4" t="inlineStr">
        <is>
          <t>Alocação</t>
        </is>
      </c>
      <c r="I288" s="7" t="n">
        <v>0</v>
      </c>
      <c r="J288" s="8" t="n"/>
      <c r="K288" s="8" t="n"/>
      <c r="L288" s="4" t="inlineStr"/>
      <c r="M288" s="5" t="n">
        <v>0</v>
      </c>
      <c r="N288" s="5" t="n">
        <v>3</v>
      </c>
      <c r="O288" s="5" t="n"/>
      <c r="P288" s="4" t="inlineStr">
        <is>
          <t>Curto Prazo</t>
        </is>
      </c>
      <c r="Q288" s="4" t="inlineStr">
        <is>
          <t>Não</t>
        </is>
      </c>
      <c r="R288" s="4" t="inlineStr">
        <is>
          <t>API interna</t>
        </is>
      </c>
      <c r="S288" s="4" t="n">
        <v>1</v>
      </c>
      <c r="T288" s="4" t="inlineStr">
        <is>
          <t>Não</t>
        </is>
      </c>
      <c r="U288" s="4" t="inlineStr">
        <is>
          <t>Sim</t>
        </is>
      </c>
      <c r="V288" s="4" t="inlineStr">
        <is>
          <t>Não</t>
        </is>
      </c>
      <c r="W288" s="4" t="inlineStr"/>
    </row>
    <row r="289">
      <c r="A289" s="4" t="inlineStr">
        <is>
          <t>BTG Pactual</t>
        </is>
      </c>
      <c r="B289" s="4" t="inlineStr">
        <is>
          <t>Butia TOP Icatu SEG Prev FIRF CrPr RL</t>
        </is>
      </c>
      <c r="C289" s="6" t="inlineStr">
        <is>
          <t>30.507.510/0001-10</t>
        </is>
      </c>
      <c r="D289" s="4" t="inlineStr">
        <is>
          <t>BUTIÁ GESTÃO DE INVESTIMENTOS LTDA.</t>
        </is>
      </c>
      <c r="E289" s="4" t="inlineStr">
        <is>
          <t>22.899.452/0001-90</t>
        </is>
      </c>
      <c r="F289" s="4" t="inlineStr">
        <is>
          <t>BEM DISTRIBUIDORA DE TITULOS E VALORES MOBILIARIOS</t>
        </is>
      </c>
      <c r="G289" s="4" t="inlineStr">
        <is>
          <t>Renda Fixa</t>
        </is>
      </c>
      <c r="H289" s="4" t="inlineStr">
        <is>
          <t>Renda Fixa</t>
        </is>
      </c>
      <c r="I289" s="7" t="n">
        <v>3000</v>
      </c>
      <c r="J289" s="8" t="n">
        <v>0.5</v>
      </c>
      <c r="K289" s="8" t="n"/>
      <c r="L289" s="4" t="inlineStr"/>
      <c r="M289" s="5" t="n">
        <v>5</v>
      </c>
      <c r="N289" s="5" t="n">
        <v>7</v>
      </c>
      <c r="O289" s="5" t="n"/>
      <c r="P289" s="4" t="inlineStr">
        <is>
          <t>Longo Prazo</t>
        </is>
      </c>
      <c r="Q289" s="4" t="inlineStr">
        <is>
          <t>Não</t>
        </is>
      </c>
      <c r="R289" s="4" t="inlineStr">
        <is>
          <t>API interna</t>
        </is>
      </c>
      <c r="S289" s="4" t="n">
        <v>1</v>
      </c>
      <c r="T289" s="4" t="inlineStr">
        <is>
          <t>Não</t>
        </is>
      </c>
      <c r="U289" s="4" t="inlineStr">
        <is>
          <t>Sim</t>
        </is>
      </c>
      <c r="V289" s="4" t="inlineStr">
        <is>
          <t>Não</t>
        </is>
      </c>
      <c r="W289" s="4" t="inlineStr"/>
    </row>
    <row r="290">
      <c r="A290" s="4" t="inlineStr">
        <is>
          <t>BTG Pactual</t>
        </is>
      </c>
      <c r="B290" s="4" t="inlineStr">
        <is>
          <t>Canvas Icatu Prev FICFIM Prev RL</t>
        </is>
      </c>
      <c r="C290" s="6" t="inlineStr">
        <is>
          <t>24.405.282/0001-75</t>
        </is>
      </c>
      <c r="D290" s="4" t="inlineStr">
        <is>
          <t>CANVAS CAPITAL S.A.</t>
        </is>
      </c>
      <c r="E290" s="4" t="inlineStr">
        <is>
          <t>15.377.863/0001-50</t>
        </is>
      </c>
      <c r="F290" s="4" t="inlineStr">
        <is>
          <t>INTRAG DISTR DE TITULOS EVALORES MOBILIARIOS LTDA</t>
        </is>
      </c>
      <c r="G290" s="4" t="inlineStr">
        <is>
          <t>Multimercado</t>
        </is>
      </c>
      <c r="H290" s="4" t="inlineStr">
        <is>
          <t>Multimercado</t>
        </is>
      </c>
      <c r="I290" s="7" t="n">
        <v>1500</v>
      </c>
      <c r="J290" s="8" t="n">
        <v>2</v>
      </c>
      <c r="K290" s="8" t="n"/>
      <c r="L290" s="4" t="inlineStr"/>
      <c r="M290" s="5" t="n">
        <v>0</v>
      </c>
      <c r="N290" s="5" t="n">
        <v>3</v>
      </c>
      <c r="O290" s="5" t="n"/>
      <c r="P290" s="4" t="inlineStr">
        <is>
          <t>Não Aplicável</t>
        </is>
      </c>
      <c r="Q290" s="4" t="inlineStr">
        <is>
          <t>Não</t>
        </is>
      </c>
      <c r="R290" s="4" t="inlineStr">
        <is>
          <t>API interna</t>
        </is>
      </c>
      <c r="S290" s="4" t="n">
        <v>1</v>
      </c>
      <c r="T290" s="4" t="inlineStr">
        <is>
          <t>Não</t>
        </is>
      </c>
      <c r="U290" s="4" t="inlineStr">
        <is>
          <t>Sim</t>
        </is>
      </c>
      <c r="V290" s="4" t="inlineStr">
        <is>
          <t>Não</t>
        </is>
      </c>
      <c r="W290" s="4" t="inlineStr"/>
    </row>
    <row r="291">
      <c r="A291" s="4" t="inlineStr">
        <is>
          <t>BTG Pactual</t>
        </is>
      </c>
      <c r="B291" s="4" t="inlineStr">
        <is>
          <t>Capitania Prev BP FIRF CrPr RL</t>
        </is>
      </c>
      <c r="C291" s="6" t="inlineStr">
        <is>
          <t>34.270.943/0001-56</t>
        </is>
      </c>
      <c r="D291" s="4" t="inlineStr">
        <is>
          <t>CAPITANIA PREV S.A.</t>
        </is>
      </c>
      <c r="E291" s="4" t="inlineStr">
        <is>
          <t>41.777.833/0001-40</t>
        </is>
      </c>
      <c r="F291" s="4" t="inlineStr">
        <is>
          <t>BTG PACTUAL SERVICOS FINANCEIROS S.A. DISTRIBUIDOR</t>
        </is>
      </c>
      <c r="G291" s="4" t="inlineStr">
        <is>
          <t>Renda Fixa</t>
        </is>
      </c>
      <c r="H291" s="4" t="inlineStr">
        <is>
          <t>Renda Fixa</t>
        </is>
      </c>
      <c r="I291" s="7" t="n">
        <v>0</v>
      </c>
      <c r="J291" s="8" t="n"/>
      <c r="K291" s="8" t="n"/>
      <c r="L291" s="4" t="inlineStr"/>
      <c r="M291" s="5" t="n">
        <v>5</v>
      </c>
      <c r="N291" s="5" t="n">
        <v>6</v>
      </c>
      <c r="O291" s="5" t="n"/>
      <c r="P291" s="4" t="inlineStr">
        <is>
          <t>Curto Prazo</t>
        </is>
      </c>
      <c r="Q291" s="4" t="inlineStr">
        <is>
          <t>Não</t>
        </is>
      </c>
      <c r="R291" s="4" t="inlineStr">
        <is>
          <t>API interna</t>
        </is>
      </c>
      <c r="S291" s="4" t="n">
        <v>1</v>
      </c>
      <c r="T291" s="4" t="inlineStr">
        <is>
          <t>Não</t>
        </is>
      </c>
      <c r="U291" s="4" t="inlineStr">
        <is>
          <t>Sim</t>
        </is>
      </c>
      <c r="V291" s="4" t="inlineStr">
        <is>
          <t>Não</t>
        </is>
      </c>
      <c r="W291" s="4" t="inlineStr"/>
    </row>
    <row r="292">
      <c r="A292" s="4" t="inlineStr">
        <is>
          <t>BTG Pactual</t>
        </is>
      </c>
      <c r="B292" s="4" t="inlineStr">
        <is>
          <t>Clave Flex Prev FIE I FICFIM Access RL</t>
        </is>
      </c>
      <c r="C292" s="6" t="inlineStr">
        <is>
          <t>54.494.538/0001-29</t>
        </is>
      </c>
      <c r="D292" s="4" t="inlineStr">
        <is>
          <t>BTG PACTUAL GESTÃO E CONSULTORIA DE INVESTIMENTOS LTDA</t>
        </is>
      </c>
      <c r="E292" s="4" t="inlineStr">
        <is>
          <t>12.695.840/0001-03</t>
        </is>
      </c>
      <c r="F292" s="4" t="inlineStr">
        <is>
          <t>BTG PACTUAL SERVICOS FINANCEIROS S.A. DISTRIBUIDOR</t>
        </is>
      </c>
      <c r="G292" s="4" t="inlineStr">
        <is>
          <t>Multimercado</t>
        </is>
      </c>
      <c r="H292" s="4" t="inlineStr">
        <is>
          <t>Multimercado</t>
        </is>
      </c>
      <c r="I292" s="7" t="n">
        <v>0</v>
      </c>
      <c r="J292" s="8" t="n"/>
      <c r="K292" s="8" t="n">
        <v>20</v>
      </c>
      <c r="L292" s="4" t="inlineStr">
        <is>
          <t>-</t>
        </is>
      </c>
      <c r="M292" s="5" t="n">
        <v>22</v>
      </c>
      <c r="N292" s="5" t="n">
        <v>24</v>
      </c>
      <c r="O292" s="5" t="n"/>
      <c r="P292" s="4" t="inlineStr">
        <is>
          <t>Curto Prazo</t>
        </is>
      </c>
      <c r="Q292" s="4" t="inlineStr">
        <is>
          <t>Não</t>
        </is>
      </c>
      <c r="R292" s="4" t="inlineStr">
        <is>
          <t>API interna</t>
        </is>
      </c>
      <c r="S292" s="4" t="n">
        <v>1</v>
      </c>
      <c r="T292" s="4" t="inlineStr">
        <is>
          <t>Não</t>
        </is>
      </c>
      <c r="U292" s="4" t="inlineStr">
        <is>
          <t>Sim</t>
        </is>
      </c>
      <c r="V292" s="4" t="inlineStr">
        <is>
          <t>Não</t>
        </is>
      </c>
      <c r="W292" s="4" t="inlineStr"/>
    </row>
    <row r="293">
      <c r="A293" s="4" t="inlineStr">
        <is>
          <t>BTG Pactual</t>
        </is>
      </c>
      <c r="B293" s="4" t="inlineStr">
        <is>
          <t>Constellation 70 Prev FIM RL</t>
        </is>
      </c>
      <c r="C293" s="6" t="inlineStr">
        <is>
          <t>29.550.612/0001-30</t>
        </is>
      </c>
      <c r="D293" s="4" t="inlineStr">
        <is>
          <t>CONSTELLATION INVESTIMENTOS E PARTICIPAÇÕES LTDA</t>
        </is>
      </c>
      <c r="E293" s="4" t="inlineStr">
        <is>
          <t>06.182.127/0001-55</t>
        </is>
      </c>
      <c r="F293" s="4" t="inlineStr">
        <is>
          <t>BTG PACTUAL SERVICOS FINANCEIROS S.A. DISTRIBUIDOR</t>
        </is>
      </c>
      <c r="G293" s="4" t="inlineStr">
        <is>
          <t>Multimercado</t>
        </is>
      </c>
      <c r="H293" s="4" t="inlineStr">
        <is>
          <t>Renda Variável</t>
        </is>
      </c>
      <c r="I293" s="7" t="n">
        <v>5000</v>
      </c>
      <c r="J293" s="8" t="n"/>
      <c r="K293" s="8" t="n">
        <v>20</v>
      </c>
      <c r="L293" s="4" t="inlineStr">
        <is>
          <t>CDI</t>
        </is>
      </c>
      <c r="M293" s="5" t="n">
        <v>6</v>
      </c>
      <c r="N293" s="5" t="n">
        <v>8</v>
      </c>
      <c r="O293" s="5" t="n"/>
      <c r="P293" s="4" t="inlineStr">
        <is>
          <t>Curto Prazo</t>
        </is>
      </c>
      <c r="Q293" s="4" t="inlineStr">
        <is>
          <t>Não</t>
        </is>
      </c>
      <c r="R293" s="4" t="inlineStr">
        <is>
          <t>API interna</t>
        </is>
      </c>
      <c r="S293" s="4" t="n">
        <v>1</v>
      </c>
      <c r="T293" s="4" t="inlineStr">
        <is>
          <t>Não</t>
        </is>
      </c>
      <c r="U293" s="4" t="inlineStr">
        <is>
          <t>Sim</t>
        </is>
      </c>
      <c r="V293" s="4" t="inlineStr">
        <is>
          <t>Não</t>
        </is>
      </c>
      <c r="W293" s="4" t="inlineStr"/>
    </row>
    <row r="294">
      <c r="A294" s="4" t="inlineStr">
        <is>
          <t>BTG Pactual</t>
        </is>
      </c>
      <c r="B294" s="4" t="inlineStr">
        <is>
          <t>Constellation BP 100 Prev FICFIA</t>
        </is>
      </c>
      <c r="C294" s="6" t="inlineStr">
        <is>
          <t>43.619.032/0001-82</t>
        </is>
      </c>
      <c r="D294" s="4" t="inlineStr">
        <is>
          <t>CONSTELLATION INVESTIMENTOS E PARTICIPAÇÕES LTDA</t>
        </is>
      </c>
      <c r="E294" s="4" t="inlineStr">
        <is>
          <t>06.182.127/0001-55</t>
        </is>
      </c>
      <c r="F294" s="4" t="inlineStr">
        <is>
          <t>BTG PACTUAL SERVICOS FINANCEIROS S.A. DISTRIBUIDOR</t>
        </is>
      </c>
      <c r="G294" s="4" t="inlineStr">
        <is>
          <t>Ações</t>
        </is>
      </c>
      <c r="H294" s="4" t="inlineStr">
        <is>
          <t>Renda Variável</t>
        </is>
      </c>
      <c r="I294" s="7" t="n">
        <v>0</v>
      </c>
      <c r="J294" s="8" t="n"/>
      <c r="K294" s="8" t="n"/>
      <c r="L294" s="4" t="inlineStr"/>
      <c r="M294" s="5" t="n">
        <v>40</v>
      </c>
      <c r="N294" s="5" t="n">
        <v>42</v>
      </c>
      <c r="O294" s="5" t="n"/>
      <c r="P294" s="4" t="inlineStr">
        <is>
          <t>Renda Variável</t>
        </is>
      </c>
      <c r="Q294" s="4" t="inlineStr">
        <is>
          <t>Não</t>
        </is>
      </c>
      <c r="R294" s="4" t="inlineStr">
        <is>
          <t>API interna</t>
        </is>
      </c>
      <c r="S294" s="4" t="n">
        <v>1</v>
      </c>
      <c r="T294" s="4" t="inlineStr">
        <is>
          <t>Não</t>
        </is>
      </c>
      <c r="U294" s="4" t="inlineStr">
        <is>
          <t>Sim</t>
        </is>
      </c>
      <c r="V294" s="4" t="inlineStr">
        <is>
          <t>Não</t>
        </is>
      </c>
      <c r="W294" s="4" t="inlineStr"/>
    </row>
    <row r="295">
      <c r="A295" s="4" t="inlineStr">
        <is>
          <t>BTG Pactual</t>
        </is>
      </c>
      <c r="B295" s="4" t="inlineStr">
        <is>
          <t>Daemon Ethos Icatu Prev IQ FIE FICFIM</t>
        </is>
      </c>
      <c r="C295" s="6" t="inlineStr">
        <is>
          <t>50.698.062/0001-97</t>
        </is>
      </c>
      <c r="D295" s="4" t="inlineStr">
        <is>
          <t>DAEMON INVESTIMENTOS LTDA.</t>
        </is>
      </c>
      <c r="E295" s="4" t="inlineStr">
        <is>
          <t>10.865.161/0001-00</t>
        </is>
      </c>
      <c r="F295" s="4" t="inlineStr">
        <is>
          <t>BNY MELLON SERVICOS FINANCEIROS DISTRIBUIDORA DE T</t>
        </is>
      </c>
      <c r="G295" s="4" t="inlineStr">
        <is>
          <t>Multimercado</t>
        </is>
      </c>
      <c r="H295" s="4" t="inlineStr">
        <is>
          <t>Multimercado</t>
        </is>
      </c>
      <c r="I295" s="7" t="n">
        <v>5000</v>
      </c>
      <c r="J295" s="8" t="n">
        <v>1.5</v>
      </c>
      <c r="K295" s="8" t="n">
        <v>20</v>
      </c>
      <c r="L295" s="4" t="inlineStr">
        <is>
          <t>-</t>
        </is>
      </c>
      <c r="M295" s="5" t="n">
        <v>7</v>
      </c>
      <c r="N295" s="5" t="n">
        <v>10</v>
      </c>
      <c r="O295" s="5" t="n"/>
      <c r="P295" s="4" t="inlineStr">
        <is>
          <t>Longo Prazo</t>
        </is>
      </c>
      <c r="Q295" s="4" t="inlineStr">
        <is>
          <t>Sim</t>
        </is>
      </c>
      <c r="R295" s="4" t="inlineStr">
        <is>
          <t>API interna</t>
        </is>
      </c>
      <c r="S295" s="4" t="n">
        <v>1</v>
      </c>
      <c r="T295" s="4" t="inlineStr">
        <is>
          <t>Não</t>
        </is>
      </c>
      <c r="U295" s="4" t="inlineStr">
        <is>
          <t>Sim</t>
        </is>
      </c>
      <c r="V295" s="4" t="inlineStr">
        <is>
          <t>Não</t>
        </is>
      </c>
      <c r="W295" s="4" t="inlineStr"/>
    </row>
    <row r="296">
      <c r="A296" s="4" t="inlineStr">
        <is>
          <t>BTG Pactual</t>
        </is>
      </c>
      <c r="B296" s="4" t="inlineStr">
        <is>
          <t>Dahlia 100 Prev FICFIM RL</t>
        </is>
      </c>
      <c r="C296" s="6" t="inlineStr">
        <is>
          <t>37.128.109/0001-19</t>
        </is>
      </c>
      <c r="D296" s="4" t="inlineStr">
        <is>
          <t>DAHLIA CAPITAL GESTÃO DE RECURSOS LTDA.</t>
        </is>
      </c>
      <c r="E296" s="4" t="inlineStr">
        <is>
          <t>09.551.766/0001-39</t>
        </is>
      </c>
      <c r="F296" s="4" t="inlineStr">
        <is>
          <t>BNY MELLON SERVICOS FINANCEIROS DTVM S/A</t>
        </is>
      </c>
      <c r="G296" s="4" t="inlineStr">
        <is>
          <t>Multimercado</t>
        </is>
      </c>
      <c r="H296" s="4" t="inlineStr">
        <is>
          <t>Renda Variável</t>
        </is>
      </c>
      <c r="I296" s="7" t="n">
        <v>0</v>
      </c>
      <c r="J296" s="8" t="n">
        <v>1.85</v>
      </c>
      <c r="K296" s="8" t="n">
        <v>20</v>
      </c>
      <c r="L296" s="4" t="inlineStr">
        <is>
          <t>IBX</t>
        </is>
      </c>
      <c r="M296" s="5" t="n">
        <v>10</v>
      </c>
      <c r="N296" s="5" t="n">
        <v>12</v>
      </c>
      <c r="O296" s="5" t="n"/>
      <c r="P296" s="4" t="inlineStr">
        <is>
          <t>Longo Prazo</t>
        </is>
      </c>
      <c r="Q296" s="4" t="inlineStr">
        <is>
          <t>Não</t>
        </is>
      </c>
      <c r="R296" s="4" t="inlineStr">
        <is>
          <t>API interna</t>
        </is>
      </c>
      <c r="S296" s="4" t="n">
        <v>1</v>
      </c>
      <c r="T296" s="4" t="inlineStr">
        <is>
          <t>Não</t>
        </is>
      </c>
      <c r="U296" s="4" t="inlineStr">
        <is>
          <t>Sim</t>
        </is>
      </c>
      <c r="V296" s="4" t="inlineStr">
        <is>
          <t>Não</t>
        </is>
      </c>
      <c r="W296" s="4" t="inlineStr"/>
    </row>
    <row r="297">
      <c r="A297" s="4" t="inlineStr">
        <is>
          <t>BTG Pactual</t>
        </is>
      </c>
      <c r="B297" s="4" t="inlineStr">
        <is>
          <t>Dahlia BP Prev Total Return 70 FICFIM RL</t>
        </is>
      </c>
      <c r="C297" s="6" t="inlineStr">
        <is>
          <t>47.212.505/0001-83</t>
        </is>
      </c>
      <c r="D297" s="4" t="inlineStr">
        <is>
          <t>DAHLIA CAPITAL GESTÃO DE RECURSOS LTDA.</t>
        </is>
      </c>
      <c r="E297" s="4" t="inlineStr">
        <is>
          <t>09.551.766/0001-39</t>
        </is>
      </c>
      <c r="F297" s="4" t="inlineStr">
        <is>
          <t>INTRAG DISTR DE TITULOS EVALORES MOBILIARIOS LTDA</t>
        </is>
      </c>
      <c r="G297" s="4" t="inlineStr">
        <is>
          <t>Multimercado</t>
        </is>
      </c>
      <c r="H297" s="4" t="inlineStr">
        <is>
          <t>Renda Variável</t>
        </is>
      </c>
      <c r="I297" s="7" t="n">
        <v>1000</v>
      </c>
      <c r="J297" s="8" t="n">
        <v>1.65</v>
      </c>
      <c r="K297" s="8" t="n">
        <v>20</v>
      </c>
      <c r="L297" s="4" t="inlineStr">
        <is>
          <t>-</t>
        </is>
      </c>
      <c r="M297" s="5" t="n">
        <v>7</v>
      </c>
      <c r="N297" s="5" t="n">
        <v>9</v>
      </c>
      <c r="O297" s="5" t="n"/>
      <c r="P297" s="4" t="inlineStr">
        <is>
          <t>Longo Prazo</t>
        </is>
      </c>
      <c r="Q297" s="4" t="inlineStr">
        <is>
          <t>Não</t>
        </is>
      </c>
      <c r="R297" s="4" t="inlineStr">
        <is>
          <t>API interna</t>
        </is>
      </c>
      <c r="S297" s="4" t="n">
        <v>1</v>
      </c>
      <c r="T297" s="4" t="inlineStr">
        <is>
          <t>Não</t>
        </is>
      </c>
      <c r="U297" s="4" t="inlineStr">
        <is>
          <t>Sim</t>
        </is>
      </c>
      <c r="V297" s="4" t="inlineStr">
        <is>
          <t>Não</t>
        </is>
      </c>
      <c r="W297" s="4" t="inlineStr"/>
    </row>
    <row r="298">
      <c r="A298" s="4" t="inlineStr">
        <is>
          <t>BTG Pactual</t>
        </is>
      </c>
      <c r="B298" s="4" t="inlineStr">
        <is>
          <t>Dahlia Global 50 Prev FICFIM RL</t>
        </is>
      </c>
      <c r="C298" s="6" t="inlineStr">
        <is>
          <t>37.626.895/0001-84</t>
        </is>
      </c>
      <c r="D298" s="4" t="inlineStr">
        <is>
          <t>DAHLIA CAPITAL GESTÃO DE RECURSOS LTDA.</t>
        </is>
      </c>
      <c r="E298" s="4" t="inlineStr">
        <is>
          <t>09.551.766/0001-39</t>
        </is>
      </c>
      <c r="F298" s="4" t="inlineStr">
        <is>
          <t>BNY MELLON SERVICOS FINANCEIROS DTVM S/A</t>
        </is>
      </c>
      <c r="G298" s="4" t="inlineStr">
        <is>
          <t>Multimercado</t>
        </is>
      </c>
      <c r="H298" s="4" t="inlineStr">
        <is>
          <t>Multimercado</t>
        </is>
      </c>
      <c r="I298" s="7" t="n">
        <v>0</v>
      </c>
      <c r="J298" s="8" t="n">
        <v>1.1</v>
      </c>
      <c r="K298" s="8" t="n">
        <v>15</v>
      </c>
      <c r="L298" s="4" t="inlineStr">
        <is>
          <t>CDI</t>
        </is>
      </c>
      <c r="M298" s="5" t="n">
        <v>7</v>
      </c>
      <c r="N298" s="5" t="n">
        <v>9</v>
      </c>
      <c r="O298" s="5" t="n"/>
      <c r="P298" s="4" t="inlineStr">
        <is>
          <t>Longo Prazo</t>
        </is>
      </c>
      <c r="Q298" s="4" t="inlineStr">
        <is>
          <t>Não</t>
        </is>
      </c>
      <c r="R298" s="4" t="inlineStr">
        <is>
          <t>API interna</t>
        </is>
      </c>
      <c r="S298" s="4" t="n">
        <v>1</v>
      </c>
      <c r="T298" s="4" t="inlineStr">
        <is>
          <t>Não</t>
        </is>
      </c>
      <c r="U298" s="4" t="inlineStr">
        <is>
          <t>Sim</t>
        </is>
      </c>
      <c r="V298" s="4" t="inlineStr">
        <is>
          <t>Não</t>
        </is>
      </c>
      <c r="W298" s="4" t="inlineStr"/>
    </row>
    <row r="299">
      <c r="A299" s="4" t="inlineStr">
        <is>
          <t>BTG Pactual</t>
        </is>
      </c>
      <c r="B299" s="4" t="inlineStr">
        <is>
          <t>Dahlia Total Return BP Prev FICFIM RL</t>
        </is>
      </c>
      <c r="C299" s="6" t="inlineStr">
        <is>
          <t>53.675.501/0001-34</t>
        </is>
      </c>
      <c r="D299" s="4" t="inlineStr">
        <is>
          <t>DAHLIA CAPITAL GESTÃO DE RECURSOS LTDA.</t>
        </is>
      </c>
      <c r="E299" s="4" t="inlineStr">
        <is>
          <t>09.551.766/0001-39</t>
        </is>
      </c>
      <c r="F299" s="4" t="inlineStr">
        <is>
          <t>BTG PACTUAL SERVICOS FINANCEIROS S.A. DISTRIBUIDOR</t>
        </is>
      </c>
      <c r="G299" s="4" t="inlineStr">
        <is>
          <t>Multimercado</t>
        </is>
      </c>
      <c r="H299" s="4" t="inlineStr">
        <is>
          <t>Renda Variável</t>
        </is>
      </c>
      <c r="I299" s="7" t="n">
        <v>1000</v>
      </c>
      <c r="J299" s="8" t="n">
        <v>0.75</v>
      </c>
      <c r="K299" s="8" t="n"/>
      <c r="L299" s="4" t="inlineStr"/>
      <c r="M299" s="5" t="n">
        <v>7</v>
      </c>
      <c r="N299" s="5" t="n">
        <v>9</v>
      </c>
      <c r="O299" s="5" t="n"/>
      <c r="P299" s="4" t="inlineStr">
        <is>
          <t>Curto Prazo</t>
        </is>
      </c>
      <c r="Q299" s="4" t="inlineStr">
        <is>
          <t>Não</t>
        </is>
      </c>
      <c r="R299" s="4" t="inlineStr">
        <is>
          <t>API interna</t>
        </is>
      </c>
      <c r="S299" s="4" t="n">
        <v>1</v>
      </c>
      <c r="T299" s="4" t="inlineStr">
        <is>
          <t>Não</t>
        </is>
      </c>
      <c r="U299" s="4" t="inlineStr">
        <is>
          <t>Sim</t>
        </is>
      </c>
      <c r="V299" s="4" t="inlineStr">
        <is>
          <t>Não</t>
        </is>
      </c>
      <c r="W299" s="4" t="inlineStr"/>
    </row>
    <row r="300">
      <c r="A300" s="4" t="inlineStr">
        <is>
          <t>BTG Pactual</t>
        </is>
      </c>
      <c r="B300" s="4" t="inlineStr">
        <is>
          <t>Empiricus Cripto Prev 20 FIM RL</t>
        </is>
      </c>
      <c r="C300" s="6" t="inlineStr">
        <is>
          <t>44.027.398/0001-25</t>
        </is>
      </c>
      <c r="D300" s="4" t="inlineStr">
        <is>
          <t>BTG PACTUAL ASSET MANAGEMENT S/A DTVM</t>
        </is>
      </c>
      <c r="E300" s="4" t="inlineStr">
        <is>
          <t>29.650.082/0001-00</t>
        </is>
      </c>
      <c r="F300" s="4" t="inlineStr">
        <is>
          <t>BTG PACTUAL SERVICOS FINANCEIROS S.A. DISTRIBUIDOR</t>
        </is>
      </c>
      <c r="G300" s="4" t="inlineStr">
        <is>
          <t>Multimercado</t>
        </is>
      </c>
      <c r="H300" s="4" t="inlineStr">
        <is>
          <t>Alternativos</t>
        </is>
      </c>
      <c r="I300" s="7" t="n">
        <v>1000</v>
      </c>
      <c r="J300" s="8" t="n"/>
      <c r="K300" s="8" t="n"/>
      <c r="L300" s="4" t="inlineStr"/>
      <c r="M300" s="5" t="n">
        <v>7</v>
      </c>
      <c r="N300" s="5" t="n">
        <v>9</v>
      </c>
      <c r="O300" s="5" t="n"/>
      <c r="P300" s="4" t="inlineStr">
        <is>
          <t>Curto Prazo</t>
        </is>
      </c>
      <c r="Q300" s="4" t="inlineStr">
        <is>
          <t>Não</t>
        </is>
      </c>
      <c r="R300" s="4" t="inlineStr">
        <is>
          <t>API interna</t>
        </is>
      </c>
      <c r="S300" s="4" t="n">
        <v>1</v>
      </c>
      <c r="T300" s="4" t="inlineStr">
        <is>
          <t>Não</t>
        </is>
      </c>
      <c r="U300" s="4" t="inlineStr">
        <is>
          <t>Sim</t>
        </is>
      </c>
      <c r="V300" s="4" t="inlineStr">
        <is>
          <t>Não</t>
        </is>
      </c>
      <c r="W300" s="4" t="inlineStr"/>
    </row>
    <row r="301">
      <c r="A301" s="4" t="inlineStr">
        <is>
          <t>BTG Pactual</t>
        </is>
      </c>
      <c r="B301" s="4" t="inlineStr">
        <is>
          <t>Empiricus FoF Nova Superprevidencia Prev FIM RL</t>
        </is>
      </c>
      <c r="C301" s="6" t="inlineStr">
        <is>
          <t>44.027.199/0001-17</t>
        </is>
      </c>
      <c r="D301" s="4" t="inlineStr">
        <is>
          <t>BTG PACTUAL GESTÃO E CONSULTORIA DE INVESTIMENTOS LTDA</t>
        </is>
      </c>
      <c r="E301" s="4" t="inlineStr">
        <is>
          <t>12.695.840/0001-03</t>
        </is>
      </c>
      <c r="F301" s="4" t="inlineStr">
        <is>
          <t>BTG PACTUAL SERVICOS FINANCEIROS S.A. DISTRIBUIDOR</t>
        </is>
      </c>
      <c r="G301" s="4" t="inlineStr">
        <is>
          <t>Multimercado</t>
        </is>
      </c>
      <c r="H301" s="4" t="inlineStr">
        <is>
          <t>Alocação</t>
        </is>
      </c>
      <c r="I301" s="7" t="n">
        <v>1000</v>
      </c>
      <c r="J301" s="8" t="n">
        <v>0.75</v>
      </c>
      <c r="K301" s="8" t="n"/>
      <c r="L301" s="4" t="inlineStr"/>
      <c r="M301" s="5" t="n">
        <v>5</v>
      </c>
      <c r="N301" s="5" t="n">
        <v>7</v>
      </c>
      <c r="O301" s="5" t="n"/>
      <c r="P301" s="4" t="inlineStr">
        <is>
          <t>Curto Prazo</t>
        </is>
      </c>
      <c r="Q301" s="4" t="inlineStr">
        <is>
          <t>Não</t>
        </is>
      </c>
      <c r="R301" s="4" t="inlineStr">
        <is>
          <t>API interna</t>
        </is>
      </c>
      <c r="S301" s="4" t="n">
        <v>1</v>
      </c>
      <c r="T301" s="4" t="inlineStr">
        <is>
          <t>Não</t>
        </is>
      </c>
      <c r="U301" s="4" t="inlineStr">
        <is>
          <t>Sim</t>
        </is>
      </c>
      <c r="V301" s="4" t="inlineStr">
        <is>
          <t>Não</t>
        </is>
      </c>
      <c r="W301" s="4" t="inlineStr"/>
    </row>
    <row r="302">
      <c r="A302" s="4" t="inlineStr">
        <is>
          <t>BTG Pactual</t>
        </is>
      </c>
      <c r="B302" s="4" t="inlineStr">
        <is>
          <t>Empiricus FoF Super Prev Yield FIM CrPr RL</t>
        </is>
      </c>
      <c r="C302" s="6" t="inlineStr">
        <is>
          <t>55.169.143/0001-13</t>
        </is>
      </c>
      <c r="D302" s="4" t="inlineStr">
        <is>
          <t>BTG PACTUAL GESTÃO E CONSULTORIA DE INVESTIMENTOS LTDA</t>
        </is>
      </c>
      <c r="E302" s="4" t="inlineStr">
        <is>
          <t>12.695.840/0001-03</t>
        </is>
      </c>
      <c r="F302" s="4" t="inlineStr">
        <is>
          <t>BTG PACTUAL SERVICOS FINANCEIROS S.A. DISTRIBUIDOR</t>
        </is>
      </c>
      <c r="G302" s="4" t="inlineStr">
        <is>
          <t>Multimercado</t>
        </is>
      </c>
      <c r="H302" s="4" t="inlineStr">
        <is>
          <t>Alocação</t>
        </is>
      </c>
      <c r="I302" s="7" t="n">
        <v>1000</v>
      </c>
      <c r="J302" s="8" t="n">
        <v>0.3</v>
      </c>
      <c r="K302" s="8" t="n">
        <v>10</v>
      </c>
      <c r="L302" s="4" t="inlineStr">
        <is>
          <t>-</t>
        </is>
      </c>
      <c r="M302" s="5" t="n">
        <v>8</v>
      </c>
      <c r="N302" s="5" t="n">
        <v>10</v>
      </c>
      <c r="O302" s="5" t="n"/>
      <c r="P302" s="4" t="inlineStr">
        <is>
          <t>Curto Prazo</t>
        </is>
      </c>
      <c r="Q302" s="4" t="inlineStr">
        <is>
          <t>Não</t>
        </is>
      </c>
      <c r="R302" s="4" t="inlineStr">
        <is>
          <t>API interna</t>
        </is>
      </c>
      <c r="S302" s="4" t="n">
        <v>1</v>
      </c>
      <c r="T302" s="4" t="inlineStr">
        <is>
          <t>Não</t>
        </is>
      </c>
      <c r="U302" s="4" t="inlineStr">
        <is>
          <t>Sim</t>
        </is>
      </c>
      <c r="V302" s="4" t="inlineStr">
        <is>
          <t>Não</t>
        </is>
      </c>
      <c r="W302" s="4" t="inlineStr"/>
    </row>
    <row r="303">
      <c r="A303" s="4" t="inlineStr">
        <is>
          <t>BTG Pactual</t>
        </is>
      </c>
      <c r="B303" s="4" t="inlineStr">
        <is>
          <t>Empiricus FoF Superprevidencia Acoes Icatu FIA RL</t>
        </is>
      </c>
      <c r="C303" s="6" t="inlineStr">
        <is>
          <t>35.844.969/0001-23</t>
        </is>
      </c>
      <c r="D303" s="4" t="inlineStr">
        <is>
          <t>BTG PACTUAL GESTÃO E CONSULTORIA DE INVESTIMENTOS LTDA</t>
        </is>
      </c>
      <c r="E303" s="4" t="inlineStr">
        <is>
          <t>12.695.840/0001-03</t>
        </is>
      </c>
      <c r="F303" s="4" t="inlineStr">
        <is>
          <t>BEM DISTRIBUIDORA DE TITULOS E VALORES MOBILIARIOS</t>
        </is>
      </c>
      <c r="G303" s="4" t="inlineStr">
        <is>
          <t>Multimercado</t>
        </is>
      </c>
      <c r="H303" s="4" t="inlineStr">
        <is>
          <t>Renda Variável</t>
        </is>
      </c>
      <c r="I303" s="7" t="n">
        <v>1000</v>
      </c>
      <c r="J303" s="8" t="n">
        <v>0.75</v>
      </c>
      <c r="K303" s="8" t="n">
        <v>10</v>
      </c>
      <c r="L303" s="4" t="inlineStr">
        <is>
          <t>IBOVESPA</t>
        </is>
      </c>
      <c r="M303" s="5" t="n">
        <v>42</v>
      </c>
      <c r="N303" s="5" t="n">
        <v>43</v>
      </c>
      <c r="O303" s="5" t="n"/>
      <c r="P303" s="4" t="inlineStr">
        <is>
          <t>Longo Prazo</t>
        </is>
      </c>
      <c r="Q303" s="4" t="inlineStr">
        <is>
          <t>Não</t>
        </is>
      </c>
      <c r="R303" s="4" t="inlineStr">
        <is>
          <t>API interna</t>
        </is>
      </c>
      <c r="S303" s="4" t="n">
        <v>1</v>
      </c>
      <c r="T303" s="4" t="inlineStr">
        <is>
          <t>Não</t>
        </is>
      </c>
      <c r="U303" s="4" t="inlineStr">
        <is>
          <t>Sim</t>
        </is>
      </c>
      <c r="V303" s="4" t="inlineStr">
        <is>
          <t>Não</t>
        </is>
      </c>
      <c r="W303" s="4" t="inlineStr"/>
    </row>
    <row r="304">
      <c r="A304" s="4" t="inlineStr">
        <is>
          <t>BTG Pactual</t>
        </is>
      </c>
      <c r="B304" s="4" t="inlineStr">
        <is>
          <t>Empiricus FoF Superprevidencia Arrojado Icatu Prev FIM RL</t>
        </is>
      </c>
      <c r="C304" s="6" t="inlineStr">
        <is>
          <t>33.269.222/0001-63</t>
        </is>
      </c>
      <c r="D304" s="4" t="inlineStr">
        <is>
          <t>BTG PACTUAL GESTÃO E CONSULTORIA DE INVESTIMENTOS LTDA</t>
        </is>
      </c>
      <c r="E304" s="4" t="inlineStr">
        <is>
          <t>12.695.840/0001-03</t>
        </is>
      </c>
      <c r="F304" s="4" t="inlineStr">
        <is>
          <t>BTG PACTUAL SERVICOS FINANCEIROS S.A. DISTRIBUIDOR</t>
        </is>
      </c>
      <c r="G304" s="4" t="inlineStr">
        <is>
          <t>Multimercado</t>
        </is>
      </c>
      <c r="H304" s="4" t="inlineStr">
        <is>
          <t>Renda Variável</t>
        </is>
      </c>
      <c r="I304" s="7" t="n">
        <v>1000</v>
      </c>
      <c r="J304" s="8" t="n">
        <v>0.75</v>
      </c>
      <c r="K304" s="8" t="n"/>
      <c r="L304" s="4" t="inlineStr"/>
      <c r="M304" s="5" t="n">
        <v>5</v>
      </c>
      <c r="N304" s="5" t="n">
        <v>7</v>
      </c>
      <c r="O304" s="5" t="n"/>
      <c r="P304" s="4" t="inlineStr">
        <is>
          <t>Curto Prazo</t>
        </is>
      </c>
      <c r="Q304" s="4" t="inlineStr">
        <is>
          <t>Não</t>
        </is>
      </c>
      <c r="R304" s="4" t="inlineStr">
        <is>
          <t>API interna</t>
        </is>
      </c>
      <c r="S304" s="4" t="n">
        <v>1</v>
      </c>
      <c r="T304" s="4" t="inlineStr">
        <is>
          <t>Não</t>
        </is>
      </c>
      <c r="U304" s="4" t="inlineStr">
        <is>
          <t>Sim</t>
        </is>
      </c>
      <c r="V304" s="4" t="inlineStr">
        <is>
          <t>Não</t>
        </is>
      </c>
      <c r="W304" s="4" t="inlineStr"/>
    </row>
    <row r="305">
      <c r="A305" s="4" t="inlineStr">
        <is>
          <t>BTG Pactual</t>
        </is>
      </c>
      <c r="B305" s="4" t="inlineStr">
        <is>
          <t>Empiricus FoF Superprevidencia Conservador Icatu FIRF Prev RL</t>
        </is>
      </c>
      <c r="C305" s="6" t="inlineStr">
        <is>
          <t>33.884.185/0001-01</t>
        </is>
      </c>
      <c r="D305" s="4" t="inlineStr">
        <is>
          <t>BTG PACTUAL GESTÃO E CONSULTORIA DE INVESTIMENTOS LTDA</t>
        </is>
      </c>
      <c r="E305" s="4" t="inlineStr">
        <is>
          <t>12.695.840/0001-03</t>
        </is>
      </c>
      <c r="F305" s="4" t="inlineStr">
        <is>
          <t>BTG PACTUAL SERVICOS FINANCEIROS S.A. DISTRIBUIDOR</t>
        </is>
      </c>
      <c r="G305" s="4" t="inlineStr">
        <is>
          <t>Renda Fixa</t>
        </is>
      </c>
      <c r="H305" s="4" t="inlineStr">
        <is>
          <t>Renda Fixa</t>
        </is>
      </c>
      <c r="I305" s="7" t="n">
        <v>1000</v>
      </c>
      <c r="J305" s="8" t="n">
        <v>0.3</v>
      </c>
      <c r="K305" s="8" t="n"/>
      <c r="L305" s="4" t="inlineStr"/>
      <c r="M305" s="5" t="n">
        <v>5</v>
      </c>
      <c r="N305" s="5" t="n">
        <v>7</v>
      </c>
      <c r="O305" s="5" t="n"/>
      <c r="P305" s="4" t="inlineStr">
        <is>
          <t>Curto Prazo</t>
        </is>
      </c>
      <c r="Q305" s="4" t="inlineStr">
        <is>
          <t>Não</t>
        </is>
      </c>
      <c r="R305" s="4" t="inlineStr">
        <is>
          <t>API interna</t>
        </is>
      </c>
      <c r="S305" s="4" t="n">
        <v>1</v>
      </c>
      <c r="T305" s="4" t="inlineStr">
        <is>
          <t>Não</t>
        </is>
      </c>
      <c r="U305" s="4" t="inlineStr">
        <is>
          <t>Sim</t>
        </is>
      </c>
      <c r="V305" s="4" t="inlineStr">
        <is>
          <t>Não</t>
        </is>
      </c>
      <c r="W305" s="4" t="inlineStr"/>
    </row>
    <row r="306">
      <c r="A306" s="4" t="inlineStr">
        <is>
          <t>BTG Pactual</t>
        </is>
      </c>
      <c r="B306" s="4" t="inlineStr">
        <is>
          <t>Empiricus FoF Superprevidencia Multimercados Icatu Prev FIM RL</t>
        </is>
      </c>
      <c r="C306" s="6" t="inlineStr">
        <is>
          <t>47.350.604/0001-21</t>
        </is>
      </c>
      <c r="D306" s="4" t="inlineStr">
        <is>
          <t>BTG PACTUAL GESTÃO E CONSULTORIA DE INVESTIMENTOS LTDA</t>
        </is>
      </c>
      <c r="E306" s="4" t="inlineStr">
        <is>
          <t>12.695.840/0001-03</t>
        </is>
      </c>
      <c r="F306" s="4" t="inlineStr">
        <is>
          <t>BTG PACTUAL SERVICOS FINANCEIROS S.A. DISTRIBUIDOR</t>
        </is>
      </c>
      <c r="G306" s="4" t="inlineStr">
        <is>
          <t>Multimercado</t>
        </is>
      </c>
      <c r="H306" s="4" t="inlineStr">
        <is>
          <t>Multimercado</t>
        </is>
      </c>
      <c r="I306" s="7" t="n">
        <v>1000</v>
      </c>
      <c r="J306" s="8" t="n">
        <v>0.75</v>
      </c>
      <c r="K306" s="8" t="n">
        <v>10</v>
      </c>
      <c r="L306" s="4" t="inlineStr">
        <is>
          <t>-</t>
        </is>
      </c>
      <c r="M306" s="5" t="n">
        <v>5</v>
      </c>
      <c r="N306" s="5" t="n">
        <v>7</v>
      </c>
      <c r="O306" s="5" t="n"/>
      <c r="P306" s="4" t="inlineStr">
        <is>
          <t>Curto Prazo</t>
        </is>
      </c>
      <c r="Q306" s="4" t="inlineStr">
        <is>
          <t>Não</t>
        </is>
      </c>
      <c r="R306" s="4" t="inlineStr">
        <is>
          <t>API interna</t>
        </is>
      </c>
      <c r="S306" s="4" t="n">
        <v>1</v>
      </c>
      <c r="T306" s="4" t="inlineStr">
        <is>
          <t>Não</t>
        </is>
      </c>
      <c r="U306" s="4" t="inlineStr">
        <is>
          <t>Sim</t>
        </is>
      </c>
      <c r="V306" s="4" t="inlineStr">
        <is>
          <t>Não</t>
        </is>
      </c>
      <c r="W306" s="4" t="inlineStr"/>
    </row>
    <row r="307">
      <c r="A307" s="4" t="inlineStr">
        <is>
          <t>BTG Pactual</t>
        </is>
      </c>
      <c r="B307" s="4" t="inlineStr">
        <is>
          <t>Empiricus Global Real Return Prev FIM RL</t>
        </is>
      </c>
      <c r="C307" s="6" t="inlineStr">
        <is>
          <t>44.027.256/0001-68</t>
        </is>
      </c>
      <c r="D307" s="4" t="inlineStr">
        <is>
          <t>BTG PACTUAL ASSET MANAGEMENT S/A DTVM</t>
        </is>
      </c>
      <c r="E307" s="4" t="inlineStr">
        <is>
          <t>29.650.082/0001-00</t>
        </is>
      </c>
      <c r="F307" s="4" t="inlineStr">
        <is>
          <t>BTG PACTUAL SERVICOS FINANCEIROS S.A. DISTRIBUIDOR</t>
        </is>
      </c>
      <c r="G307" s="4" t="inlineStr">
        <is>
          <t>Multimercado</t>
        </is>
      </c>
      <c r="H307" s="4" t="inlineStr">
        <is>
          <t>Multimercado</t>
        </is>
      </c>
      <c r="I307" s="7" t="n">
        <v>1000</v>
      </c>
      <c r="J307" s="8" t="n"/>
      <c r="K307" s="8" t="n"/>
      <c r="L307" s="4" t="inlineStr"/>
      <c r="M307" s="5" t="n">
        <v>7</v>
      </c>
      <c r="N307" s="5" t="n">
        <v>9</v>
      </c>
      <c r="O307" s="5" t="n"/>
      <c r="P307" s="4" t="inlineStr">
        <is>
          <t>Curto Prazo</t>
        </is>
      </c>
      <c r="Q307" s="4" t="inlineStr">
        <is>
          <t>Não</t>
        </is>
      </c>
      <c r="R307" s="4" t="inlineStr">
        <is>
          <t>API interna</t>
        </is>
      </c>
      <c r="S307" s="4" t="n">
        <v>1</v>
      </c>
      <c r="T307" s="4" t="inlineStr">
        <is>
          <t>Não</t>
        </is>
      </c>
      <c r="U307" s="4" t="inlineStr">
        <is>
          <t>Sim</t>
        </is>
      </c>
      <c r="V307" s="4" t="inlineStr">
        <is>
          <t>Não</t>
        </is>
      </c>
      <c r="W307" s="4" t="inlineStr"/>
    </row>
    <row r="308">
      <c r="A308" s="4" t="inlineStr">
        <is>
          <t>BTG Pactual</t>
        </is>
      </c>
      <c r="B308" s="4" t="inlineStr">
        <is>
          <t>Empiricus Icatu Carteira Universa Prev FIM CrPr RL</t>
        </is>
      </c>
      <c r="C308" s="6" t="inlineStr">
        <is>
          <t>36.517.971/0001-50</t>
        </is>
      </c>
      <c r="D308" s="4" t="inlineStr">
        <is>
          <t>BTG PACTUAL ASSET MANAGEMENT S/A DTVM</t>
        </is>
      </c>
      <c r="E308" s="4" t="inlineStr">
        <is>
          <t>29.650.082/0001-00</t>
        </is>
      </c>
      <c r="F308" s="4" t="inlineStr">
        <is>
          <t>BEM DISTRIBUIDORA DE TITULOS E VALORES MOBILIARIOS</t>
        </is>
      </c>
      <c r="G308" s="4" t="inlineStr">
        <is>
          <t>Multimercado</t>
        </is>
      </c>
      <c r="H308" s="4" t="inlineStr">
        <is>
          <t>Multimercado</t>
        </is>
      </c>
      <c r="I308" s="7" t="n">
        <v>1000</v>
      </c>
      <c r="J308" s="8" t="n">
        <v>1.25</v>
      </c>
      <c r="K308" s="8" t="n">
        <v>15</v>
      </c>
      <c r="L308" s="4" t="inlineStr">
        <is>
          <t>CDI</t>
        </is>
      </c>
      <c r="M308" s="5" t="n">
        <v>42</v>
      </c>
      <c r="N308" s="5" t="n">
        <v>43</v>
      </c>
      <c r="O308" s="5" t="n"/>
      <c r="P308" s="4" t="inlineStr">
        <is>
          <t>Longo Prazo</t>
        </is>
      </c>
      <c r="Q308" s="4" t="inlineStr">
        <is>
          <t>Não</t>
        </is>
      </c>
      <c r="R308" s="4" t="inlineStr">
        <is>
          <t>API interna</t>
        </is>
      </c>
      <c r="S308" s="4" t="n">
        <v>1</v>
      </c>
      <c r="T308" s="4" t="inlineStr">
        <is>
          <t>Não</t>
        </is>
      </c>
      <c r="U308" s="4" t="inlineStr">
        <is>
          <t>Sim</t>
        </is>
      </c>
      <c r="V308" s="4" t="inlineStr">
        <is>
          <t>Não</t>
        </is>
      </c>
      <c r="W308" s="4" t="inlineStr"/>
    </row>
    <row r="309">
      <c r="A309" s="4" t="inlineStr">
        <is>
          <t>BTG Pactual</t>
        </is>
      </c>
      <c r="B309" s="4" t="inlineStr">
        <is>
          <t>Empiricus Oportunidades de UMA Vida Prev FIA RL</t>
        </is>
      </c>
      <c r="C309" s="6" t="inlineStr">
        <is>
          <t>44.026.984/0001-55</t>
        </is>
      </c>
      <c r="D309" s="4" t="inlineStr">
        <is>
          <t>BTG PACTUAL ASSET MANAGEMENT S/A DTVM</t>
        </is>
      </c>
      <c r="E309" s="4" t="inlineStr">
        <is>
          <t>29.650.082/0001-00</t>
        </is>
      </c>
      <c r="F309" s="4" t="inlineStr">
        <is>
          <t>BTG PACTUAL SERVICOS FINANCEIROS S.A. DISTRIBUIDOR</t>
        </is>
      </c>
      <c r="G309" s="4" t="inlineStr">
        <is>
          <t>Ações</t>
        </is>
      </c>
      <c r="H309" s="4" t="inlineStr">
        <is>
          <t>Renda Variável</t>
        </is>
      </c>
      <c r="I309" s="7" t="n">
        <v>1000</v>
      </c>
      <c r="J309" s="8" t="n">
        <v>1.4</v>
      </c>
      <c r="K309" s="8" t="n">
        <v>20</v>
      </c>
      <c r="L309" s="4" t="inlineStr">
        <is>
          <t>-</t>
        </is>
      </c>
      <c r="M309" s="5" t="n">
        <v>7</v>
      </c>
      <c r="N309" s="5" t="n">
        <v>9</v>
      </c>
      <c r="O309" s="5" t="n"/>
      <c r="P309" s="4" t="inlineStr">
        <is>
          <t>Renda Variável</t>
        </is>
      </c>
      <c r="Q309" s="4" t="inlineStr">
        <is>
          <t>Não</t>
        </is>
      </c>
      <c r="R309" s="4" t="inlineStr">
        <is>
          <t>API interna</t>
        </is>
      </c>
      <c r="S309" s="4" t="n">
        <v>1</v>
      </c>
      <c r="T309" s="4" t="inlineStr">
        <is>
          <t>Não</t>
        </is>
      </c>
      <c r="U309" s="4" t="inlineStr">
        <is>
          <t>Sim</t>
        </is>
      </c>
      <c r="V309" s="4" t="inlineStr">
        <is>
          <t>Não</t>
        </is>
      </c>
      <c r="W309" s="4" t="inlineStr"/>
    </row>
    <row r="310">
      <c r="A310" s="4" t="inlineStr">
        <is>
          <t>BTG Pactual</t>
        </is>
      </c>
      <c r="B310" s="4" t="inlineStr">
        <is>
          <t>Encore Long Bias BTG Prev 100 Prev FICFIM Access RL</t>
        </is>
      </c>
      <c r="C310" s="6" t="inlineStr">
        <is>
          <t>51.389.615/0001-92</t>
        </is>
      </c>
      <c r="D310" s="4" t="inlineStr">
        <is>
          <t>BTG PACTUAL GESTÃO E CONSULTORIA DE INVESTIMENTOS LTDA</t>
        </is>
      </c>
      <c r="E310" s="4" t="inlineStr">
        <is>
          <t>12.695.840/0001-03</t>
        </is>
      </c>
      <c r="F310" s="4" t="inlineStr">
        <is>
          <t>BTG PACTUAL SERVICOS FINANCEIROS S.A. DISTRIBUIDOR</t>
        </is>
      </c>
      <c r="G310" s="4" t="inlineStr">
        <is>
          <t>Multimercado</t>
        </is>
      </c>
      <c r="H310" s="4" t="inlineStr">
        <is>
          <t>Renda Variável</t>
        </is>
      </c>
      <c r="I310" s="7" t="n">
        <v>1000</v>
      </c>
      <c r="J310" s="8" t="n"/>
      <c r="K310" s="8" t="n"/>
      <c r="L310" s="4" t="inlineStr"/>
      <c r="M310" s="5" t="n">
        <v>20</v>
      </c>
      <c r="N310" s="5" t="n">
        <v>22</v>
      </c>
      <c r="O310" s="5" t="n"/>
      <c r="P310" s="4" t="inlineStr">
        <is>
          <t>Curto Prazo</t>
        </is>
      </c>
      <c r="Q310" s="4" t="inlineStr">
        <is>
          <t>Não</t>
        </is>
      </c>
      <c r="R310" s="4" t="inlineStr">
        <is>
          <t>API interna</t>
        </is>
      </c>
      <c r="S310" s="4" t="n">
        <v>1</v>
      </c>
      <c r="T310" s="4" t="inlineStr">
        <is>
          <t>Não</t>
        </is>
      </c>
      <c r="U310" s="4" t="inlineStr">
        <is>
          <t>Sim</t>
        </is>
      </c>
      <c r="V310" s="4" t="inlineStr">
        <is>
          <t>Não</t>
        </is>
      </c>
      <c r="W310" s="4" t="inlineStr"/>
    </row>
    <row r="311">
      <c r="A311" s="4" t="inlineStr">
        <is>
          <t>BTG Pactual</t>
        </is>
      </c>
      <c r="B311" s="4" t="inlineStr">
        <is>
          <t>Encore Valor Dividendos 100 BP Prev FIC FIA Access</t>
        </is>
      </c>
      <c r="C311" s="6" t="inlineStr">
        <is>
          <t>68.171.753/0001-01</t>
        </is>
      </c>
      <c r="D311" s="4" t="inlineStr">
        <is>
          <t>BTG PACTUAL GESTÃO E CONSULTORIA DE INVESTIMENTOS LTDA</t>
        </is>
      </c>
      <c r="E311" s="4" t="inlineStr">
        <is>
          <t>12.695.840/0001-03</t>
        </is>
      </c>
      <c r="F311" s="4" t="inlineStr">
        <is>
          <t>BTG PACTUAL SERVICOS FINANCEIROS S.A. DISTRIBUIDOR</t>
        </is>
      </c>
      <c r="G311" s="4" t="inlineStr">
        <is>
          <t>Ações</t>
        </is>
      </c>
      <c r="H311" s="4" t="inlineStr">
        <is>
          <t>Renda Variável</t>
        </is>
      </c>
      <c r="I311" s="7" t="n">
        <v>1000</v>
      </c>
      <c r="J311" s="8" t="n">
        <v>2</v>
      </c>
      <c r="K311" s="8" t="n">
        <v>20</v>
      </c>
      <c r="L311" s="4" t="inlineStr">
        <is>
          <t>-</t>
        </is>
      </c>
      <c r="M311" s="5" t="n">
        <v>30</v>
      </c>
      <c r="N311" s="5" t="n">
        <v>32</v>
      </c>
      <c r="O311" s="5" t="n"/>
      <c r="P311" s="4" t="inlineStr">
        <is>
          <t>Renda Variável</t>
        </is>
      </c>
      <c r="Q311" s="4" t="inlineStr">
        <is>
          <t>Não</t>
        </is>
      </c>
      <c r="R311" s="4" t="inlineStr">
        <is>
          <t>API interna</t>
        </is>
      </c>
      <c r="S311" s="4" t="n">
        <v>1</v>
      </c>
      <c r="T311" s="4" t="inlineStr">
        <is>
          <t>Não</t>
        </is>
      </c>
      <c r="U311" s="4" t="inlineStr">
        <is>
          <t>Sim</t>
        </is>
      </c>
      <c r="V311" s="4" t="inlineStr">
        <is>
          <t>Não</t>
        </is>
      </c>
      <c r="W311" s="4" t="inlineStr"/>
    </row>
    <row r="312">
      <c r="A312" s="4" t="inlineStr">
        <is>
          <t>BTG Pactual</t>
        </is>
      </c>
      <c r="B312" s="4" t="inlineStr">
        <is>
          <t>Equitas Prev II Icatu FICFIA RL</t>
        </is>
      </c>
      <c r="C312" s="6" t="inlineStr">
        <is>
          <t>35.354.896/0001-91</t>
        </is>
      </c>
      <c r="D312" s="4" t="inlineStr">
        <is>
          <t>DRYS CAPITAL LTDA</t>
        </is>
      </c>
      <c r="E312" s="4" t="inlineStr">
        <is>
          <t>08.204.817/0001-93</t>
        </is>
      </c>
      <c r="F312" s="4" t="inlineStr">
        <is>
          <t>INTRAG DISTR DE TITULOS EVALORES MOBILIARIOS LTDA</t>
        </is>
      </c>
      <c r="G312" s="4" t="inlineStr">
        <is>
          <t>Ações</t>
        </is>
      </c>
      <c r="H312" s="4" t="inlineStr">
        <is>
          <t>Renda Variável</t>
        </is>
      </c>
      <c r="I312" s="7" t="n">
        <v>5000</v>
      </c>
      <c r="J312" s="8" t="n">
        <v>2</v>
      </c>
      <c r="K312" s="8" t="n">
        <v>20</v>
      </c>
      <c r="L312" s="4" t="inlineStr">
        <is>
          <t>IBOVESPA</t>
        </is>
      </c>
      <c r="M312" s="5" t="n">
        <v>22</v>
      </c>
      <c r="N312" s="5" t="n">
        <v>24</v>
      </c>
      <c r="O312" s="5" t="n"/>
      <c r="P312" s="4" t="inlineStr">
        <is>
          <t>Renda Variável</t>
        </is>
      </c>
      <c r="Q312" s="4" t="inlineStr">
        <is>
          <t>Não</t>
        </is>
      </c>
      <c r="R312" s="4" t="inlineStr">
        <is>
          <t>API interna</t>
        </is>
      </c>
      <c r="S312" s="4" t="n">
        <v>1</v>
      </c>
      <c r="T312" s="4" t="inlineStr">
        <is>
          <t>Não</t>
        </is>
      </c>
      <c r="U312" s="4" t="inlineStr">
        <is>
          <t>Sim</t>
        </is>
      </c>
      <c r="V312" s="4" t="inlineStr">
        <is>
          <t>Não</t>
        </is>
      </c>
      <c r="W312" s="4" t="inlineStr"/>
    </row>
    <row r="313">
      <c r="A313" s="4" t="inlineStr">
        <is>
          <t>BTG Pactual</t>
        </is>
      </c>
      <c r="B313" s="4" t="inlineStr">
        <is>
          <t>Exes Prev FIE FICFIM CrPr RL</t>
        </is>
      </c>
      <c r="C313" s="6" t="inlineStr">
        <is>
          <t>42.730.600/0001-55</t>
        </is>
      </c>
      <c r="D313" s="4" t="inlineStr">
        <is>
          <t>EXES GESTORA DE RECURSOS LTDA.</t>
        </is>
      </c>
      <c r="E313" s="4" t="inlineStr">
        <is>
          <t>31.960.567/0001-33</t>
        </is>
      </c>
      <c r="F313" s="4" t="inlineStr">
        <is>
          <t>BTG PACTUAL SERVICOS FINANCEIROS S.A. DISTRIBUIDOR</t>
        </is>
      </c>
      <c r="G313" s="4" t="inlineStr">
        <is>
          <t>Multimercado</t>
        </is>
      </c>
      <c r="H313" s="4" t="inlineStr">
        <is>
          <t>Renda Fixa</t>
        </is>
      </c>
      <c r="I313" s="7" t="n">
        <v>5000</v>
      </c>
      <c r="J313" s="8" t="n"/>
      <c r="K313" s="8" t="n"/>
      <c r="L313" s="4" t="inlineStr"/>
      <c r="M313" s="5" t="n">
        <v>179</v>
      </c>
      <c r="N313" s="5" t="n">
        <v>180</v>
      </c>
      <c r="O313" s="5" t="n"/>
      <c r="P313" s="4" t="inlineStr">
        <is>
          <t>Curto Prazo</t>
        </is>
      </c>
      <c r="Q313" s="4" t="inlineStr">
        <is>
          <t>Não</t>
        </is>
      </c>
      <c r="R313" s="4" t="inlineStr">
        <is>
          <t>API interna</t>
        </is>
      </c>
      <c r="S313" s="4" t="n">
        <v>1</v>
      </c>
      <c r="T313" s="4" t="inlineStr">
        <is>
          <t>Não</t>
        </is>
      </c>
      <c r="U313" s="4" t="inlineStr">
        <is>
          <t>Sim</t>
        </is>
      </c>
      <c r="V313" s="4" t="inlineStr">
        <is>
          <t>Não</t>
        </is>
      </c>
      <c r="W313" s="4" t="inlineStr"/>
    </row>
    <row r="314">
      <c r="A314" s="4" t="inlineStr">
        <is>
          <t>BTG Pactual</t>
        </is>
      </c>
      <c r="B314" s="4" t="inlineStr">
        <is>
          <t>Exes Prev II FIE FIM CrPr RL</t>
        </is>
      </c>
      <c r="C314" s="6" t="inlineStr">
        <is>
          <t>60.859.486/0001-40</t>
        </is>
      </c>
      <c r="D314" s="4" t="inlineStr">
        <is>
          <t>EXES GESTORA DE RECURSOS LTDA.</t>
        </is>
      </c>
      <c r="E314" s="4" t="inlineStr">
        <is>
          <t>31.960.567/0001-33</t>
        </is>
      </c>
      <c r="F314" s="4" t="inlineStr">
        <is>
          <t>BTG PACTUAL SERVICOS FINANCEIROS S.A. DISTRIBUIDOR</t>
        </is>
      </c>
      <c r="G314" s="4" t="inlineStr">
        <is>
          <t>Multimercado</t>
        </is>
      </c>
      <c r="H314" s="4" t="inlineStr">
        <is>
          <t>Renda Fixa</t>
        </is>
      </c>
      <c r="I314" s="7" t="n">
        <v>1000</v>
      </c>
      <c r="J314" s="8" t="n"/>
      <c r="K314" s="8" t="n"/>
      <c r="L314" s="4" t="inlineStr"/>
      <c r="M314" s="5" t="n">
        <v>9</v>
      </c>
      <c r="N314" s="5" t="n">
        <v>10</v>
      </c>
      <c r="O314" s="5" t="n"/>
      <c r="P314" s="4" t="inlineStr">
        <is>
          <t>Curto Prazo</t>
        </is>
      </c>
      <c r="Q314" s="4" t="inlineStr">
        <is>
          <t>Não</t>
        </is>
      </c>
      <c r="R314" s="4" t="inlineStr">
        <is>
          <t>API interna</t>
        </is>
      </c>
      <c r="S314" s="4" t="n">
        <v>1</v>
      </c>
      <c r="T314" s="4" t="inlineStr">
        <is>
          <t>Não</t>
        </is>
      </c>
      <c r="U314" s="4" t="inlineStr">
        <is>
          <t>Sim</t>
        </is>
      </c>
      <c r="V314" s="4" t="inlineStr">
        <is>
          <t>Não</t>
        </is>
      </c>
      <c r="W314" s="4" t="inlineStr"/>
    </row>
    <row r="315">
      <c r="A315" s="4" t="inlineStr">
        <is>
          <t>BTG Pactual</t>
        </is>
      </c>
      <c r="B315" s="4" t="inlineStr">
        <is>
          <t>Finacap BP Prev 70 FIF MM</t>
        </is>
      </c>
      <c r="C315" s="6" t="inlineStr">
        <is>
          <t>67.671.091/0001-68</t>
        </is>
      </c>
      <c r="D315" s="4" t="inlineStr">
        <is>
          <t>FINACAP INVESTIMENTOS LTDA</t>
        </is>
      </c>
      <c r="E315" s="4" t="inlineStr">
        <is>
          <t>01.294.929/0001-33</t>
        </is>
      </c>
      <c r="F315" s="4" t="inlineStr">
        <is>
          <t>BTG PACTUAL SERVICOS FINANCEIROS S.A. DISTRIBUIDOR</t>
        </is>
      </c>
      <c r="G315" s="4" t="inlineStr">
        <is>
          <t>Multimercado</t>
        </is>
      </c>
      <c r="H315" s="4" t="inlineStr">
        <is>
          <t>Renda Variável</t>
        </is>
      </c>
      <c r="I315" s="7" t="n">
        <v>1000</v>
      </c>
      <c r="J315" s="8" t="n"/>
      <c r="K315" s="8" t="n"/>
      <c r="L315" s="4" t="inlineStr"/>
      <c r="M315" s="5" t="n">
        <v>3</v>
      </c>
      <c r="N315" s="5" t="n">
        <v>6</v>
      </c>
      <c r="O315" s="5" t="n"/>
      <c r="P315" s="4" t="inlineStr">
        <is>
          <t>Longo Prazo</t>
        </is>
      </c>
      <c r="Q315" s="4" t="inlineStr">
        <is>
          <t>Não</t>
        </is>
      </c>
      <c r="R315" s="4" t="inlineStr">
        <is>
          <t>API interna</t>
        </is>
      </c>
      <c r="S315" s="4" t="n">
        <v>1</v>
      </c>
      <c r="T315" s="4" t="inlineStr">
        <is>
          <t>Não</t>
        </is>
      </c>
      <c r="U315" s="4" t="inlineStr">
        <is>
          <t>Sim</t>
        </is>
      </c>
      <c r="V315" s="4" t="inlineStr">
        <is>
          <t>Não</t>
        </is>
      </c>
      <c r="W315" s="4" t="inlineStr"/>
    </row>
    <row r="316">
      <c r="A316" s="4" t="inlineStr">
        <is>
          <t>BTG Pactual</t>
        </is>
      </c>
      <c r="B316" s="4" t="inlineStr">
        <is>
          <t>Forpus 100 Icatu Prev Qual FICFIA RL</t>
        </is>
      </c>
      <c r="C316" s="6" t="inlineStr">
        <is>
          <t>38.281.397/0001-00</t>
        </is>
      </c>
      <c r="D316" s="4" t="inlineStr">
        <is>
          <t>FORPUS CAPITAL GESTÃO DE RECURSOS LTDA.</t>
        </is>
      </c>
      <c r="E316" s="4" t="inlineStr">
        <is>
          <t>21.018.289/0001-46</t>
        </is>
      </c>
      <c r="F316" s="4" t="inlineStr">
        <is>
          <t>BNY MELLON SERVICOS FINANCEIROS DTVM S/A</t>
        </is>
      </c>
      <c r="G316" s="4" t="inlineStr">
        <is>
          <t>Ações</t>
        </is>
      </c>
      <c r="H316" s="4" t="inlineStr">
        <is>
          <t>Renda Variável</t>
        </is>
      </c>
      <c r="I316" s="7" t="n">
        <v>5000</v>
      </c>
      <c r="J316" s="8" t="n">
        <v>2</v>
      </c>
      <c r="K316" s="8" t="n">
        <v>20</v>
      </c>
      <c r="L316" s="4" t="inlineStr">
        <is>
          <t>IMA-B</t>
        </is>
      </c>
      <c r="M316" s="5" t="n">
        <v>8</v>
      </c>
      <c r="N316" s="5" t="n">
        <v>10</v>
      </c>
      <c r="O316" s="5" t="n"/>
      <c r="P316" s="4" t="inlineStr">
        <is>
          <t>Indefinido</t>
        </is>
      </c>
      <c r="Q316" s="4" t="inlineStr">
        <is>
          <t>Não</t>
        </is>
      </c>
      <c r="R316" s="4" t="inlineStr">
        <is>
          <t>API interna</t>
        </is>
      </c>
      <c r="S316" s="4" t="n">
        <v>1</v>
      </c>
      <c r="T316" s="4" t="inlineStr">
        <is>
          <t>Não</t>
        </is>
      </c>
      <c r="U316" s="4" t="inlineStr">
        <is>
          <t>Sim</t>
        </is>
      </c>
      <c r="V316" s="4" t="inlineStr">
        <is>
          <t>Não</t>
        </is>
      </c>
      <c r="W316" s="4" t="inlineStr"/>
    </row>
    <row r="317">
      <c r="A317" s="4" t="inlineStr">
        <is>
          <t>BTG Pactual</t>
        </is>
      </c>
      <c r="B317" s="4" t="inlineStr">
        <is>
          <t>Forpus 70 Prev FIM RL</t>
        </is>
      </c>
      <c r="C317" s="6" t="inlineStr">
        <is>
          <t>34.474.917/0001-40</t>
        </is>
      </c>
      <c r="D317" s="4" t="inlineStr">
        <is>
          <t>FORPUS CAPITAL GESTÃO DE RECURSOS LTDA.</t>
        </is>
      </c>
      <c r="E317" s="4" t="inlineStr">
        <is>
          <t>21.018.289/0001-46</t>
        </is>
      </c>
      <c r="F317" s="4" t="inlineStr">
        <is>
          <t>BNY MELLON SERVICOS FINANCEIROS DTVM S/A</t>
        </is>
      </c>
      <c r="G317" s="4" t="inlineStr">
        <is>
          <t>Multimercado</t>
        </is>
      </c>
      <c r="H317" s="4" t="inlineStr">
        <is>
          <t>Renda Variável</t>
        </is>
      </c>
      <c r="I317" s="7" t="n">
        <v>1000</v>
      </c>
      <c r="J317" s="8" t="n">
        <v>2</v>
      </c>
      <c r="K317" s="8" t="n">
        <v>20</v>
      </c>
      <c r="L317" s="4" t="inlineStr">
        <is>
          <t>CDI</t>
        </is>
      </c>
      <c r="M317" s="5" t="n">
        <v>8</v>
      </c>
      <c r="N317" s="5" t="n">
        <v>10</v>
      </c>
      <c r="O317" s="5" t="n"/>
      <c r="P317" s="4" t="inlineStr">
        <is>
          <t>Longo Prazo</t>
        </is>
      </c>
      <c r="Q317" s="4" t="inlineStr">
        <is>
          <t>Não</t>
        </is>
      </c>
      <c r="R317" s="4" t="inlineStr">
        <is>
          <t>API interna</t>
        </is>
      </c>
      <c r="S317" s="4" t="n">
        <v>1</v>
      </c>
      <c r="T317" s="4" t="inlineStr">
        <is>
          <t>Não</t>
        </is>
      </c>
      <c r="U317" s="4" t="inlineStr">
        <is>
          <t>Sim</t>
        </is>
      </c>
      <c r="V317" s="4" t="inlineStr">
        <is>
          <t>Não</t>
        </is>
      </c>
      <c r="W317" s="4" t="inlineStr"/>
    </row>
    <row r="318">
      <c r="A318" s="4" t="inlineStr">
        <is>
          <t>BTG Pactual</t>
        </is>
      </c>
      <c r="B318" s="4" t="inlineStr">
        <is>
          <t>Genoa Capital Cruise Prev BTG FICFIM RL</t>
        </is>
      </c>
      <c r="C318" s="6" t="inlineStr">
        <is>
          <t>42.535.251/0001-10</t>
        </is>
      </c>
      <c r="D318" s="4" t="inlineStr">
        <is>
          <t>GENOA CAPITAL GESTORA DE RECURSOS LTDA</t>
        </is>
      </c>
      <c r="E318" s="4" t="inlineStr">
        <is>
          <t>34.276.448/0001-54</t>
        </is>
      </c>
      <c r="F318" s="4" t="inlineStr">
        <is>
          <t>INTRAG DISTR DE TITULOS EVALORES MOBILIARIOS LTDA</t>
        </is>
      </c>
      <c r="G318" s="4" t="inlineStr">
        <is>
          <t>Multimercado</t>
        </is>
      </c>
      <c r="H318" s="4" t="inlineStr">
        <is>
          <t>Multimercado</t>
        </is>
      </c>
      <c r="I318" s="7" t="n">
        <v>1000</v>
      </c>
      <c r="J318" s="8" t="n">
        <v>2</v>
      </c>
      <c r="K318" s="8" t="n">
        <v>20</v>
      </c>
      <c r="L318" s="4" t="inlineStr">
        <is>
          <t>CDI</t>
        </is>
      </c>
      <c r="M318" s="5" t="n">
        <v>5</v>
      </c>
      <c r="N318" s="5" t="n">
        <v>7</v>
      </c>
      <c r="O318" s="5" t="n"/>
      <c r="P318" s="4" t="inlineStr">
        <is>
          <t>Longo Prazo</t>
        </is>
      </c>
      <c r="Q318" s="4" t="inlineStr">
        <is>
          <t>Não</t>
        </is>
      </c>
      <c r="R318" s="4" t="inlineStr">
        <is>
          <t>API interna</t>
        </is>
      </c>
      <c r="S318" s="4" t="n">
        <v>1</v>
      </c>
      <c r="T318" s="4" t="inlineStr">
        <is>
          <t>Não</t>
        </is>
      </c>
      <c r="U318" s="4" t="inlineStr">
        <is>
          <t>Sim</t>
        </is>
      </c>
      <c r="V318" s="4" t="inlineStr">
        <is>
          <t>Não</t>
        </is>
      </c>
      <c r="W318" s="4" t="inlineStr"/>
    </row>
    <row r="319">
      <c r="A319" s="4" t="inlineStr">
        <is>
          <t>BTG Pactual</t>
        </is>
      </c>
      <c r="B319" s="4" t="inlineStr">
        <is>
          <t>Genoa Capital Sagres Prev FIF FIC MM Access</t>
        </is>
      </c>
      <c r="C319" s="6" t="inlineStr">
        <is>
          <t>64.810.424/0001-02</t>
        </is>
      </c>
      <c r="D319" s="4" t="inlineStr">
        <is>
          <t>BTG PACTUAL GESTÃO E CONSULTORIA DE INVESTIMENTOS LTDA</t>
        </is>
      </c>
      <c r="E319" s="4" t="inlineStr">
        <is>
          <t>12.695.840/0001-03</t>
        </is>
      </c>
      <c r="F319" s="4" t="inlineStr">
        <is>
          <t>BTG PACTUAL SERVICOS FINANCEIROS S.A. DISTRIBUIDOR</t>
        </is>
      </c>
      <c r="G319" s="4" t="inlineStr">
        <is>
          <t>Multimercado</t>
        </is>
      </c>
      <c r="H319" s="4" t="inlineStr">
        <is>
          <t>Multimercado</t>
        </is>
      </c>
      <c r="I319" s="7" t="n">
        <v>1000</v>
      </c>
      <c r="J319" s="8" t="n">
        <v>2</v>
      </c>
      <c r="K319" s="8" t="n"/>
      <c r="L319" s="4" t="inlineStr"/>
      <c r="M319" s="5" t="n">
        <v>22</v>
      </c>
      <c r="N319" s="5" t="n">
        <v>24</v>
      </c>
      <c r="O319" s="5" t="n"/>
      <c r="P319" s="4" t="inlineStr">
        <is>
          <t>Curto Prazo</t>
        </is>
      </c>
      <c r="Q319" s="4" t="inlineStr">
        <is>
          <t>Não</t>
        </is>
      </c>
      <c r="R319" s="4" t="inlineStr">
        <is>
          <t>API interna</t>
        </is>
      </c>
      <c r="S319" s="4" t="n">
        <v>1</v>
      </c>
      <c r="T319" s="4" t="inlineStr">
        <is>
          <t>Não</t>
        </is>
      </c>
      <c r="U319" s="4" t="inlineStr">
        <is>
          <t>Sim</t>
        </is>
      </c>
      <c r="V319" s="4" t="inlineStr">
        <is>
          <t>Não</t>
        </is>
      </c>
      <c r="W319" s="4" t="inlineStr"/>
    </row>
    <row r="320">
      <c r="A320" s="4" t="inlineStr">
        <is>
          <t>BTG Pactual</t>
        </is>
      </c>
      <c r="B320" s="4" t="inlineStr">
        <is>
          <t>Giant Prev BTG FIE FICFIM RL</t>
        </is>
      </c>
      <c r="C320" s="6" t="inlineStr">
        <is>
          <t>36.327.405/0001-86</t>
        </is>
      </c>
      <c r="D320" s="4" t="inlineStr">
        <is>
          <t>GIANT STEPS CAPITAL INVESTIMENTOS</t>
        </is>
      </c>
      <c r="E320" s="4" t="inlineStr">
        <is>
          <t>17.021.922/0001-88</t>
        </is>
      </c>
      <c r="F320" s="4" t="inlineStr">
        <is>
          <t>BNY MELLON SERVICOS FINANCEIROS DTVM S/A</t>
        </is>
      </c>
      <c r="G320" s="4" t="inlineStr">
        <is>
          <t>Multimercado</t>
        </is>
      </c>
      <c r="H320" s="4" t="inlineStr">
        <is>
          <t>Multimercado</t>
        </is>
      </c>
      <c r="I320" s="7" t="n">
        <v>1</v>
      </c>
      <c r="J320" s="8" t="n">
        <v>1.45</v>
      </c>
      <c r="K320" s="8" t="n">
        <v>20</v>
      </c>
      <c r="L320" s="4" t="inlineStr">
        <is>
          <t>CDI</t>
        </is>
      </c>
      <c r="M320" s="5" t="n">
        <v>7</v>
      </c>
      <c r="N320" s="5" t="n">
        <v>9</v>
      </c>
      <c r="O320" s="5" t="n"/>
      <c r="P320" s="4" t="inlineStr">
        <is>
          <t>Longo Prazo</t>
        </is>
      </c>
      <c r="Q320" s="4" t="inlineStr">
        <is>
          <t>Não</t>
        </is>
      </c>
      <c r="R320" s="4" t="inlineStr">
        <is>
          <t>API interna</t>
        </is>
      </c>
      <c r="S320" s="4" t="n">
        <v>1</v>
      </c>
      <c r="T320" s="4" t="inlineStr">
        <is>
          <t>Não</t>
        </is>
      </c>
      <c r="U320" s="4" t="inlineStr">
        <is>
          <t>Sim</t>
        </is>
      </c>
      <c r="V320" s="4" t="inlineStr">
        <is>
          <t>Não</t>
        </is>
      </c>
      <c r="W320" s="4" t="inlineStr"/>
    </row>
    <row r="321">
      <c r="A321" s="4" t="inlineStr">
        <is>
          <t>BTG Pactual</t>
        </is>
      </c>
      <c r="B321" s="4" t="inlineStr">
        <is>
          <t>Guardian BTG Prev FICFIRF CrPr RL</t>
        </is>
      </c>
      <c r="C321" s="6" t="inlineStr">
        <is>
          <t>61.874.568/0001-26</t>
        </is>
      </c>
      <c r="D321" s="4" t="inlineStr">
        <is>
          <t>GUARDIAN GESTORA LTDA.</t>
        </is>
      </c>
      <c r="E321" s="4" t="inlineStr">
        <is>
          <t>37.414.193/0001-37</t>
        </is>
      </c>
      <c r="F321" s="4" t="inlineStr">
        <is>
          <t>BTG PACTUAL SERVICOS FINANCEIROS S.A. DISTRIBUIDOR</t>
        </is>
      </c>
      <c r="G321" s="4" t="inlineStr">
        <is>
          <t>Renda Fixa</t>
        </is>
      </c>
      <c r="H321" s="4" t="inlineStr">
        <is>
          <t>Renda Fixa</t>
        </is>
      </c>
      <c r="I321" s="7" t="n">
        <v>1000</v>
      </c>
      <c r="J321" s="8" t="n"/>
      <c r="K321" s="8" t="n">
        <v>20</v>
      </c>
      <c r="L321" s="4" t="inlineStr">
        <is>
          <t>-</t>
        </is>
      </c>
      <c r="M321" s="5" t="n">
        <v>6</v>
      </c>
      <c r="N321" s="5" t="n">
        <v>8</v>
      </c>
      <c r="O321" s="5" t="n"/>
      <c r="P321" s="4" t="inlineStr">
        <is>
          <t>Curto Prazo</t>
        </is>
      </c>
      <c r="Q321" s="4" t="inlineStr">
        <is>
          <t>Não</t>
        </is>
      </c>
      <c r="R321" s="4" t="inlineStr">
        <is>
          <t>API interna</t>
        </is>
      </c>
      <c r="S321" s="4" t="n">
        <v>1</v>
      </c>
      <c r="T321" s="4" t="inlineStr">
        <is>
          <t>Não</t>
        </is>
      </c>
      <c r="U321" s="4" t="inlineStr">
        <is>
          <t>Sim</t>
        </is>
      </c>
      <c r="V321" s="4" t="inlineStr">
        <is>
          <t>Não</t>
        </is>
      </c>
      <c r="W321" s="4" t="inlineStr"/>
    </row>
    <row r="322">
      <c r="A322" s="4" t="inlineStr">
        <is>
          <t>BTG Pactual</t>
        </is>
      </c>
      <c r="B322" s="4" t="inlineStr">
        <is>
          <t>Guepardo Icatu Qualificado 100 Prev FIE Tipo 1 FICFIM RL</t>
        </is>
      </c>
      <c r="C322" s="6" t="inlineStr">
        <is>
          <t>45.605.046/0001-72</t>
        </is>
      </c>
      <c r="D322" s="4" t="inlineStr">
        <is>
          <t>GUEPARDO INVESTIMENTOS LTDA</t>
        </is>
      </c>
      <c r="E322" s="4" t="inlineStr">
        <is>
          <t>07.078.144/0001-00</t>
        </is>
      </c>
      <c r="F322" s="4" t="inlineStr">
        <is>
          <t>BTG PACTUAL SERVICOS FINANCEIROS S.A. DISTRIBUIDOR</t>
        </is>
      </c>
      <c r="G322" s="4" t="inlineStr">
        <is>
          <t>Multimercado</t>
        </is>
      </c>
      <c r="H322" s="4" t="inlineStr">
        <is>
          <t>Renda Variável</t>
        </is>
      </c>
      <c r="I322" s="7" t="n">
        <v>5000</v>
      </c>
      <c r="J322" s="8" t="n"/>
      <c r="K322" s="8" t="n"/>
      <c r="L322" s="4" t="inlineStr"/>
      <c r="M322" s="5" t="n">
        <v>21</v>
      </c>
      <c r="N322" s="5" t="n">
        <v>23</v>
      </c>
      <c r="O322" s="5" t="n"/>
      <c r="P322" s="4" t="inlineStr">
        <is>
          <t>Curto Prazo</t>
        </is>
      </c>
      <c r="Q322" s="4" t="inlineStr">
        <is>
          <t>Não</t>
        </is>
      </c>
      <c r="R322" s="4" t="inlineStr">
        <is>
          <t>API interna</t>
        </is>
      </c>
      <c r="S322" s="4" t="n">
        <v>1</v>
      </c>
      <c r="T322" s="4" t="inlineStr">
        <is>
          <t>Não</t>
        </is>
      </c>
      <c r="U322" s="4" t="inlineStr">
        <is>
          <t>Sim</t>
        </is>
      </c>
      <c r="V322" s="4" t="inlineStr">
        <is>
          <t>Não</t>
        </is>
      </c>
      <c r="W322" s="4" t="inlineStr"/>
    </row>
    <row r="323">
      <c r="A323" s="4" t="inlineStr">
        <is>
          <t>BTG Pactual</t>
        </is>
      </c>
      <c r="B323" s="4" t="inlineStr">
        <is>
          <t>HIX Icatu Prev Long Only Qualificado FICFIM 100 RL</t>
        </is>
      </c>
      <c r="C323" s="6" t="inlineStr">
        <is>
          <t>29.800.227/0001-01</t>
        </is>
      </c>
      <c r="D323" s="4" t="inlineStr">
        <is>
          <t>HIX INVESTIMENTOS LTDA</t>
        </is>
      </c>
      <c r="E323" s="4" t="inlineStr">
        <is>
          <t>14.205.023/0001-47</t>
        </is>
      </c>
      <c r="F323" s="4" t="inlineStr">
        <is>
          <t>BNY MELLON SERVICOS FINANCEIROS DTVM S/A</t>
        </is>
      </c>
      <c r="G323" s="4" t="inlineStr">
        <is>
          <t>Multimercado</t>
        </is>
      </c>
      <c r="H323" s="4" t="inlineStr">
        <is>
          <t>Renda Variável</t>
        </is>
      </c>
      <c r="I323" s="7" t="n">
        <v>5000</v>
      </c>
      <c r="J323" s="8" t="n">
        <v>2</v>
      </c>
      <c r="K323" s="8" t="n"/>
      <c r="L323" s="4" t="inlineStr"/>
      <c r="M323" s="5" t="n">
        <v>60</v>
      </c>
      <c r="N323" s="5" t="n">
        <v>63</v>
      </c>
      <c r="O323" s="5" t="n"/>
      <c r="P323" s="4" t="inlineStr">
        <is>
          <t>Não Aplicável</t>
        </is>
      </c>
      <c r="Q323" s="4" t="inlineStr">
        <is>
          <t>Não</t>
        </is>
      </c>
      <c r="R323" s="4" t="inlineStr">
        <is>
          <t>API interna</t>
        </is>
      </c>
      <c r="S323" s="4" t="n">
        <v>1</v>
      </c>
      <c r="T323" s="4" t="inlineStr">
        <is>
          <t>Não</t>
        </is>
      </c>
      <c r="U323" s="4" t="inlineStr">
        <is>
          <t>Sim</t>
        </is>
      </c>
      <c r="V323" s="4" t="inlineStr">
        <is>
          <t>Não</t>
        </is>
      </c>
      <c r="W323" s="4" t="inlineStr"/>
    </row>
    <row r="324">
      <c r="A324" s="4" t="inlineStr">
        <is>
          <t>BTG Pactual</t>
        </is>
      </c>
      <c r="B324" s="4" t="inlineStr">
        <is>
          <t>HIX Prev III Prev FICFIA RL</t>
        </is>
      </c>
      <c r="C324" s="6" t="inlineStr">
        <is>
          <t>43.507.741/0001-76</t>
        </is>
      </c>
      <c r="D324" s="4" t="inlineStr">
        <is>
          <t>HIX INVESTIMENTOS LTDA</t>
        </is>
      </c>
      <c r="E324" s="4" t="inlineStr">
        <is>
          <t>14.205.023/0001-47</t>
        </is>
      </c>
      <c r="F324" s="4" t="inlineStr">
        <is>
          <t>BTG PACTUAL SERVICOS FINANCEIROS S.A. DISTRIBUIDOR</t>
        </is>
      </c>
      <c r="G324" s="4" t="inlineStr">
        <is>
          <t>Ações</t>
        </is>
      </c>
      <c r="H324" s="4" t="inlineStr">
        <is>
          <t>Renda Variável</t>
        </is>
      </c>
      <c r="I324" s="7" t="n">
        <v>1000</v>
      </c>
      <c r="J324" s="8" t="n"/>
      <c r="K324" s="8" t="n">
        <v>20</v>
      </c>
      <c r="L324" s="4" t="inlineStr">
        <is>
          <t>-</t>
        </is>
      </c>
      <c r="M324" s="5" t="n">
        <v>60</v>
      </c>
      <c r="N324" s="5" t="n">
        <v>62</v>
      </c>
      <c r="O324" s="5" t="n"/>
      <c r="P324" s="4" t="inlineStr">
        <is>
          <t>Curto Prazo</t>
        </is>
      </c>
      <c r="Q324" s="4" t="inlineStr">
        <is>
          <t>Não</t>
        </is>
      </c>
      <c r="R324" s="4" t="inlineStr">
        <is>
          <t>API interna</t>
        </is>
      </c>
      <c r="S324" s="4" t="n">
        <v>1</v>
      </c>
      <c r="T324" s="4" t="inlineStr">
        <is>
          <t>Não</t>
        </is>
      </c>
      <c r="U324" s="4" t="inlineStr">
        <is>
          <t>Sim</t>
        </is>
      </c>
      <c r="V324" s="4" t="inlineStr">
        <is>
          <t>Não</t>
        </is>
      </c>
      <c r="W324" s="4" t="inlineStr"/>
    </row>
    <row r="325">
      <c r="A325" s="4" t="inlineStr">
        <is>
          <t>BTG Pactual</t>
        </is>
      </c>
      <c r="B325" s="4" t="inlineStr">
        <is>
          <t>Harbour Endeavour Prev FIM CrPr RL</t>
        </is>
      </c>
      <c r="C325" s="6" t="inlineStr">
        <is>
          <t>55.849.709/0001-58</t>
        </is>
      </c>
      <c r="D325" s="4" t="inlineStr">
        <is>
          <t>HARBOUR CAPITAL ADMINISTRADORA DE CARTEIRAS DE VALORES MOBILIÁRIOS LTDA.</t>
        </is>
      </c>
      <c r="E325" s="4" t="inlineStr">
        <is>
          <t>36.040.900/0001-00</t>
        </is>
      </c>
      <c r="F325" s="4" t="inlineStr">
        <is>
          <t>BTG PACTUAL SERVICOS FINANCEIROS S.A. DISTRIBUIDOR</t>
        </is>
      </c>
      <c r="G325" s="4" t="inlineStr">
        <is>
          <t>Multimercado</t>
        </is>
      </c>
      <c r="H325" s="4" t="inlineStr">
        <is>
          <t>Renda Fixa</t>
        </is>
      </c>
      <c r="I325" s="7" t="n">
        <v>1000</v>
      </c>
      <c r="J325" s="8" t="n"/>
      <c r="K325" s="8" t="n">
        <v>20</v>
      </c>
      <c r="L325" s="4" t="inlineStr">
        <is>
          <t>-</t>
        </is>
      </c>
      <c r="M325" s="5" t="n">
        <v>59</v>
      </c>
      <c r="N325" s="5" t="n">
        <v>60</v>
      </c>
      <c r="O325" s="5" t="n"/>
      <c r="P325" s="4" t="inlineStr">
        <is>
          <t>Curto Prazo</t>
        </is>
      </c>
      <c r="Q325" s="4" t="inlineStr">
        <is>
          <t>Não</t>
        </is>
      </c>
      <c r="R325" s="4" t="inlineStr">
        <is>
          <t>API interna</t>
        </is>
      </c>
      <c r="S325" s="4" t="n">
        <v>1</v>
      </c>
      <c r="T325" s="4" t="inlineStr">
        <is>
          <t>Não</t>
        </is>
      </c>
      <c r="U325" s="4" t="inlineStr">
        <is>
          <t>Sim</t>
        </is>
      </c>
      <c r="V325" s="4" t="inlineStr">
        <is>
          <t>Não</t>
        </is>
      </c>
      <c r="W325" s="4" t="inlineStr"/>
    </row>
    <row r="326">
      <c r="A326" s="4" t="inlineStr">
        <is>
          <t>BTG Pactual</t>
        </is>
      </c>
      <c r="B326" s="4" t="inlineStr">
        <is>
          <t>Hashdex High Sharpe Long Biased Prev FICFIM RL</t>
        </is>
      </c>
      <c r="C326" s="6" t="inlineStr">
        <is>
          <t>57.166.392/0001-80</t>
        </is>
      </c>
      <c r="D326" s="4" t="inlineStr">
        <is>
          <t>HASHDEX GESTORA DE RECURSOS LTDA</t>
        </is>
      </c>
      <c r="E326" s="4" t="inlineStr">
        <is>
          <t>30.056.796/0001-65</t>
        </is>
      </c>
      <c r="F326" s="4" t="inlineStr">
        <is>
          <t>BTG PACTUAL SERVICOS FINANCEIROS S.A. DISTRIBUIDOR</t>
        </is>
      </c>
      <c r="G326" s="4" t="inlineStr">
        <is>
          <t>Multimercado</t>
        </is>
      </c>
      <c r="H326" s="4" t="inlineStr">
        <is>
          <t>Alternativos</t>
        </is>
      </c>
      <c r="I326" s="7" t="n">
        <v>1000</v>
      </c>
      <c r="J326" s="8" t="n">
        <v>2.3</v>
      </c>
      <c r="K326" s="8" t="n"/>
      <c r="L326" s="4" t="inlineStr"/>
      <c r="M326" s="5" t="n">
        <v>5</v>
      </c>
      <c r="N326" s="5" t="n">
        <v>7</v>
      </c>
      <c r="O326" s="5" t="n"/>
      <c r="P326" s="4" t="inlineStr">
        <is>
          <t>Curto Prazo</t>
        </is>
      </c>
      <c r="Q326" s="4" t="inlineStr">
        <is>
          <t>Não</t>
        </is>
      </c>
      <c r="R326" s="4" t="inlineStr">
        <is>
          <t>API interna</t>
        </is>
      </c>
      <c r="S326" s="4" t="n">
        <v>1</v>
      </c>
      <c r="T326" s="4" t="inlineStr">
        <is>
          <t>Não</t>
        </is>
      </c>
      <c r="U326" s="4" t="inlineStr">
        <is>
          <t>Sim</t>
        </is>
      </c>
      <c r="V326" s="4" t="inlineStr">
        <is>
          <t>Não</t>
        </is>
      </c>
      <c r="W326" s="4" t="inlineStr"/>
    </row>
    <row r="327">
      <c r="A327" s="4" t="inlineStr">
        <is>
          <t>BTG Pactual</t>
        </is>
      </c>
      <c r="B327" s="4" t="inlineStr">
        <is>
          <t>IP Prev Icatu Qualificado FICFIM RL</t>
        </is>
      </c>
      <c r="C327" s="6" t="inlineStr">
        <is>
          <t>39.723.078/0001-70</t>
        </is>
      </c>
      <c r="D327" s="4" t="inlineStr">
        <is>
          <t>INVESTIDOR PROFISSIONAL GESTÃO DE RECURSOS LTDA</t>
        </is>
      </c>
      <c r="E327" s="4" t="inlineStr">
        <is>
          <t>32.319.907/0001-04</t>
        </is>
      </c>
      <c r="F327" s="4" t="inlineStr">
        <is>
          <t>BNY MELLON SERVICOS FINANCEIROS DTVM S/A</t>
        </is>
      </c>
      <c r="G327" s="4" t="inlineStr">
        <is>
          <t>Multimercado</t>
        </is>
      </c>
      <c r="H327" s="4" t="inlineStr">
        <is>
          <t>Renda Variável</t>
        </is>
      </c>
      <c r="I327" s="7" t="n">
        <v>5000</v>
      </c>
      <c r="J327" s="8" t="n">
        <v>2</v>
      </c>
      <c r="K327" s="8" t="n">
        <v>20</v>
      </c>
      <c r="L327" s="4" t="inlineStr">
        <is>
          <t>IPCA</t>
        </is>
      </c>
      <c r="M327" s="5" t="n">
        <v>20</v>
      </c>
      <c r="N327" s="5" t="n">
        <v>22</v>
      </c>
      <c r="O327" s="5" t="n"/>
      <c r="P327" s="4" t="inlineStr">
        <is>
          <t>Não Aplicável</t>
        </is>
      </c>
      <c r="Q327" s="4" t="inlineStr">
        <is>
          <t>Não</t>
        </is>
      </c>
      <c r="R327" s="4" t="inlineStr">
        <is>
          <t>API interna</t>
        </is>
      </c>
      <c r="S327" s="4" t="n">
        <v>1</v>
      </c>
      <c r="T327" s="4" t="inlineStr">
        <is>
          <t>Não</t>
        </is>
      </c>
      <c r="U327" s="4" t="inlineStr">
        <is>
          <t>Sim</t>
        </is>
      </c>
      <c r="V327" s="4" t="inlineStr">
        <is>
          <t>Não</t>
        </is>
      </c>
      <c r="W327" s="4" t="inlineStr"/>
    </row>
    <row r="328">
      <c r="A328" s="4" t="inlineStr">
        <is>
          <t>BTG Pactual</t>
        </is>
      </c>
      <c r="B328" s="4" t="inlineStr">
        <is>
          <t>Ibiuna Credit Prev FICFIM Access CrPr RL</t>
        </is>
      </c>
      <c r="C328" s="6" t="inlineStr">
        <is>
          <t>44.672.703/0001-31</t>
        </is>
      </c>
      <c r="D328" s="4" t="inlineStr">
        <is>
          <t>BTG PACTUAL GESTÃO E CONSULTORIA DE INVESTIMENTOS LTDA</t>
        </is>
      </c>
      <c r="E328" s="4" t="inlineStr">
        <is>
          <t>12.695.840/0001-03</t>
        </is>
      </c>
      <c r="F328" s="4" t="inlineStr">
        <is>
          <t>BTG PACTUAL SERVICOS FINANCEIROS S.A. DISTRIBUIDOR</t>
        </is>
      </c>
      <c r="G328" s="4" t="inlineStr">
        <is>
          <t>Multimercado</t>
        </is>
      </c>
      <c r="H328" s="4" t="inlineStr">
        <is>
          <t>Renda Fixa</t>
        </is>
      </c>
      <c r="I328" s="7" t="n">
        <v>1000</v>
      </c>
      <c r="J328" s="8" t="n">
        <v>0.8</v>
      </c>
      <c r="K328" s="8" t="n"/>
      <c r="L328" s="4" t="inlineStr"/>
      <c r="M328" s="5" t="n">
        <v>30</v>
      </c>
      <c r="N328" s="5" t="n">
        <v>31</v>
      </c>
      <c r="O328" s="5" t="n"/>
      <c r="P328" s="4" t="inlineStr">
        <is>
          <t>Curto Prazo</t>
        </is>
      </c>
      <c r="Q328" s="4" t="inlineStr">
        <is>
          <t>Não</t>
        </is>
      </c>
      <c r="R328" s="4" t="inlineStr">
        <is>
          <t>API interna</t>
        </is>
      </c>
      <c r="S328" s="4" t="n">
        <v>1</v>
      </c>
      <c r="T328" s="4" t="inlineStr">
        <is>
          <t>Não</t>
        </is>
      </c>
      <c r="U328" s="4" t="inlineStr">
        <is>
          <t>Sim</t>
        </is>
      </c>
      <c r="V328" s="4" t="inlineStr">
        <is>
          <t>Não</t>
        </is>
      </c>
      <c r="W328" s="4" t="inlineStr"/>
    </row>
    <row r="329">
      <c r="A329" s="4" t="inlineStr">
        <is>
          <t>BTG Pactual</t>
        </is>
      </c>
      <c r="B329" s="4" t="inlineStr">
        <is>
          <t>Ibiuna ST Prev FICFIM Access CrPr RL</t>
        </is>
      </c>
      <c r="C329" s="6" t="inlineStr">
        <is>
          <t>44.672.717/0001-55</t>
        </is>
      </c>
      <c r="D329" s="4" t="inlineStr">
        <is>
          <t>BTG PACTUAL GESTÃO E CONSULTORIA DE INVESTIMENTOS LTDA</t>
        </is>
      </c>
      <c r="E329" s="4" t="inlineStr">
        <is>
          <t>12.695.840/0001-03</t>
        </is>
      </c>
      <c r="F329" s="4" t="inlineStr">
        <is>
          <t>BTG PACTUAL SERVICOS FINANCEIROS S.A. DISTRIBUIDOR</t>
        </is>
      </c>
      <c r="G329" s="4" t="inlineStr">
        <is>
          <t>Multimercado</t>
        </is>
      </c>
      <c r="H329" s="4" t="inlineStr">
        <is>
          <t>Multimercado</t>
        </is>
      </c>
      <c r="I329" s="7" t="n">
        <v>1000</v>
      </c>
      <c r="J329" s="8" t="n">
        <v>2</v>
      </c>
      <c r="K329" s="8" t="n"/>
      <c r="L329" s="4" t="inlineStr"/>
      <c r="M329" s="5" t="n">
        <v>30</v>
      </c>
      <c r="N329" s="5" t="n">
        <v>31</v>
      </c>
      <c r="O329" s="5" t="n"/>
      <c r="P329" s="4" t="inlineStr">
        <is>
          <t>Curto Prazo</t>
        </is>
      </c>
      <c r="Q329" s="4" t="inlineStr">
        <is>
          <t>Não</t>
        </is>
      </c>
      <c r="R329" s="4" t="inlineStr">
        <is>
          <t>API interna</t>
        </is>
      </c>
      <c r="S329" s="4" t="n">
        <v>1</v>
      </c>
      <c r="T329" s="4" t="inlineStr">
        <is>
          <t>Não</t>
        </is>
      </c>
      <c r="U329" s="4" t="inlineStr">
        <is>
          <t>Sim</t>
        </is>
      </c>
      <c r="V329" s="4" t="inlineStr">
        <is>
          <t>Não</t>
        </is>
      </c>
      <c r="W329" s="4" t="inlineStr"/>
    </row>
    <row r="330">
      <c r="A330" s="4" t="inlineStr">
        <is>
          <t>BTG Pactual</t>
        </is>
      </c>
      <c r="B330" s="4" t="inlineStr">
        <is>
          <t>Icatu Kadima FIE Prev FICFIM RL</t>
        </is>
      </c>
      <c r="C330" s="6" t="inlineStr">
        <is>
          <t>15.862.867/0001-23</t>
        </is>
      </c>
      <c r="D330" s="4" t="inlineStr">
        <is>
          <t>KADIMA GESTAO DE INVESTIMENTOS LTDA</t>
        </is>
      </c>
      <c r="E330" s="4" t="inlineStr">
        <is>
          <t>08.792.073/0001-75</t>
        </is>
      </c>
      <c r="F330" s="4" t="inlineStr">
        <is>
          <t>BNY MELLON SERVICOS FINANCEIROS DTVM S/A</t>
        </is>
      </c>
      <c r="G330" s="4" t="inlineStr">
        <is>
          <t>Multimercado</t>
        </is>
      </c>
      <c r="H330" s="4" t="inlineStr">
        <is>
          <t>Multimercado</t>
        </is>
      </c>
      <c r="I330" s="7" t="n">
        <v>1500</v>
      </c>
      <c r="J330" s="8" t="n">
        <v>2</v>
      </c>
      <c r="K330" s="8" t="n"/>
      <c r="L330" s="4" t="inlineStr"/>
      <c r="M330" s="5" t="n">
        <v>2</v>
      </c>
      <c r="N330" s="5" t="n">
        <v>3</v>
      </c>
      <c r="O330" s="5" t="n"/>
      <c r="P330" s="4" t="inlineStr">
        <is>
          <t>Longo Prazo</t>
        </is>
      </c>
      <c r="Q330" s="4" t="inlineStr">
        <is>
          <t>Não</t>
        </is>
      </c>
      <c r="R330" s="4" t="inlineStr">
        <is>
          <t>API interna</t>
        </is>
      </c>
      <c r="S330" s="4" t="n">
        <v>1</v>
      </c>
      <c r="T330" s="4" t="inlineStr">
        <is>
          <t>Não</t>
        </is>
      </c>
      <c r="U330" s="4" t="inlineStr">
        <is>
          <t>Sim</t>
        </is>
      </c>
      <c r="V330" s="4" t="inlineStr">
        <is>
          <t>Não</t>
        </is>
      </c>
      <c r="W330" s="4" t="inlineStr"/>
    </row>
    <row r="331">
      <c r="A331" s="4" t="inlineStr">
        <is>
          <t>BTG Pactual</t>
        </is>
      </c>
      <c r="B331" s="4" t="inlineStr">
        <is>
          <t>Icatu SEG Duration FIRF RL</t>
        </is>
      </c>
      <c r="C331" s="6" t="inlineStr">
        <is>
          <t>04.511.286/0001-20</t>
        </is>
      </c>
      <c r="D331" s="4" t="inlineStr">
        <is>
          <t>ICATU VANGUARDA GESTÃO DE RECURSOS LTDA</t>
        </is>
      </c>
      <c r="E331" s="4" t="inlineStr">
        <is>
          <t>68.622.174/0001-20</t>
        </is>
      </c>
      <c r="F331" s="4" t="inlineStr">
        <is>
          <t>BEM DISTRIBUIDORA DE TITULOS E VALORES MOBILIARIOS</t>
        </is>
      </c>
      <c r="G331" s="4" t="inlineStr">
        <is>
          <t>Renda Fixa</t>
        </is>
      </c>
      <c r="H331" s="4" t="inlineStr">
        <is>
          <t>Renda Fixa</t>
        </is>
      </c>
      <c r="I331" s="7" t="n">
        <v>1000</v>
      </c>
      <c r="J331" s="8" t="n">
        <v>1.5</v>
      </c>
      <c r="K331" s="8" t="n"/>
      <c r="L331" s="4" t="inlineStr"/>
      <c r="M331" s="5" t="n">
        <v>1</v>
      </c>
      <c r="N331" s="5" t="n">
        <v>2</v>
      </c>
      <c r="O331" s="5" t="n"/>
      <c r="P331" s="4" t="inlineStr">
        <is>
          <t>Isento</t>
        </is>
      </c>
      <c r="Q331" s="4" t="inlineStr">
        <is>
          <t>Não</t>
        </is>
      </c>
      <c r="R331" s="4" t="inlineStr">
        <is>
          <t>API interna</t>
        </is>
      </c>
      <c r="S331" s="4" t="n">
        <v>1</v>
      </c>
      <c r="T331" s="4" t="inlineStr">
        <is>
          <t>Não</t>
        </is>
      </c>
      <c r="U331" s="4" t="inlineStr">
        <is>
          <t>Sim</t>
        </is>
      </c>
      <c r="V331" s="4" t="inlineStr">
        <is>
          <t>Não</t>
        </is>
      </c>
      <c r="W331" s="4" t="inlineStr"/>
    </row>
    <row r="332">
      <c r="A332" s="4" t="inlineStr">
        <is>
          <t>BTG Pactual</t>
        </is>
      </c>
      <c r="B332" s="4" t="inlineStr">
        <is>
          <t>Icatu SEG Global Equity Income 10 FIM Prev RL</t>
        </is>
      </c>
      <c r="C332" s="6" t="inlineStr">
        <is>
          <t>28.557.951/0001-85</t>
        </is>
      </c>
      <c r="D332" s="4" t="inlineStr">
        <is>
          <t>ICATU VANGUARDA GESTÃO DE RECURSOS LTDA</t>
        </is>
      </c>
      <c r="E332" s="4" t="inlineStr">
        <is>
          <t>68.622.174/0001-20</t>
        </is>
      </c>
      <c r="F332" s="4" t="inlineStr">
        <is>
          <t>BEM DISTRIBUIDORA DE TITULOS E VALORES MOBILIARIOS</t>
        </is>
      </c>
      <c r="G332" s="4" t="inlineStr">
        <is>
          <t>Multimercado</t>
        </is>
      </c>
      <c r="H332" s="4" t="inlineStr">
        <is>
          <t>Multimercado</t>
        </is>
      </c>
      <c r="I332" s="7" t="n">
        <v>1000</v>
      </c>
      <c r="J332" s="8" t="n">
        <v>0.88</v>
      </c>
      <c r="K332" s="8" t="n"/>
      <c r="L332" s="4" t="inlineStr"/>
      <c r="M332" s="5" t="n">
        <v>2</v>
      </c>
      <c r="N332" s="5" t="n">
        <v>3</v>
      </c>
      <c r="O332" s="5" t="n"/>
      <c r="P332" s="4" t="inlineStr">
        <is>
          <t>Longo Prazo</t>
        </is>
      </c>
      <c r="Q332" s="4" t="inlineStr">
        <is>
          <t>Não</t>
        </is>
      </c>
      <c r="R332" s="4" t="inlineStr">
        <is>
          <t>API interna</t>
        </is>
      </c>
      <c r="S332" s="4" t="n">
        <v>1</v>
      </c>
      <c r="T332" s="4" t="inlineStr">
        <is>
          <t>Não</t>
        </is>
      </c>
      <c r="U332" s="4" t="inlineStr">
        <is>
          <t>Sim</t>
        </is>
      </c>
      <c r="V332" s="4" t="inlineStr">
        <is>
          <t>Não</t>
        </is>
      </c>
      <c r="W332" s="4" t="inlineStr"/>
    </row>
    <row r="333">
      <c r="A333" s="4" t="inlineStr">
        <is>
          <t>BTG Pactual</t>
        </is>
      </c>
      <c r="B333" s="4" t="inlineStr">
        <is>
          <t>Icatu SEG Vanguarda FICFIRF Plus Prev RL</t>
        </is>
      </c>
      <c r="C333" s="6" t="inlineStr">
        <is>
          <t>04.223.291/0001-38</t>
        </is>
      </c>
      <c r="D333" s="4" t="inlineStr">
        <is>
          <t>ICATU VANGUARDA GESTÃO DE RECURSOS LTDA</t>
        </is>
      </c>
      <c r="E333" s="4" t="inlineStr">
        <is>
          <t>68.622.174/0001-20</t>
        </is>
      </c>
      <c r="F333" s="4" t="inlineStr">
        <is>
          <t>BEM DISTRIBUIDORA DE TITULOS E VALORES MOBILIARIOS</t>
        </is>
      </c>
      <c r="G333" s="4" t="inlineStr">
        <is>
          <t>Renda Fixa</t>
        </is>
      </c>
      <c r="H333" s="4" t="inlineStr">
        <is>
          <t>Renda Fixa</t>
        </is>
      </c>
      <c r="I333" s="7" t="n">
        <v>3000</v>
      </c>
      <c r="J333" s="8" t="n">
        <v>0.45</v>
      </c>
      <c r="K333" s="8" t="n"/>
      <c r="L333" s="4" t="inlineStr"/>
      <c r="M333" s="5" t="n">
        <v>1</v>
      </c>
      <c r="N333" s="5" t="n">
        <v>2</v>
      </c>
      <c r="O333" s="5" t="n"/>
      <c r="P333" s="4" t="inlineStr">
        <is>
          <t>Longo Prazo</t>
        </is>
      </c>
      <c r="Q333" s="4" t="inlineStr">
        <is>
          <t>Não</t>
        </is>
      </c>
      <c r="R333" s="4" t="inlineStr">
        <is>
          <t>API interna</t>
        </is>
      </c>
      <c r="S333" s="4" t="n">
        <v>1</v>
      </c>
      <c r="T333" s="4" t="inlineStr">
        <is>
          <t>Não</t>
        </is>
      </c>
      <c r="U333" s="4" t="inlineStr">
        <is>
          <t>Sim</t>
        </is>
      </c>
      <c r="V333" s="4" t="inlineStr">
        <is>
          <t>Não</t>
        </is>
      </c>
      <c r="W333" s="4" t="inlineStr"/>
    </row>
    <row r="334">
      <c r="A334" s="4" t="inlineStr">
        <is>
          <t>BTG Pactual</t>
        </is>
      </c>
      <c r="B334" s="4" t="inlineStr">
        <is>
          <t>Icatu SEG Western Asset Prev FIM RL</t>
        </is>
      </c>
      <c r="C334" s="6" t="inlineStr">
        <is>
          <t>21.818.801/0001-39</t>
        </is>
      </c>
      <c r="D334" s="4" t="inlineStr">
        <is>
          <t>Franklin Templeton Brasil Ltda.</t>
        </is>
      </c>
      <c r="E334" s="4" t="inlineStr">
        <is>
          <t>07.437.241/0001-41</t>
        </is>
      </c>
      <c r="F334" s="4" t="inlineStr">
        <is>
          <t>BEM DISTRIBUIDORA DE TITULOS E VALORES MOBILIARIOS</t>
        </is>
      </c>
      <c r="G334" s="4" t="inlineStr">
        <is>
          <t>Multimercado</t>
        </is>
      </c>
      <c r="H334" s="4" t="inlineStr">
        <is>
          <t>Renda Fixa</t>
        </is>
      </c>
      <c r="I334" s="7" t="n">
        <v>1500</v>
      </c>
      <c r="J334" s="8" t="n">
        <v>1.5</v>
      </c>
      <c r="K334" s="8" t="n"/>
      <c r="L334" s="4" t="inlineStr"/>
      <c r="M334" s="5" t="n">
        <v>2</v>
      </c>
      <c r="N334" s="5" t="n">
        <v>3</v>
      </c>
      <c r="O334" s="5" t="n"/>
      <c r="P334" s="4" t="inlineStr">
        <is>
          <t>Não Aplicável</t>
        </is>
      </c>
      <c r="Q334" s="4" t="inlineStr">
        <is>
          <t>Não</t>
        </is>
      </c>
      <c r="R334" s="4" t="inlineStr">
        <is>
          <t>API interna</t>
        </is>
      </c>
      <c r="S334" s="4" t="n">
        <v>1</v>
      </c>
      <c r="T334" s="4" t="inlineStr">
        <is>
          <t>Não</t>
        </is>
      </c>
      <c r="U334" s="4" t="inlineStr">
        <is>
          <t>Sim</t>
        </is>
      </c>
      <c r="V334" s="4" t="inlineStr">
        <is>
          <t>Não</t>
        </is>
      </c>
      <c r="W334" s="4" t="inlineStr"/>
    </row>
    <row r="335">
      <c r="A335" s="4" t="inlineStr">
        <is>
          <t>BTG Pactual</t>
        </is>
      </c>
      <c r="B335" s="4" t="inlineStr">
        <is>
          <t>Icatu Vanguarda Absoluto Plus Qualificado FIRF Prev CrPr RL</t>
        </is>
      </c>
      <c r="C335" s="6" t="inlineStr">
        <is>
          <t>45.444.101/0001-90</t>
        </is>
      </c>
      <c r="D335" s="4" t="inlineStr">
        <is>
          <t>ICATU VANGUARDA GESTÃO DE RECURSOS LTDA</t>
        </is>
      </c>
      <c r="E335" s="4" t="inlineStr">
        <is>
          <t>68.622.174/0001-20</t>
        </is>
      </c>
      <c r="F335" s="4" t="inlineStr">
        <is>
          <t>BEM DISTRIBUIDORA DE TITULOS E VALORES MOBILIARIOS</t>
        </is>
      </c>
      <c r="G335" s="4" t="inlineStr">
        <is>
          <t>Renda Fixa</t>
        </is>
      </c>
      <c r="H335" s="4" t="inlineStr">
        <is>
          <t>Renda Fixa</t>
        </is>
      </c>
      <c r="I335" s="7" t="n">
        <v>5000</v>
      </c>
      <c r="J335" s="8" t="n">
        <v>0.73</v>
      </c>
      <c r="K335" s="8" t="n">
        <v>20</v>
      </c>
      <c r="L335" s="4" t="inlineStr">
        <is>
          <t>CDI</t>
        </is>
      </c>
      <c r="M335" s="5" t="n">
        <v>20</v>
      </c>
      <c r="N335" s="5" t="n">
        <v>21</v>
      </c>
      <c r="O335" s="5" t="n"/>
      <c r="P335" s="4" t="inlineStr">
        <is>
          <t>Não Aplicável</t>
        </is>
      </c>
      <c r="Q335" s="4" t="inlineStr">
        <is>
          <t>Não</t>
        </is>
      </c>
      <c r="R335" s="4" t="inlineStr">
        <is>
          <t>API interna</t>
        </is>
      </c>
      <c r="S335" s="4" t="n">
        <v>1</v>
      </c>
      <c r="T335" s="4" t="inlineStr">
        <is>
          <t>Não</t>
        </is>
      </c>
      <c r="U335" s="4" t="inlineStr">
        <is>
          <t>Sim</t>
        </is>
      </c>
      <c r="V335" s="4" t="inlineStr">
        <is>
          <t>Não</t>
        </is>
      </c>
      <c r="W335" s="4" t="inlineStr"/>
    </row>
    <row r="336">
      <c r="A336" s="4" t="inlineStr">
        <is>
          <t>BTG Pactual</t>
        </is>
      </c>
      <c r="B336" s="4" t="inlineStr">
        <is>
          <t>Icatu Vanguarda BP Dinâmico CDI PREV FIM</t>
        </is>
      </c>
      <c r="C336" s="6" t="inlineStr">
        <is>
          <t>64.717.139/0001-33</t>
        </is>
      </c>
      <c r="D336" s="4" t="inlineStr">
        <is>
          <t>ICATU VANGUARDA GESTÃO DE RECURSOS LTDA</t>
        </is>
      </c>
      <c r="E336" s="4" t="inlineStr">
        <is>
          <t>68.622.174/0001-20</t>
        </is>
      </c>
      <c r="F336" s="4" t="inlineStr">
        <is>
          <t>BTG PACTUAL SERVICOS FINANCEIROS S.A. DISTRIBUIDOR</t>
        </is>
      </c>
      <c r="G336" s="4" t="inlineStr">
        <is>
          <t>Multimercado</t>
        </is>
      </c>
      <c r="H336" s="4" t="inlineStr">
        <is>
          <t>Renda Fixa</t>
        </is>
      </c>
      <c r="I336" s="7" t="n">
        <v>1000</v>
      </c>
      <c r="J336" s="8" t="n"/>
      <c r="K336" s="8" t="n">
        <v>20</v>
      </c>
      <c r="L336" s="4" t="inlineStr">
        <is>
          <t>-</t>
        </is>
      </c>
      <c r="M336" s="5" t="n">
        <v>8</v>
      </c>
      <c r="N336" s="5" t="n">
        <v>10</v>
      </c>
      <c r="O336" s="5" t="n"/>
      <c r="P336" s="4" t="inlineStr">
        <is>
          <t>Longo Prazo</t>
        </is>
      </c>
      <c r="Q336" s="4" t="inlineStr">
        <is>
          <t>Não</t>
        </is>
      </c>
      <c r="R336" s="4" t="inlineStr">
        <is>
          <t>API interna</t>
        </is>
      </c>
      <c r="S336" s="4" t="n">
        <v>1</v>
      </c>
      <c r="T336" s="4" t="inlineStr">
        <is>
          <t>Não</t>
        </is>
      </c>
      <c r="U336" s="4" t="inlineStr">
        <is>
          <t>Sim</t>
        </is>
      </c>
      <c r="V336" s="4" t="inlineStr">
        <is>
          <t>Não</t>
        </is>
      </c>
      <c r="W336" s="4" t="inlineStr"/>
    </row>
    <row r="337">
      <c r="A337" s="4" t="inlineStr">
        <is>
          <t>BTG Pactual</t>
        </is>
      </c>
      <c r="B337" s="4" t="inlineStr">
        <is>
          <t>Icatu Vanguarda Credito Global Prev FICFIM CrPr RL</t>
        </is>
      </c>
      <c r="C337" s="6" t="inlineStr">
        <is>
          <t>36.352.241/0001-47</t>
        </is>
      </c>
      <c r="D337" s="4" t="inlineStr">
        <is>
          <t>ICATU VANGUARDA GESTÃO DE RECURSOS LTDA</t>
        </is>
      </c>
      <c r="E337" s="4" t="inlineStr">
        <is>
          <t>68.622.174/0001-20</t>
        </is>
      </c>
      <c r="F337" s="4" t="inlineStr">
        <is>
          <t>BNY MELLON SERVICOS FINANCEIROS DTVM S/A</t>
        </is>
      </c>
      <c r="G337" s="4" t="inlineStr">
        <is>
          <t>Multimercado</t>
        </is>
      </c>
      <c r="H337" s="4" t="inlineStr">
        <is>
          <t>Renda Fixa</t>
        </is>
      </c>
      <c r="I337" s="7" t="n">
        <v>5000</v>
      </c>
      <c r="J337" s="8" t="n">
        <v>0.9</v>
      </c>
      <c r="K337" s="8" t="n"/>
      <c r="L337" s="4" t="inlineStr"/>
      <c r="M337" s="5" t="n">
        <v>22</v>
      </c>
      <c r="N337" s="5" t="n">
        <v>23</v>
      </c>
      <c r="O337" s="5" t="n"/>
      <c r="P337" s="4" t="inlineStr">
        <is>
          <t>Longo Prazo</t>
        </is>
      </c>
      <c r="Q337" s="4" t="inlineStr">
        <is>
          <t>Não</t>
        </is>
      </c>
      <c r="R337" s="4" t="inlineStr">
        <is>
          <t>API interna</t>
        </is>
      </c>
      <c r="S337" s="4" t="n">
        <v>1</v>
      </c>
      <c r="T337" s="4" t="inlineStr">
        <is>
          <t>Não</t>
        </is>
      </c>
      <c r="U337" s="4" t="inlineStr">
        <is>
          <t>Sim</t>
        </is>
      </c>
      <c r="V337" s="4" t="inlineStr">
        <is>
          <t>Não</t>
        </is>
      </c>
      <c r="W337" s="4" t="inlineStr"/>
    </row>
    <row r="338">
      <c r="A338" s="4" t="inlineStr">
        <is>
          <t>BTG Pactual</t>
        </is>
      </c>
      <c r="B338" s="4" t="inlineStr">
        <is>
          <t>Icatu Vanguarda FICFIRF Inflacao Curta Prev RL</t>
        </is>
      </c>
      <c r="C338" s="6" t="inlineStr">
        <is>
          <t>12.823.627/0001-21</t>
        </is>
      </c>
      <c r="D338" s="4" t="inlineStr">
        <is>
          <t>ICATU VANGUARDA GESTÃO DE RECURSOS LTDA</t>
        </is>
      </c>
      <c r="E338" s="4" t="inlineStr">
        <is>
          <t>68.622.174/0001-20</t>
        </is>
      </c>
      <c r="F338" s="4" t="inlineStr">
        <is>
          <t>BEM DISTRIBUIDORA DE TITULOS E VALORES MOBILIARIOS</t>
        </is>
      </c>
      <c r="G338" s="4" t="inlineStr">
        <is>
          <t>Renda Fixa</t>
        </is>
      </c>
      <c r="H338" s="4" t="inlineStr">
        <is>
          <t>Renda Fixa</t>
        </is>
      </c>
      <c r="I338" s="7" t="n">
        <v>1000</v>
      </c>
      <c r="J338" s="8" t="n">
        <v>0.75</v>
      </c>
      <c r="K338" s="8" t="n"/>
      <c r="L338" s="4" t="inlineStr"/>
      <c r="M338" s="5" t="n">
        <v>0</v>
      </c>
      <c r="N338" s="5" t="n">
        <v>1</v>
      </c>
      <c r="O338" s="5" t="n"/>
      <c r="P338" s="4" t="inlineStr">
        <is>
          <t>Não Aplicável</t>
        </is>
      </c>
      <c r="Q338" s="4" t="inlineStr">
        <is>
          <t>Não</t>
        </is>
      </c>
      <c r="R338" s="4" t="inlineStr">
        <is>
          <t>API interna</t>
        </is>
      </c>
      <c r="S338" s="4" t="n">
        <v>1</v>
      </c>
      <c r="T338" s="4" t="inlineStr">
        <is>
          <t>Não</t>
        </is>
      </c>
      <c r="U338" s="4" t="inlineStr">
        <is>
          <t>Sim</t>
        </is>
      </c>
      <c r="V338" s="4" t="inlineStr">
        <is>
          <t>Não</t>
        </is>
      </c>
      <c r="W338" s="4" t="inlineStr"/>
    </row>
    <row r="339">
      <c r="A339" s="4" t="inlineStr">
        <is>
          <t>BTG Pactual</t>
        </is>
      </c>
      <c r="B339" s="4" t="inlineStr">
        <is>
          <t>Icatu Vanguarda FICFIRF Inflacao Longa Prev RL</t>
        </is>
      </c>
      <c r="C339" s="6" t="inlineStr">
        <is>
          <t>04.228.716/0001-00</t>
        </is>
      </c>
      <c r="D339" s="4" t="inlineStr">
        <is>
          <t>ICATU VANGUARDA GESTÃO DE RECURSOS LTDA</t>
        </is>
      </c>
      <c r="E339" s="4" t="inlineStr">
        <is>
          <t>68.622.174/0001-20</t>
        </is>
      </c>
      <c r="F339" s="4" t="inlineStr">
        <is>
          <t>BEM DISTRIBUIDORA DE TITULOS E VALORES MOBILIARIOS</t>
        </is>
      </c>
      <c r="G339" s="4" t="inlineStr">
        <is>
          <t>Renda Fixa</t>
        </is>
      </c>
      <c r="H339" s="4" t="inlineStr">
        <is>
          <t>Renda Fixa</t>
        </is>
      </c>
      <c r="I339" s="7" t="n">
        <v>1000</v>
      </c>
      <c r="J339" s="8" t="n">
        <v>1.5</v>
      </c>
      <c r="K339" s="8" t="n"/>
      <c r="L339" s="4" t="inlineStr"/>
      <c r="M339" s="5" t="n">
        <v>0</v>
      </c>
      <c r="N339" s="5" t="n">
        <v>1</v>
      </c>
      <c r="O339" s="5" t="n"/>
      <c r="P339" s="4" t="inlineStr">
        <is>
          <t>Não Aplicável</t>
        </is>
      </c>
      <c r="Q339" s="4" t="inlineStr">
        <is>
          <t>Não</t>
        </is>
      </c>
      <c r="R339" s="4" t="inlineStr">
        <is>
          <t>API interna</t>
        </is>
      </c>
      <c r="S339" s="4" t="n">
        <v>1</v>
      </c>
      <c r="T339" s="4" t="inlineStr">
        <is>
          <t>Não</t>
        </is>
      </c>
      <c r="U339" s="4" t="inlineStr">
        <is>
          <t>Sim</t>
        </is>
      </c>
      <c r="V339" s="4" t="inlineStr">
        <is>
          <t>Não</t>
        </is>
      </c>
      <c r="W339" s="4" t="inlineStr"/>
    </row>
    <row r="340">
      <c r="A340" s="4" t="inlineStr">
        <is>
          <t>BTG Pactual</t>
        </is>
      </c>
      <c r="B340" s="4" t="inlineStr">
        <is>
          <t>Icatu Vanguarda Hedge FIM Prev RL</t>
        </is>
      </c>
      <c r="C340" s="6" t="inlineStr">
        <is>
          <t>28.557.920/0001-24</t>
        </is>
      </c>
      <c r="D340" s="4" t="inlineStr">
        <is>
          <t>ICATU VANGUARDA GESTÃO DE RECURSOS LTDA</t>
        </is>
      </c>
      <c r="E340" s="4" t="inlineStr">
        <is>
          <t>68.622.174/0001-20</t>
        </is>
      </c>
      <c r="F340" s="4" t="inlineStr">
        <is>
          <t>BEM DISTRIBUIDORA DE TITULOS E VALORES MOBILIARIOS</t>
        </is>
      </c>
      <c r="G340" s="4" t="inlineStr">
        <is>
          <t>Multimercado</t>
        </is>
      </c>
      <c r="H340" s="4" t="inlineStr">
        <is>
          <t>Multimercado</t>
        </is>
      </c>
      <c r="I340" s="7" t="n">
        <v>3000</v>
      </c>
      <c r="J340" s="8" t="n">
        <v>0.75</v>
      </c>
      <c r="K340" s="8" t="n"/>
      <c r="L340" s="4" t="inlineStr"/>
      <c r="M340" s="5" t="n">
        <v>0</v>
      </c>
      <c r="N340" s="5" t="n">
        <v>1</v>
      </c>
      <c r="O340" s="5" t="n"/>
      <c r="P340" s="4" t="inlineStr">
        <is>
          <t>Longo Prazo</t>
        </is>
      </c>
      <c r="Q340" s="4" t="inlineStr">
        <is>
          <t>Não</t>
        </is>
      </c>
      <c r="R340" s="4" t="inlineStr">
        <is>
          <t>API interna</t>
        </is>
      </c>
      <c r="S340" s="4" t="n">
        <v>1</v>
      </c>
      <c r="T340" s="4" t="inlineStr">
        <is>
          <t>Não</t>
        </is>
      </c>
      <c r="U340" s="4" t="inlineStr">
        <is>
          <t>Sim</t>
        </is>
      </c>
      <c r="V340" s="4" t="inlineStr">
        <is>
          <t>Não</t>
        </is>
      </c>
      <c r="W340" s="4" t="inlineStr"/>
    </row>
    <row r="341">
      <c r="A341" s="4" t="inlineStr">
        <is>
          <t>BTG Pactual</t>
        </is>
      </c>
      <c r="B341" s="4" t="inlineStr">
        <is>
          <t>Icatu Vanguarda Igarate Prev BP FICFIM CrPr RL</t>
        </is>
      </c>
      <c r="C341" s="6" t="inlineStr">
        <is>
          <t>57.205.240/0001-40</t>
        </is>
      </c>
      <c r="D341" s="4" t="inlineStr">
        <is>
          <t>ICATU VANGUARDA GESTÃO DE RECURSOS LTDA</t>
        </is>
      </c>
      <c r="E341" s="4" t="inlineStr">
        <is>
          <t>68.622.174/0001-20</t>
        </is>
      </c>
      <c r="F341" s="4" t="inlineStr">
        <is>
          <t>BTG PACTUAL SERVICOS FINANCEIROS S.A. DISTRIBUIDOR</t>
        </is>
      </c>
      <c r="G341" s="4" t="inlineStr">
        <is>
          <t>Multimercado</t>
        </is>
      </c>
      <c r="H341" s="4" t="inlineStr">
        <is>
          <t>Renda Variável</t>
        </is>
      </c>
      <c r="I341" s="7" t="n">
        <v>0</v>
      </c>
      <c r="J341" s="8" t="n">
        <v>2</v>
      </c>
      <c r="K341" s="8" t="n"/>
      <c r="L341" s="4" t="inlineStr"/>
      <c r="M341" s="5" t="n">
        <v>8</v>
      </c>
      <c r="N341" s="5" t="n">
        <v>10</v>
      </c>
      <c r="O341" s="5" t="n"/>
      <c r="P341" s="4" t="inlineStr">
        <is>
          <t>Curto Prazo</t>
        </is>
      </c>
      <c r="Q341" s="4" t="inlineStr">
        <is>
          <t>Não</t>
        </is>
      </c>
      <c r="R341" s="4" t="inlineStr">
        <is>
          <t>API interna</t>
        </is>
      </c>
      <c r="S341" s="4" t="n">
        <v>1</v>
      </c>
      <c r="T341" s="4" t="inlineStr">
        <is>
          <t>Não</t>
        </is>
      </c>
      <c r="U341" s="4" t="inlineStr">
        <is>
          <t>Sim</t>
        </is>
      </c>
      <c r="V341" s="4" t="inlineStr">
        <is>
          <t>Não</t>
        </is>
      </c>
      <c r="W341" s="4" t="inlineStr"/>
    </row>
    <row r="342">
      <c r="A342" s="4" t="inlineStr">
        <is>
          <t>BTG Pactual</t>
        </is>
      </c>
      <c r="B342" s="4" t="inlineStr">
        <is>
          <t>Icatu Vanguarda LB Prev FICFIM RL</t>
        </is>
      </c>
      <c r="C342" s="6" t="inlineStr">
        <is>
          <t>27.328.750/0001-43</t>
        </is>
      </c>
      <c r="D342" s="4" t="inlineStr">
        <is>
          <t>ICATU SEGUROS S/A</t>
        </is>
      </c>
      <c r="E342" s="4" t="inlineStr">
        <is>
          <t>42.283.770/0001-39</t>
        </is>
      </c>
      <c r="F342" s="4" t="inlineStr">
        <is>
          <t>BEM DISTRIBUIDORA DE TITULOS E VALORES MOBILIARIOS</t>
        </is>
      </c>
      <c r="G342" s="4" t="inlineStr">
        <is>
          <t>Multimercado</t>
        </is>
      </c>
      <c r="H342" s="4" t="inlineStr">
        <is>
          <t>Renda Variável</t>
        </is>
      </c>
      <c r="I342" s="7" t="n">
        <v>1500</v>
      </c>
      <c r="J342" s="8" t="n">
        <v>2</v>
      </c>
      <c r="K342" s="8" t="n"/>
      <c r="L342" s="4" t="inlineStr"/>
      <c r="M342" s="5" t="n">
        <v>1</v>
      </c>
      <c r="N342" s="5" t="n">
        <v>3</v>
      </c>
      <c r="O342" s="5" t="n"/>
      <c r="P342" s="4" t="inlineStr">
        <is>
          <t>Longo Prazo</t>
        </is>
      </c>
      <c r="Q342" s="4" t="inlineStr">
        <is>
          <t>Não</t>
        </is>
      </c>
      <c r="R342" s="4" t="inlineStr">
        <is>
          <t>API interna</t>
        </is>
      </c>
      <c r="S342" s="4" t="n">
        <v>1</v>
      </c>
      <c r="T342" s="4" t="inlineStr">
        <is>
          <t>Não</t>
        </is>
      </c>
      <c r="U342" s="4" t="inlineStr">
        <is>
          <t>Sim</t>
        </is>
      </c>
      <c r="V342" s="4" t="inlineStr">
        <is>
          <t>Não</t>
        </is>
      </c>
      <c r="W342" s="4" t="inlineStr"/>
    </row>
    <row r="343">
      <c r="A343" s="4" t="inlineStr">
        <is>
          <t>BTG Pactual</t>
        </is>
      </c>
      <c r="B343" s="4" t="inlineStr">
        <is>
          <t>Icatu Vanguarda LB Qualificado FIE I Prev FICFIM de FIM CrPr RL</t>
        </is>
      </c>
      <c r="C343" s="6" t="inlineStr">
        <is>
          <t>37.821.575/0001-85</t>
        </is>
      </c>
      <c r="D343" s="4" t="inlineStr">
        <is>
          <t>ICATU SEGUROS S/A</t>
        </is>
      </c>
      <c r="E343" s="4" t="inlineStr">
        <is>
          <t>42.283.770/0001-39</t>
        </is>
      </c>
      <c r="F343" s="4" t="inlineStr">
        <is>
          <t>BEM DISTRIBUIDORA DE TITULOS E VALORES MOBILIARIOS</t>
        </is>
      </c>
      <c r="G343" s="4" t="inlineStr">
        <is>
          <t>Multimercado</t>
        </is>
      </c>
      <c r="H343" s="4" t="inlineStr">
        <is>
          <t>Renda Variável</t>
        </is>
      </c>
      <c r="I343" s="7" t="n">
        <v>5000</v>
      </c>
      <c r="J343" s="8" t="n">
        <v>2</v>
      </c>
      <c r="K343" s="8" t="n"/>
      <c r="L343" s="4" t="inlineStr"/>
      <c r="M343" s="5" t="n">
        <v>22</v>
      </c>
      <c r="N343" s="5" t="n">
        <v>24</v>
      </c>
      <c r="O343" s="5" t="n"/>
      <c r="P343" s="4" t="inlineStr">
        <is>
          <t>Longo Prazo</t>
        </is>
      </c>
      <c r="Q343" s="4" t="inlineStr">
        <is>
          <t>Não</t>
        </is>
      </c>
      <c r="R343" s="4" t="inlineStr">
        <is>
          <t>API interna</t>
        </is>
      </c>
      <c r="S343" s="4" t="n">
        <v>1</v>
      </c>
      <c r="T343" s="4" t="inlineStr">
        <is>
          <t>Não</t>
        </is>
      </c>
      <c r="U343" s="4" t="inlineStr">
        <is>
          <t>Sim</t>
        </is>
      </c>
      <c r="V343" s="4" t="inlineStr">
        <is>
          <t>Não</t>
        </is>
      </c>
      <c r="W343" s="4" t="inlineStr"/>
    </row>
    <row r="344">
      <c r="A344" s="4" t="inlineStr">
        <is>
          <t>BTG Pactual</t>
        </is>
      </c>
      <c r="B344" s="4" t="inlineStr">
        <is>
          <t>Icatu Vanguarda Minha Aposentadoria 2030 FIM Prev RL</t>
        </is>
      </c>
      <c r="C344" s="6" t="inlineStr">
        <is>
          <t>07.190.746/0001-54</t>
        </is>
      </c>
      <c r="D344" s="4" t="inlineStr">
        <is>
          <t>ICATU VANGUARDA GESTÃO DE RECURSOS LTDA</t>
        </is>
      </c>
      <c r="E344" s="4" t="inlineStr">
        <is>
          <t>68.622.174/0001-20</t>
        </is>
      </c>
      <c r="F344" s="4" t="inlineStr">
        <is>
          <t>BEM DISTRIBUIDORA DE TITULOS E VALORES MOBILIARIOS</t>
        </is>
      </c>
      <c r="G344" s="4" t="inlineStr">
        <is>
          <t>Multimercado</t>
        </is>
      </c>
      <c r="H344" s="4" t="inlineStr">
        <is>
          <t>Alocação</t>
        </is>
      </c>
      <c r="I344" s="7" t="n">
        <v>1000</v>
      </c>
      <c r="J344" s="8" t="n">
        <v>0.78</v>
      </c>
      <c r="K344" s="8" t="n"/>
      <c r="L344" s="4" t="inlineStr"/>
      <c r="M344" s="5" t="n">
        <v>1</v>
      </c>
      <c r="N344" s="5" t="n">
        <v>2</v>
      </c>
      <c r="O344" s="5" t="n"/>
      <c r="P344" s="4" t="inlineStr">
        <is>
          <t>Longo Prazo</t>
        </is>
      </c>
      <c r="Q344" s="4" t="inlineStr">
        <is>
          <t>Não</t>
        </is>
      </c>
      <c r="R344" s="4" t="inlineStr">
        <is>
          <t>API interna</t>
        </is>
      </c>
      <c r="S344" s="4" t="n">
        <v>1</v>
      </c>
      <c r="T344" s="4" t="inlineStr">
        <is>
          <t>Não</t>
        </is>
      </c>
      <c r="U344" s="4" t="inlineStr">
        <is>
          <t>Sim</t>
        </is>
      </c>
      <c r="V344" s="4" t="inlineStr">
        <is>
          <t>Não</t>
        </is>
      </c>
      <c r="W344" s="4" t="inlineStr"/>
    </row>
    <row r="345">
      <c r="A345" s="4" t="inlineStr">
        <is>
          <t>BTG Pactual</t>
        </is>
      </c>
      <c r="B345" s="4" t="inlineStr">
        <is>
          <t>Icatu Vanguarda Minha Aposentadoria 2040 FIM Prev RL</t>
        </is>
      </c>
      <c r="C345" s="6" t="inlineStr">
        <is>
          <t>07.190.735/0001-74</t>
        </is>
      </c>
      <c r="D345" s="4" t="inlineStr">
        <is>
          <t>ICATU VANGUARDA GESTÃO DE RECURSOS LTDA</t>
        </is>
      </c>
      <c r="E345" s="4" t="inlineStr">
        <is>
          <t>68.622.174/0001-20</t>
        </is>
      </c>
      <c r="F345" s="4" t="inlineStr">
        <is>
          <t>BEM DISTRIBUIDORA DE TITULOS E VALORES MOBILIARIOS</t>
        </is>
      </c>
      <c r="G345" s="4" t="inlineStr">
        <is>
          <t>Multimercado</t>
        </is>
      </c>
      <c r="H345" s="4" t="inlineStr">
        <is>
          <t>Alocação</t>
        </is>
      </c>
      <c r="I345" s="7" t="n">
        <v>1000</v>
      </c>
      <c r="J345" s="8" t="n">
        <v>0.98</v>
      </c>
      <c r="K345" s="8" t="n"/>
      <c r="L345" s="4" t="inlineStr"/>
      <c r="M345" s="5" t="n">
        <v>1</v>
      </c>
      <c r="N345" s="5" t="n">
        <v>2</v>
      </c>
      <c r="O345" s="5" t="n"/>
      <c r="P345" s="4" t="inlineStr">
        <is>
          <t>Longo Prazo</t>
        </is>
      </c>
      <c r="Q345" s="4" t="inlineStr">
        <is>
          <t>Não</t>
        </is>
      </c>
      <c r="R345" s="4" t="inlineStr">
        <is>
          <t>API interna</t>
        </is>
      </c>
      <c r="S345" s="4" t="n">
        <v>1</v>
      </c>
      <c r="T345" s="4" t="inlineStr">
        <is>
          <t>Não</t>
        </is>
      </c>
      <c r="U345" s="4" t="inlineStr">
        <is>
          <t>Sim</t>
        </is>
      </c>
      <c r="V345" s="4" t="inlineStr">
        <is>
          <t>Não</t>
        </is>
      </c>
      <c r="W345" s="4" t="inlineStr"/>
    </row>
    <row r="346">
      <c r="A346" s="4" t="inlineStr">
        <is>
          <t>BTG Pactual</t>
        </is>
      </c>
      <c r="B346" s="4" t="inlineStr">
        <is>
          <t>Icatu Vanguarda Minha Aposentadoria 2050 FICFIM Prev RL</t>
        </is>
      </c>
      <c r="C346" s="6" t="inlineStr">
        <is>
          <t>35.636.610/0001-60</t>
        </is>
      </c>
      <c r="D346" s="4" t="inlineStr">
        <is>
          <t>ICATU VANGUARDA GESTÃO DE RECURSOS LTDA</t>
        </is>
      </c>
      <c r="E346" s="4" t="inlineStr">
        <is>
          <t>68.622.174/0001-20</t>
        </is>
      </c>
      <c r="F346" s="4" t="inlineStr">
        <is>
          <t>BEM DISTRIBUIDORA DE TITULOS E VALORES MOBILIARIOS</t>
        </is>
      </c>
      <c r="G346" s="4" t="inlineStr">
        <is>
          <t>Multimercado</t>
        </is>
      </c>
      <c r="H346" s="4" t="inlineStr">
        <is>
          <t>Alocação</t>
        </is>
      </c>
      <c r="I346" s="7" t="n">
        <v>1000</v>
      </c>
      <c r="J346" s="8" t="n">
        <v>1.2</v>
      </c>
      <c r="K346" s="8" t="n"/>
      <c r="L346" s="4" t="inlineStr"/>
      <c r="M346" s="5" t="n">
        <v>5</v>
      </c>
      <c r="N346" s="5" t="n">
        <v>7</v>
      </c>
      <c r="O346" s="5" t="n"/>
      <c r="P346" s="4" t="inlineStr">
        <is>
          <t>Isento</t>
        </is>
      </c>
      <c r="Q346" s="4" t="inlineStr">
        <is>
          <t>Não</t>
        </is>
      </c>
      <c r="R346" s="4" t="inlineStr">
        <is>
          <t>API interna</t>
        </is>
      </c>
      <c r="S346" s="4" t="n">
        <v>1</v>
      </c>
      <c r="T346" s="4" t="inlineStr">
        <is>
          <t>Não</t>
        </is>
      </c>
      <c r="U346" s="4" t="inlineStr">
        <is>
          <t>Sim</t>
        </is>
      </c>
      <c r="V346" s="4" t="inlineStr">
        <is>
          <t>Não</t>
        </is>
      </c>
      <c r="W346" s="4" t="inlineStr"/>
    </row>
    <row r="347">
      <c r="A347" s="4" t="inlineStr">
        <is>
          <t>BTG Pactual</t>
        </is>
      </c>
      <c r="B347" s="4" t="inlineStr">
        <is>
          <t>Icatu Vanguarda POS Fixado FIRF Prev RL</t>
        </is>
      </c>
      <c r="C347" s="6" t="inlineStr">
        <is>
          <t>33.520.901/0001-63</t>
        </is>
      </c>
      <c r="D347" s="4" t="inlineStr">
        <is>
          <t>ICATU VANGUARDA GESTÃO DE RECURSOS LTDA</t>
        </is>
      </c>
      <c r="E347" s="4" t="inlineStr">
        <is>
          <t>68.622.174/0001-20</t>
        </is>
      </c>
      <c r="F347" s="4" t="inlineStr">
        <is>
          <t>BEM DISTRIBUIDORA DE TITULOS E VALORES MOBILIARIOS</t>
        </is>
      </c>
      <c r="G347" s="4" t="inlineStr">
        <is>
          <t>Renda Fixa</t>
        </is>
      </c>
      <c r="H347" s="4" t="inlineStr">
        <is>
          <t>Renda Fixa</t>
        </is>
      </c>
      <c r="I347" s="7" t="n">
        <v>30000</v>
      </c>
      <c r="J347" s="8" t="n">
        <v>0.35</v>
      </c>
      <c r="K347" s="8" t="n"/>
      <c r="L347" s="4" t="inlineStr"/>
      <c r="M347" s="5" t="n">
        <v>0</v>
      </c>
      <c r="N347" s="5" t="n">
        <v>1</v>
      </c>
      <c r="O347" s="5" t="n"/>
      <c r="P347" s="4" t="inlineStr">
        <is>
          <t>Longo Prazo</t>
        </is>
      </c>
      <c r="Q347" s="4" t="inlineStr">
        <is>
          <t>Não</t>
        </is>
      </c>
      <c r="R347" s="4" t="inlineStr">
        <is>
          <t>API interna</t>
        </is>
      </c>
      <c r="S347" s="4" t="n">
        <v>1</v>
      </c>
      <c r="T347" s="4" t="inlineStr">
        <is>
          <t>Não</t>
        </is>
      </c>
      <c r="U347" s="4" t="inlineStr">
        <is>
          <t>Sim</t>
        </is>
      </c>
      <c r="V347" s="4" t="inlineStr">
        <is>
          <t>Não</t>
        </is>
      </c>
      <c r="W347" s="4" t="inlineStr"/>
    </row>
    <row r="348">
      <c r="A348" s="4" t="inlineStr">
        <is>
          <t>BTG Pactual</t>
        </is>
      </c>
      <c r="B348" s="4" t="inlineStr">
        <is>
          <t>Icatu Verde Master Prev 60 Qualificado FICFIM RL</t>
        </is>
      </c>
      <c r="C348" s="6" t="inlineStr">
        <is>
          <t>59.134.727/0001-04</t>
        </is>
      </c>
      <c r="D348" s="4" t="inlineStr">
        <is>
          <t>VERDE ASSET MANAGEMENT S.A.</t>
        </is>
      </c>
      <c r="E348" s="4" t="inlineStr">
        <is>
          <t>19.749.539/0001-76</t>
        </is>
      </c>
      <c r="F348" s="4" t="inlineStr">
        <is>
          <t>INTRAG DISTR DE TITULOS EVALORES MOBILIARIOS LTDA</t>
        </is>
      </c>
      <c r="G348" s="4" t="inlineStr">
        <is>
          <t>Multimercado</t>
        </is>
      </c>
      <c r="H348" s="4" t="inlineStr">
        <is>
          <t>Outros</t>
        </is>
      </c>
      <c r="I348" s="7" t="n">
        <v>5000</v>
      </c>
      <c r="J348" s="8" t="n"/>
      <c r="K348" s="8" t="n"/>
      <c r="L348" s="4" t="inlineStr"/>
      <c r="M348" s="5" t="n">
        <v>44</v>
      </c>
      <c r="N348" s="5" t="n">
        <v>46</v>
      </c>
      <c r="O348" s="5" t="n"/>
      <c r="P348" s="4" t="inlineStr">
        <is>
          <t>Longo Prazo</t>
        </is>
      </c>
      <c r="Q348" s="4" t="inlineStr">
        <is>
          <t>Não</t>
        </is>
      </c>
      <c r="R348" s="4" t="inlineStr">
        <is>
          <t>API interna</t>
        </is>
      </c>
      <c r="S348" s="4" t="n">
        <v>1</v>
      </c>
      <c r="T348" s="4" t="inlineStr">
        <is>
          <t>Não</t>
        </is>
      </c>
      <c r="U348" s="4" t="inlineStr">
        <is>
          <t>Sim</t>
        </is>
      </c>
      <c r="V348" s="4" t="inlineStr">
        <is>
          <t>Não</t>
        </is>
      </c>
      <c r="W348" s="4" t="inlineStr"/>
    </row>
    <row r="349">
      <c r="A349" s="4" t="inlineStr">
        <is>
          <t>BTG Pactual</t>
        </is>
      </c>
      <c r="B349" s="4" t="inlineStr">
        <is>
          <t>Indie 100 Icatu Prev FICFIM RL</t>
        </is>
      </c>
      <c r="C349" s="6" t="inlineStr">
        <is>
          <t>35.844.884/0001-45</t>
        </is>
      </c>
      <c r="D349" s="4" t="inlineStr">
        <is>
          <t>INDIE CAPITAL INVESTIMENTOS LTDA.</t>
        </is>
      </c>
      <c r="E349" s="4" t="inlineStr">
        <is>
          <t>14.359.791/0001-55</t>
        </is>
      </c>
      <c r="F349" s="4" t="inlineStr">
        <is>
          <t>BEM DISTRIBUIDORA DE TITULOS E VALORES MOBILIARIOS</t>
        </is>
      </c>
      <c r="G349" s="4" t="inlineStr">
        <is>
          <t>Multimercado</t>
        </is>
      </c>
      <c r="H349" s="4" t="inlineStr">
        <is>
          <t>Renda Variável</t>
        </is>
      </c>
      <c r="I349" s="7" t="n">
        <v>5000</v>
      </c>
      <c r="J349" s="8" t="n">
        <v>2</v>
      </c>
      <c r="K349" s="8" t="n">
        <v>20</v>
      </c>
      <c r="L349" s="4" t="inlineStr">
        <is>
          <t>CDI</t>
        </is>
      </c>
      <c r="M349" s="5" t="n">
        <v>30</v>
      </c>
      <c r="N349" s="5" t="n">
        <v>32</v>
      </c>
      <c r="O349" s="5" t="n"/>
      <c r="P349" s="4" t="inlineStr">
        <is>
          <t>Longo Prazo</t>
        </is>
      </c>
      <c r="Q349" s="4" t="inlineStr">
        <is>
          <t>Não</t>
        </is>
      </c>
      <c r="R349" s="4" t="inlineStr">
        <is>
          <t>API interna</t>
        </is>
      </c>
      <c r="S349" s="4" t="n">
        <v>1</v>
      </c>
      <c r="T349" s="4" t="inlineStr">
        <is>
          <t>Não</t>
        </is>
      </c>
      <c r="U349" s="4" t="inlineStr">
        <is>
          <t>Sim</t>
        </is>
      </c>
      <c r="V349" s="4" t="inlineStr">
        <is>
          <t>Não</t>
        </is>
      </c>
      <c r="W349" s="4" t="inlineStr"/>
    </row>
    <row r="350">
      <c r="A350" s="4" t="inlineStr">
        <is>
          <t>BTG Pactual</t>
        </is>
      </c>
      <c r="B350" s="4" t="inlineStr">
        <is>
          <t>Indie 70 Icatu Prev FIM RL</t>
        </is>
      </c>
      <c r="C350" s="6" t="inlineStr">
        <is>
          <t>29.732.967/0001-40</t>
        </is>
      </c>
      <c r="D350" s="4" t="inlineStr">
        <is>
          <t>INDIE CAPITAL INVESTIMENTOS LTDA.</t>
        </is>
      </c>
      <c r="E350" s="4" t="inlineStr">
        <is>
          <t>14.359.791/0001-55</t>
        </is>
      </c>
      <c r="F350" s="4" t="inlineStr">
        <is>
          <t>BEM DISTRIBUIDORA DE TITULOS E VALORES MOBILIARIOS</t>
        </is>
      </c>
      <c r="G350" s="4" t="inlineStr">
        <is>
          <t>Multimercado</t>
        </is>
      </c>
      <c r="H350" s="4" t="inlineStr">
        <is>
          <t>Renda Variável</t>
        </is>
      </c>
      <c r="I350" s="7" t="n">
        <v>1500</v>
      </c>
      <c r="J350" s="8" t="n">
        <v>1.75</v>
      </c>
      <c r="K350" s="8" t="n"/>
      <c r="L350" s="4" t="inlineStr"/>
      <c r="M350" s="5" t="n">
        <v>7</v>
      </c>
      <c r="N350" s="5" t="n">
        <v>9</v>
      </c>
      <c r="O350" s="5" t="n"/>
      <c r="P350" s="4" t="inlineStr">
        <is>
          <t>Não Aplicável</t>
        </is>
      </c>
      <c r="Q350" s="4" t="inlineStr">
        <is>
          <t>Não</t>
        </is>
      </c>
      <c r="R350" s="4" t="inlineStr">
        <is>
          <t>API interna</t>
        </is>
      </c>
      <c r="S350" s="4" t="n">
        <v>1</v>
      </c>
      <c r="T350" s="4" t="inlineStr">
        <is>
          <t>Não</t>
        </is>
      </c>
      <c r="U350" s="4" t="inlineStr">
        <is>
          <t>Sim</t>
        </is>
      </c>
      <c r="V350" s="4" t="inlineStr">
        <is>
          <t>Não</t>
        </is>
      </c>
      <c r="W350" s="4" t="inlineStr"/>
    </row>
    <row r="351">
      <c r="A351" s="4" t="inlineStr">
        <is>
          <t>BTG Pactual</t>
        </is>
      </c>
      <c r="B351" s="4" t="inlineStr">
        <is>
          <t>Investo Prev Global FIM RL</t>
        </is>
      </c>
      <c r="C351" s="6" t="inlineStr">
        <is>
          <t>61.928.582/0001-65</t>
        </is>
      </c>
      <c r="D351" s="4" t="inlineStr">
        <is>
          <t>INVESTO GESTÃO DE RECURSOS LTDA.</t>
        </is>
      </c>
      <c r="E351" s="4" t="inlineStr">
        <is>
          <t>37.788.647/0001-30</t>
        </is>
      </c>
      <c r="F351" s="4" t="inlineStr">
        <is>
          <t>BTG PACTUAL SERVICOS FINANCEIROS S.A. DISTRIBUIDOR</t>
        </is>
      </c>
      <c r="G351" s="4" t="inlineStr">
        <is>
          <t>Multimercado</t>
        </is>
      </c>
      <c r="H351" s="4" t="inlineStr">
        <is>
          <t>Multimercado</t>
        </is>
      </c>
      <c r="I351" s="7" t="n">
        <v>1000</v>
      </c>
      <c r="J351" s="8" t="n"/>
      <c r="K351" s="8" t="n"/>
      <c r="L351" s="4" t="inlineStr"/>
      <c r="M351" s="5" t="n">
        <v>3</v>
      </c>
      <c r="N351" s="5" t="n">
        <v>5</v>
      </c>
      <c r="O351" s="5" t="n"/>
      <c r="P351" s="4" t="inlineStr">
        <is>
          <t>Curto Prazo</t>
        </is>
      </c>
      <c r="Q351" s="4" t="inlineStr">
        <is>
          <t>Não</t>
        </is>
      </c>
      <c r="R351" s="4" t="inlineStr">
        <is>
          <t>API interna</t>
        </is>
      </c>
      <c r="S351" s="4" t="n">
        <v>1</v>
      </c>
      <c r="T351" s="4" t="inlineStr">
        <is>
          <t>Não</t>
        </is>
      </c>
      <c r="U351" s="4" t="inlineStr">
        <is>
          <t>Sim</t>
        </is>
      </c>
      <c r="V351" s="4" t="inlineStr">
        <is>
          <t>Não</t>
        </is>
      </c>
      <c r="W351" s="4" t="inlineStr"/>
    </row>
    <row r="352">
      <c r="A352" s="4" t="inlineStr">
        <is>
          <t>BTG Pactual</t>
        </is>
      </c>
      <c r="B352" s="4" t="inlineStr">
        <is>
          <t>Itau Flex Prev Vertice Janeiro FICFIM de FI MM Access RL</t>
        </is>
      </c>
      <c r="C352" s="6" t="inlineStr">
        <is>
          <t>51.102.626/0001-40</t>
        </is>
      </c>
      <c r="D352" s="4" t="inlineStr">
        <is>
          <t>BTG PACTUAL GESTÃO E CONSULTORIA DE INVESTIMENTOS LTDA</t>
        </is>
      </c>
      <c r="E352" s="4" t="inlineStr">
        <is>
          <t>12.695.840/0001-03</t>
        </is>
      </c>
      <c r="F352" s="4" t="inlineStr">
        <is>
          <t>BTG PACTUAL SERVICOS FINANCEIROS S.A. DISTRIBUIDOR</t>
        </is>
      </c>
      <c r="G352" s="4" t="inlineStr">
        <is>
          <t>Multimercado</t>
        </is>
      </c>
      <c r="H352" s="4" t="inlineStr">
        <is>
          <t>Multimercado</t>
        </is>
      </c>
      <c r="I352" s="7" t="n">
        <v>1000</v>
      </c>
      <c r="J352" s="8" t="n">
        <v>2</v>
      </c>
      <c r="K352" s="8" t="n"/>
      <c r="L352" s="4" t="inlineStr"/>
      <c r="M352" s="5" t="n">
        <v>21</v>
      </c>
      <c r="N352" s="5" t="n">
        <v>22</v>
      </c>
      <c r="O352" s="5" t="n"/>
      <c r="P352" s="4" t="inlineStr">
        <is>
          <t>Curto Prazo</t>
        </is>
      </c>
      <c r="Q352" s="4" t="inlineStr">
        <is>
          <t>Sim</t>
        </is>
      </c>
      <c r="R352" s="4" t="inlineStr">
        <is>
          <t>API interna</t>
        </is>
      </c>
      <c r="S352" s="4" t="n">
        <v>1</v>
      </c>
      <c r="T352" s="4" t="inlineStr">
        <is>
          <t>Não</t>
        </is>
      </c>
      <c r="U352" s="4" t="inlineStr">
        <is>
          <t>Sim</t>
        </is>
      </c>
      <c r="V352" s="4" t="inlineStr">
        <is>
          <t>Não</t>
        </is>
      </c>
      <c r="W352" s="4" t="inlineStr"/>
    </row>
    <row r="353">
      <c r="A353" s="4" t="inlineStr">
        <is>
          <t>BTG Pactual</t>
        </is>
      </c>
      <c r="B353" s="4" t="inlineStr">
        <is>
          <t>Itau Flexprev Vertice Optimus Titan Prev FICFIM Access CrPr RL</t>
        </is>
      </c>
      <c r="C353" s="6" t="inlineStr">
        <is>
          <t>44.803.603/0001-05</t>
        </is>
      </c>
      <c r="D353" s="4" t="inlineStr">
        <is>
          <t>BTG PACTUAL GESTÃO E CONSULTORIA DE INVESTIMENTOS LTDA</t>
        </is>
      </c>
      <c r="E353" s="4" t="inlineStr">
        <is>
          <t>12.695.840/0001-03</t>
        </is>
      </c>
      <c r="F353" s="4" t="inlineStr">
        <is>
          <t>BTG PACTUAL SERVICOS FINANCEIROS S.A. DISTRIBUIDOR</t>
        </is>
      </c>
      <c r="G353" s="4" t="inlineStr">
        <is>
          <t>Multimercado</t>
        </is>
      </c>
      <c r="H353" s="4" t="inlineStr">
        <is>
          <t>Multimercado</t>
        </is>
      </c>
      <c r="I353" s="7" t="n">
        <v>1000</v>
      </c>
      <c r="J353" s="8" t="n">
        <v>2</v>
      </c>
      <c r="K353" s="8" t="n"/>
      <c r="L353" s="4" t="inlineStr"/>
      <c r="M353" s="5" t="n">
        <v>21</v>
      </c>
      <c r="N353" s="5" t="n">
        <v>22</v>
      </c>
      <c r="O353" s="5" t="n"/>
      <c r="P353" s="4" t="inlineStr">
        <is>
          <t>Curto Prazo</t>
        </is>
      </c>
      <c r="Q353" s="4" t="inlineStr">
        <is>
          <t>Não</t>
        </is>
      </c>
      <c r="R353" s="4" t="inlineStr">
        <is>
          <t>API interna</t>
        </is>
      </c>
      <c r="S353" s="4" t="n">
        <v>1</v>
      </c>
      <c r="T353" s="4" t="inlineStr">
        <is>
          <t>Não</t>
        </is>
      </c>
      <c r="U353" s="4" t="inlineStr">
        <is>
          <t>Sim</t>
        </is>
      </c>
      <c r="V353" s="4" t="inlineStr">
        <is>
          <t>Não</t>
        </is>
      </c>
      <c r="W353" s="4" t="inlineStr"/>
    </row>
    <row r="354">
      <c r="A354" s="4" t="inlineStr">
        <is>
          <t>BTG Pactual</t>
        </is>
      </c>
      <c r="B354" s="4" t="inlineStr">
        <is>
          <t>Itau Global Dinamico Prev BP Dist. Fundo RL</t>
        </is>
      </c>
      <c r="C354" s="6" t="inlineStr">
        <is>
          <t>50.235.964/0001-97</t>
        </is>
      </c>
      <c r="D354" s="4" t="inlineStr">
        <is>
          <t>ITAU UNIBANCO ASSET MANAGEMENT LTDA.</t>
        </is>
      </c>
      <c r="E354" s="4" t="inlineStr">
        <is>
          <t>40.430.971/0001-96</t>
        </is>
      </c>
      <c r="F354" s="4" t="inlineStr">
        <is>
          <t>BTG PACTUAL SERVICOS FINANCEIROS S.A. DISTRIBUIDOR</t>
        </is>
      </c>
      <c r="G354" s="4" t="inlineStr">
        <is>
          <t>Renda Fixa</t>
        </is>
      </c>
      <c r="H354" s="4" t="inlineStr">
        <is>
          <t>Renda Fixa</t>
        </is>
      </c>
      <c r="I354" s="7" t="n">
        <v>1000</v>
      </c>
      <c r="J354" s="8" t="n"/>
      <c r="K354" s="8" t="n">
        <v>20</v>
      </c>
      <c r="L354" s="4" t="inlineStr">
        <is>
          <t>-</t>
        </is>
      </c>
      <c r="M354" s="5" t="n">
        <v>0</v>
      </c>
      <c r="N354" s="5" t="n">
        <v>1</v>
      </c>
      <c r="O354" s="5" t="n"/>
      <c r="P354" s="4" t="inlineStr">
        <is>
          <t>Curto Prazo</t>
        </is>
      </c>
      <c r="Q354" s="4" t="inlineStr">
        <is>
          <t>Não</t>
        </is>
      </c>
      <c r="R354" s="4" t="inlineStr">
        <is>
          <t>API interna</t>
        </is>
      </c>
      <c r="S354" s="4" t="n">
        <v>1</v>
      </c>
      <c r="T354" s="4" t="inlineStr">
        <is>
          <t>Não</t>
        </is>
      </c>
      <c r="U354" s="4" t="inlineStr">
        <is>
          <t>Sim</t>
        </is>
      </c>
      <c r="V354" s="4" t="inlineStr">
        <is>
          <t>Não</t>
        </is>
      </c>
      <c r="W354" s="4" t="inlineStr"/>
    </row>
    <row r="355">
      <c r="A355" s="4" t="inlineStr">
        <is>
          <t>BTG Pactual</t>
        </is>
      </c>
      <c r="B355" s="4" t="inlineStr">
        <is>
          <t>Itau High Yield Prev P Dist. BP Prev Fundo CrPr RL</t>
        </is>
      </c>
      <c r="C355" s="6" t="inlineStr">
        <is>
          <t>42.827.330/0001-03</t>
        </is>
      </c>
      <c r="D355" s="4" t="inlineStr">
        <is>
          <t>ITAU UNIBANCO ASSET MANAGEMENT LTDA.</t>
        </is>
      </c>
      <c r="E355" s="4" t="inlineStr">
        <is>
          <t>40.430.971/0001-96</t>
        </is>
      </c>
      <c r="F355" s="4" t="inlineStr">
        <is>
          <t>BTG PACTUAL SERVICOS FINANCEIROS S.A. DISTRIBUIDOR</t>
        </is>
      </c>
      <c r="G355" s="4" t="inlineStr">
        <is>
          <t>Renda Fixa</t>
        </is>
      </c>
      <c r="H355" s="4" t="inlineStr">
        <is>
          <t>Renda Fixa</t>
        </is>
      </c>
      <c r="I355" s="7" t="n">
        <v>1000</v>
      </c>
      <c r="J355" s="8" t="n"/>
      <c r="K355" s="8" t="n"/>
      <c r="L355" s="4" t="inlineStr"/>
      <c r="M355" s="5" t="n">
        <v>2</v>
      </c>
      <c r="N355" s="5" t="n">
        <v>3</v>
      </c>
      <c r="O355" s="5" t="n"/>
      <c r="P355" s="4" t="inlineStr">
        <is>
          <t>Curto Prazo</t>
        </is>
      </c>
      <c r="Q355" s="4" t="inlineStr">
        <is>
          <t>Não</t>
        </is>
      </c>
      <c r="R355" s="4" t="inlineStr">
        <is>
          <t>API interna</t>
        </is>
      </c>
      <c r="S355" s="4" t="n">
        <v>1</v>
      </c>
      <c r="T355" s="4" t="inlineStr">
        <is>
          <t>Não</t>
        </is>
      </c>
      <c r="U355" s="4" t="inlineStr">
        <is>
          <t>Sim</t>
        </is>
      </c>
      <c r="V355" s="4" t="inlineStr">
        <is>
          <t>Não</t>
        </is>
      </c>
      <c r="W355" s="4" t="inlineStr"/>
    </row>
    <row r="356">
      <c r="A356" s="4" t="inlineStr">
        <is>
          <t>BTG Pactual</t>
        </is>
      </c>
      <c r="B356" s="4" t="inlineStr">
        <is>
          <t>Itau Macro Opportunities Mult Prev Dist. BTG FICFIM RL</t>
        </is>
      </c>
      <c r="C356" s="6" t="inlineStr">
        <is>
          <t>31.820.618/0001-21</t>
        </is>
      </c>
      <c r="D356" s="4" t="inlineStr">
        <is>
          <t>ITAU UNIBANCO ASSET MANAGEMENT LTDA.</t>
        </is>
      </c>
      <c r="E356" s="4" t="inlineStr">
        <is>
          <t>40.430.971/0001-96</t>
        </is>
      </c>
      <c r="F356" s="4" t="inlineStr">
        <is>
          <t>INTRAG DISTR DE TITULOS EVALORES MOBILIARIOS LTDA</t>
        </is>
      </c>
      <c r="G356" s="4" t="inlineStr">
        <is>
          <t>Multimercado</t>
        </is>
      </c>
      <c r="H356" s="4" t="inlineStr">
        <is>
          <t>Multimercado</t>
        </is>
      </c>
      <c r="I356" s="7" t="n">
        <v>0</v>
      </c>
      <c r="J356" s="8" t="n">
        <v>2</v>
      </c>
      <c r="K356" s="8" t="n">
        <v>20</v>
      </c>
      <c r="L356" s="4" t="inlineStr">
        <is>
          <t>CDI</t>
        </is>
      </c>
      <c r="M356" s="5" t="n">
        <v>21</v>
      </c>
      <c r="N356" s="5" t="n">
        <v>22</v>
      </c>
      <c r="O356" s="5" t="n"/>
      <c r="P356" s="4" t="inlineStr">
        <is>
          <t>Longo Prazo</t>
        </is>
      </c>
      <c r="Q356" s="4" t="inlineStr">
        <is>
          <t>Sim</t>
        </is>
      </c>
      <c r="R356" s="4" t="inlineStr">
        <is>
          <t>API interna</t>
        </is>
      </c>
      <c r="S356" s="4" t="n">
        <v>1</v>
      </c>
      <c r="T356" s="4" t="inlineStr">
        <is>
          <t>Não</t>
        </is>
      </c>
      <c r="U356" s="4" t="inlineStr">
        <is>
          <t>Sim</t>
        </is>
      </c>
      <c r="V356" s="4" t="inlineStr">
        <is>
          <t>Não</t>
        </is>
      </c>
      <c r="W356" s="4" t="inlineStr"/>
    </row>
    <row r="357">
      <c r="A357" s="4" t="inlineStr">
        <is>
          <t>BTG Pactual</t>
        </is>
      </c>
      <c r="B357" s="4" t="inlineStr">
        <is>
          <t>Itau Optimus Prev BTG Dist. FICFIRF LP RL</t>
        </is>
      </c>
      <c r="C357" s="6" t="inlineStr">
        <is>
          <t>30.419.083/0001-19</t>
        </is>
      </c>
      <c r="D357" s="4" t="inlineStr">
        <is>
          <t>ITAU UNIBANCO ASSET MANAGEMENT LTDA.</t>
        </is>
      </c>
      <c r="E357" s="4" t="inlineStr">
        <is>
          <t>40.430.971/0001-96</t>
        </is>
      </c>
      <c r="F357" s="4" t="inlineStr">
        <is>
          <t>INTRAG DISTR DE TITULOS EVALORES MOBILIARIOS LTDA</t>
        </is>
      </c>
      <c r="G357" s="4" t="inlineStr">
        <is>
          <t>Renda Fixa</t>
        </is>
      </c>
      <c r="H357" s="4" t="inlineStr">
        <is>
          <t>Renda Fixa</t>
        </is>
      </c>
      <c r="I357" s="7" t="n">
        <v>1000</v>
      </c>
      <c r="J357" s="8" t="n">
        <v>0.9</v>
      </c>
      <c r="K357" s="8" t="n">
        <v>20</v>
      </c>
      <c r="L357" s="4" t="inlineStr">
        <is>
          <t>CDI</t>
        </is>
      </c>
      <c r="M357" s="5" t="n">
        <v>0</v>
      </c>
      <c r="N357" s="5" t="n">
        <v>1</v>
      </c>
      <c r="O357" s="5" t="n"/>
      <c r="P357" s="4" t="inlineStr">
        <is>
          <t>Longo Prazo</t>
        </is>
      </c>
      <c r="Q357" s="4" t="inlineStr">
        <is>
          <t>Não</t>
        </is>
      </c>
      <c r="R357" s="4" t="inlineStr">
        <is>
          <t>API interna</t>
        </is>
      </c>
      <c r="S357" s="4" t="n">
        <v>1</v>
      </c>
      <c r="T357" s="4" t="inlineStr">
        <is>
          <t>Não</t>
        </is>
      </c>
      <c r="U357" s="4" t="inlineStr">
        <is>
          <t>Sim</t>
        </is>
      </c>
      <c r="V357" s="4" t="inlineStr">
        <is>
          <t>Não</t>
        </is>
      </c>
      <c r="W357" s="4" t="inlineStr"/>
    </row>
    <row r="358">
      <c r="A358" s="4" t="inlineStr">
        <is>
          <t>BTG Pactual</t>
        </is>
      </c>
      <c r="B358" s="4" t="inlineStr">
        <is>
          <t>Itau Sinfonia Prev FICFIM Access CrPr RL</t>
        </is>
      </c>
      <c r="C358" s="6" t="inlineStr">
        <is>
          <t>54.304.929/0001-33</t>
        </is>
      </c>
      <c r="D358" s="4" t="inlineStr">
        <is>
          <t>BTG PACTUAL GESTÃO E CONSULTORIA DE INVESTIMENTOS LTDA</t>
        </is>
      </c>
      <c r="E358" s="4" t="inlineStr">
        <is>
          <t>12.695.840/0001-03</t>
        </is>
      </c>
      <c r="F358" s="4" t="inlineStr">
        <is>
          <t>BTG PACTUAL SERVICOS FINANCEIROS S.A. DISTRIBUIDOR</t>
        </is>
      </c>
      <c r="G358" s="4" t="inlineStr">
        <is>
          <t>Multimercado</t>
        </is>
      </c>
      <c r="H358" s="4" t="inlineStr">
        <is>
          <t>Renda Fixa</t>
        </is>
      </c>
      <c r="I358" s="7" t="n">
        <v>1000</v>
      </c>
      <c r="J358" s="8" t="n">
        <v>0.64</v>
      </c>
      <c r="K358" s="8" t="n"/>
      <c r="L358" s="4" t="inlineStr"/>
      <c r="M358" s="5" t="n">
        <v>9</v>
      </c>
      <c r="N358" s="5" t="n">
        <v>10</v>
      </c>
      <c r="O358" s="5" t="n"/>
      <c r="P358" s="4" t="inlineStr">
        <is>
          <t>Curto Prazo</t>
        </is>
      </c>
      <c r="Q358" s="4" t="inlineStr">
        <is>
          <t>Não</t>
        </is>
      </c>
      <c r="R358" s="4" t="inlineStr">
        <is>
          <t>API interna</t>
        </is>
      </c>
      <c r="S358" s="4" t="n">
        <v>1</v>
      </c>
      <c r="T358" s="4" t="inlineStr">
        <is>
          <t>Não</t>
        </is>
      </c>
      <c r="U358" s="4" t="inlineStr">
        <is>
          <t>Sim</t>
        </is>
      </c>
      <c r="V358" s="4" t="inlineStr">
        <is>
          <t>Não</t>
        </is>
      </c>
      <c r="W358" s="4" t="inlineStr"/>
    </row>
    <row r="359">
      <c r="A359" s="4" t="inlineStr">
        <is>
          <t>BTG Pactual</t>
        </is>
      </c>
      <c r="B359" s="4" t="inlineStr">
        <is>
          <t>Itau Vertice Janeiro Prev FIF FIC FIRF Access</t>
        </is>
      </c>
      <c r="C359" s="6" t="inlineStr">
        <is>
          <t>54.254.287/0001-05</t>
        </is>
      </c>
      <c r="D359" s="4" t="inlineStr">
        <is>
          <t>BTG PACTUAL GESTÃO E CONSULTORIA DE INVESTIMENTOS LTDA</t>
        </is>
      </c>
      <c r="E359" s="4" t="inlineStr">
        <is>
          <t>12.695.840/0001-03</t>
        </is>
      </c>
      <c r="F359" s="4" t="inlineStr">
        <is>
          <t>BTG PACTUAL SERVICOS FINANCEIROS S.A. DISTRIBUIDOR</t>
        </is>
      </c>
      <c r="G359" s="4" t="inlineStr">
        <is>
          <t>Renda Fixa</t>
        </is>
      </c>
      <c r="H359" s="4" t="inlineStr">
        <is>
          <t>Renda Fixa</t>
        </is>
      </c>
      <c r="I359" s="7" t="n">
        <v>0</v>
      </c>
      <c r="J359" s="8" t="n">
        <v>0.9</v>
      </c>
      <c r="K359" s="8" t="n"/>
      <c r="L359" s="4" t="inlineStr"/>
      <c r="M359" s="5" t="n">
        <v>0</v>
      </c>
      <c r="N359" s="5" t="n">
        <v>1</v>
      </c>
      <c r="O359" s="5" t="n"/>
      <c r="P359" s="4" t="inlineStr">
        <is>
          <t>Curto Prazo</t>
        </is>
      </c>
      <c r="Q359" s="4" t="inlineStr">
        <is>
          <t>Sim</t>
        </is>
      </c>
      <c r="R359" s="4" t="inlineStr">
        <is>
          <t>API interna</t>
        </is>
      </c>
      <c r="S359" s="4" t="n">
        <v>1</v>
      </c>
      <c r="T359" s="4" t="inlineStr">
        <is>
          <t>Não</t>
        </is>
      </c>
      <c r="U359" s="4" t="inlineStr">
        <is>
          <t>Sim</t>
        </is>
      </c>
      <c r="V359" s="4" t="inlineStr">
        <is>
          <t>Não</t>
        </is>
      </c>
      <c r="W359" s="4" t="inlineStr"/>
    </row>
    <row r="360">
      <c r="A360" s="4" t="inlineStr">
        <is>
          <t>BTG Pactual</t>
        </is>
      </c>
      <c r="B360" s="4" t="inlineStr">
        <is>
          <t>Itaú Dual Advanced Prev FIF FIC MM Access</t>
        </is>
      </c>
      <c r="C360" s="6" t="inlineStr">
        <is>
          <t>68.134.799/0001-42</t>
        </is>
      </c>
      <c r="D360" s="4" t="inlineStr">
        <is>
          <t>BTG PACTUAL GESTÃO E CONSULTORIA DE INVESTIMENTOS LTDA</t>
        </is>
      </c>
      <c r="E360" s="4" t="inlineStr">
        <is>
          <t>12.695.840/0001-03</t>
        </is>
      </c>
      <c r="F360" s="4" t="inlineStr">
        <is>
          <t>BTG PACTUAL SERVICOS FINANCEIROS S.A. DISTRIBUIDOR</t>
        </is>
      </c>
      <c r="G360" s="4" t="inlineStr">
        <is>
          <t>Multimercado</t>
        </is>
      </c>
      <c r="H360" s="4" t="inlineStr">
        <is>
          <t>Renda Fixa</t>
        </is>
      </c>
      <c r="I360" s="7" t="n">
        <v>1000</v>
      </c>
      <c r="J360" s="8" t="n">
        <v>0.7000000000000001</v>
      </c>
      <c r="K360" s="8" t="n"/>
      <c r="L360" s="4" t="inlineStr"/>
      <c r="M360" s="5" t="n">
        <v>10</v>
      </c>
      <c r="N360" s="5" t="n">
        <v>12</v>
      </c>
      <c r="O360" s="5" t="n"/>
      <c r="P360" s="4" t="inlineStr">
        <is>
          <t>Longo Prazo</t>
        </is>
      </c>
      <c r="Q360" s="4" t="inlineStr">
        <is>
          <t>Sim</t>
        </is>
      </c>
      <c r="R360" s="4" t="inlineStr">
        <is>
          <t>API interna</t>
        </is>
      </c>
      <c r="S360" s="4" t="n">
        <v>1</v>
      </c>
      <c r="T360" s="4" t="inlineStr">
        <is>
          <t>Não</t>
        </is>
      </c>
      <c r="U360" s="4" t="inlineStr">
        <is>
          <t>Sim</t>
        </is>
      </c>
      <c r="V360" s="4" t="inlineStr">
        <is>
          <t>Não</t>
        </is>
      </c>
      <c r="W360" s="4" t="inlineStr"/>
    </row>
    <row r="361">
      <c r="A361" s="4" t="inlineStr">
        <is>
          <t>BTG Pactual</t>
        </is>
      </c>
      <c r="B361" s="4" t="inlineStr">
        <is>
          <t>JGP BP Cred Prev Ipca FICFIRF LP CrPr RL</t>
        </is>
      </c>
      <c r="C361" s="6" t="inlineStr">
        <is>
          <t>44.643.217/0001-95</t>
        </is>
      </c>
      <c r="D361" s="4" t="inlineStr">
        <is>
          <t>LETO ASSET MANAGEMENT LTDA</t>
        </is>
      </c>
      <c r="E361" s="4" t="inlineStr">
        <is>
          <t>13.189.882/0001-27</t>
        </is>
      </c>
      <c r="F361" s="4" t="inlineStr">
        <is>
          <t>BNY MELLON SERVICOS FINANCEIROS DTVM S/A</t>
        </is>
      </c>
      <c r="G361" s="4" t="inlineStr">
        <is>
          <t>Renda Fixa</t>
        </is>
      </c>
      <c r="H361" s="4" t="inlineStr">
        <is>
          <t>Renda Fixa</t>
        </is>
      </c>
      <c r="I361" s="7" t="n">
        <v>1000</v>
      </c>
      <c r="J361" s="8" t="n">
        <v>1.2</v>
      </c>
      <c r="K361" s="8" t="n"/>
      <c r="L361" s="4" t="inlineStr"/>
      <c r="M361" s="5" t="n">
        <v>5</v>
      </c>
      <c r="N361" s="5" t="n">
        <v>7</v>
      </c>
      <c r="O361" s="5" t="n"/>
      <c r="P361" s="4" t="inlineStr">
        <is>
          <t>Longo Prazo</t>
        </is>
      </c>
      <c r="Q361" s="4" t="inlineStr">
        <is>
          <t>Não</t>
        </is>
      </c>
      <c r="R361" s="4" t="inlineStr">
        <is>
          <t>API interna</t>
        </is>
      </c>
      <c r="S361" s="4" t="n">
        <v>1</v>
      </c>
      <c r="T361" s="4" t="inlineStr">
        <is>
          <t>Não</t>
        </is>
      </c>
      <c r="U361" s="4" t="inlineStr">
        <is>
          <t>Sim</t>
        </is>
      </c>
      <c r="V361" s="4" t="inlineStr">
        <is>
          <t>Não</t>
        </is>
      </c>
      <c r="W361" s="4" t="inlineStr"/>
    </row>
    <row r="362">
      <c r="A362" s="4" t="inlineStr">
        <is>
          <t>BTG Pactual</t>
        </is>
      </c>
      <c r="B362" s="4" t="inlineStr">
        <is>
          <t>JGP BP Prev FICFIM CrPr RL</t>
        </is>
      </c>
      <c r="C362" s="6" t="inlineStr">
        <is>
          <t>38.075.290/0001-05</t>
        </is>
      </c>
      <c r="D362" s="4" t="inlineStr">
        <is>
          <t>JGP GESTÃO DE RECURSOS LTDA</t>
        </is>
      </c>
      <c r="E362" s="4" t="inlineStr">
        <is>
          <t>02.312.792/0001-65</t>
        </is>
      </c>
      <c r="F362" s="4" t="inlineStr">
        <is>
          <t>SUL AMERICA INVESTIMENTOS DISTRIBUIDORA DE TITULOS</t>
        </is>
      </c>
      <c r="G362" s="4" t="inlineStr">
        <is>
          <t>Multimercado</t>
        </is>
      </c>
      <c r="H362" s="4" t="inlineStr">
        <is>
          <t>Multimercado</t>
        </is>
      </c>
      <c r="I362" s="7" t="n">
        <v>1000</v>
      </c>
      <c r="J362" s="8" t="n">
        <v>2</v>
      </c>
      <c r="K362" s="8" t="n"/>
      <c r="L362" s="4" t="inlineStr"/>
      <c r="M362" s="5" t="n">
        <v>1</v>
      </c>
      <c r="N362" s="5" t="n">
        <v>3</v>
      </c>
      <c r="O362" s="5" t="n"/>
      <c r="P362" s="4" t="inlineStr">
        <is>
          <t>Longo Prazo</t>
        </is>
      </c>
      <c r="Q362" s="4" t="inlineStr">
        <is>
          <t>Não</t>
        </is>
      </c>
      <c r="R362" s="4" t="inlineStr">
        <is>
          <t>API interna</t>
        </is>
      </c>
      <c r="S362" s="4" t="n">
        <v>1</v>
      </c>
      <c r="T362" s="4" t="inlineStr">
        <is>
          <t>Não</t>
        </is>
      </c>
      <c r="U362" s="4" t="inlineStr">
        <is>
          <t>Sim</t>
        </is>
      </c>
      <c r="V362" s="4" t="inlineStr">
        <is>
          <t>Não</t>
        </is>
      </c>
      <c r="W362" s="4" t="inlineStr"/>
    </row>
    <row r="363">
      <c r="A363" s="4" t="inlineStr">
        <is>
          <t>BTG Pactual</t>
        </is>
      </c>
      <c r="B363" s="4" t="inlineStr">
        <is>
          <t>Jubarte Migration FIE Prev FIM RL</t>
        </is>
      </c>
      <c r="C363" s="6" t="inlineStr">
        <is>
          <t>60.314.455/0001-03</t>
        </is>
      </c>
      <c r="D363" s="4" t="inlineStr">
        <is>
          <t>JUBARTE STRATEGIC CAPITAL LTDA.</t>
        </is>
      </c>
      <c r="E363" s="4" t="inlineStr">
        <is>
          <t>50.184.375/0001-27</t>
        </is>
      </c>
      <c r="F363" s="4" t="inlineStr">
        <is>
          <t>BTG PACTUAL SERVICOS FINANCEIROS S.A. DISTRIBUIDOR</t>
        </is>
      </c>
      <c r="G363" s="4" t="inlineStr">
        <is>
          <t>Multimercado</t>
        </is>
      </c>
      <c r="H363" s="4" t="inlineStr">
        <is>
          <t>Multimercado</t>
        </is>
      </c>
      <c r="I363" s="7" t="n">
        <v>1000</v>
      </c>
      <c r="J363" s="8" t="n">
        <v>1.8</v>
      </c>
      <c r="K363" s="8" t="n">
        <v>20</v>
      </c>
      <c r="L363" s="4" t="inlineStr">
        <is>
          <t>-</t>
        </is>
      </c>
      <c r="M363" s="5" t="n">
        <v>30</v>
      </c>
      <c r="N363" s="5" t="n">
        <v>31</v>
      </c>
      <c r="O363" s="5" t="n"/>
      <c r="P363" s="4" t="inlineStr">
        <is>
          <t>Curto Prazo</t>
        </is>
      </c>
      <c r="Q363" s="4" t="inlineStr">
        <is>
          <t>Não</t>
        </is>
      </c>
      <c r="R363" s="4" t="inlineStr">
        <is>
          <t>API interna</t>
        </is>
      </c>
      <c r="S363" s="4" t="n">
        <v>1</v>
      </c>
      <c r="T363" s="4" t="inlineStr">
        <is>
          <t>Não</t>
        </is>
      </c>
      <c r="U363" s="4" t="inlineStr">
        <is>
          <t>Sim</t>
        </is>
      </c>
      <c r="V363" s="4" t="inlineStr">
        <is>
          <t>Não</t>
        </is>
      </c>
      <c r="W363" s="4" t="inlineStr"/>
    </row>
    <row r="364">
      <c r="A364" s="4" t="inlineStr">
        <is>
          <t>BTG Pactual</t>
        </is>
      </c>
      <c r="B364" s="4" t="inlineStr">
        <is>
          <t>Kadima Imab Prev FICFIM Access RL</t>
        </is>
      </c>
      <c r="C364" s="6" t="inlineStr">
        <is>
          <t>54.174.638/0001-78</t>
        </is>
      </c>
      <c r="D364" s="4" t="inlineStr">
        <is>
          <t>BTG PACTUAL GESTÃO E CONSULTORIA DE INVESTIMENTOS LTDA</t>
        </is>
      </c>
      <c r="E364" s="4" t="inlineStr">
        <is>
          <t>12.695.840/0001-03</t>
        </is>
      </c>
      <c r="F364" s="4" t="inlineStr">
        <is>
          <t>BTG PACTUAL SERVICOS FINANCEIROS S.A. DISTRIBUIDOR</t>
        </is>
      </c>
      <c r="G364" s="4" t="inlineStr">
        <is>
          <t>Multimercado</t>
        </is>
      </c>
      <c r="H364" s="4" t="inlineStr">
        <is>
          <t>Renda Fixa</t>
        </is>
      </c>
      <c r="I364" s="7" t="n">
        <v>0</v>
      </c>
      <c r="J364" s="8" t="n"/>
      <c r="K364" s="8" t="n"/>
      <c r="L364" s="4" t="inlineStr"/>
      <c r="M364" s="5" t="n">
        <v>5</v>
      </c>
      <c r="N364" s="5" t="n">
        <v>6</v>
      </c>
      <c r="O364" s="5" t="n"/>
      <c r="P364" s="4" t="inlineStr">
        <is>
          <t>Curto Prazo</t>
        </is>
      </c>
      <c r="Q364" s="4" t="inlineStr">
        <is>
          <t>Não</t>
        </is>
      </c>
      <c r="R364" s="4" t="inlineStr">
        <is>
          <t>API interna</t>
        </is>
      </c>
      <c r="S364" s="4" t="n">
        <v>1</v>
      </c>
      <c r="T364" s="4" t="inlineStr">
        <is>
          <t>Não</t>
        </is>
      </c>
      <c r="U364" s="4" t="inlineStr">
        <is>
          <t>Sim</t>
        </is>
      </c>
      <c r="V364" s="4" t="inlineStr">
        <is>
          <t>Não</t>
        </is>
      </c>
      <c r="W364" s="4" t="inlineStr"/>
    </row>
    <row r="365">
      <c r="A365" s="4" t="inlineStr">
        <is>
          <t>BTG Pactual</t>
        </is>
      </c>
      <c r="B365" s="4" t="inlineStr">
        <is>
          <t>Kadima Long Short Prev FICFIM RL</t>
        </is>
      </c>
      <c r="C365" s="6" t="inlineStr">
        <is>
          <t>35.020.129/0001-46</t>
        </is>
      </c>
      <c r="D365" s="4" t="inlineStr">
        <is>
          <t>KADIMA GESTAO DE INVESTIMENTOS LTDA</t>
        </is>
      </c>
      <c r="E365" s="4" t="inlineStr">
        <is>
          <t>08.792.073/0001-75</t>
        </is>
      </c>
      <c r="F365" s="4" t="inlineStr">
        <is>
          <t>BTG PACTUAL SERVICOS FINANCEIROS S.A. DISTRIBUIDOR</t>
        </is>
      </c>
      <c r="G365" s="4" t="inlineStr">
        <is>
          <t>Multimercado</t>
        </is>
      </c>
      <c r="H365" s="4" t="inlineStr">
        <is>
          <t>Renda Variável</t>
        </is>
      </c>
      <c r="I365" s="7" t="n">
        <v>1000</v>
      </c>
      <c r="J365" s="8" t="n"/>
      <c r="K365" s="8" t="n"/>
      <c r="L365" s="4" t="inlineStr"/>
      <c r="M365" s="5" t="n">
        <v>5</v>
      </c>
      <c r="N365" s="5" t="n">
        <v>7</v>
      </c>
      <c r="O365" s="5" t="n"/>
      <c r="P365" s="4" t="inlineStr">
        <is>
          <t>Curto Prazo</t>
        </is>
      </c>
      <c r="Q365" s="4" t="inlineStr">
        <is>
          <t>Não</t>
        </is>
      </c>
      <c r="R365" s="4" t="inlineStr">
        <is>
          <t>API interna</t>
        </is>
      </c>
      <c r="S365" s="4" t="n">
        <v>1</v>
      </c>
      <c r="T365" s="4" t="inlineStr">
        <is>
          <t>Não</t>
        </is>
      </c>
      <c r="U365" s="4" t="inlineStr">
        <is>
          <t>Sim</t>
        </is>
      </c>
      <c r="V365" s="4" t="inlineStr">
        <is>
          <t>Não</t>
        </is>
      </c>
      <c r="W365" s="4" t="inlineStr"/>
    </row>
    <row r="366">
      <c r="A366" s="4" t="inlineStr">
        <is>
          <t>BTG Pactual</t>
        </is>
      </c>
      <c r="B366" s="4" t="inlineStr">
        <is>
          <t>Kapitalo K10 Global BP Prev FICFIM CrPr RL</t>
        </is>
      </c>
      <c r="C366" s="6" t="inlineStr">
        <is>
          <t>41.498.482/0001-39</t>
        </is>
      </c>
      <c r="D366" s="4" t="inlineStr">
        <is>
          <t>BTG PACTUAL GESTÃO E CONSULTORIA DE INVESTIMENTOS LTDA</t>
        </is>
      </c>
      <c r="E366" s="4" t="inlineStr">
        <is>
          <t>12.695.840/0001-03</t>
        </is>
      </c>
      <c r="F366" s="4" t="inlineStr">
        <is>
          <t>BTG PACTUAL SERVICOS FINANCEIROS S.A. DISTRIBUIDOR</t>
        </is>
      </c>
      <c r="G366" s="4" t="inlineStr">
        <is>
          <t>Multimercado</t>
        </is>
      </c>
      <c r="H366" s="4" t="inlineStr">
        <is>
          <t>Multimercado</t>
        </is>
      </c>
      <c r="I366" s="7" t="n">
        <v>0</v>
      </c>
      <c r="J366" s="8" t="n">
        <v>0.75</v>
      </c>
      <c r="K366" s="8" t="n"/>
      <c r="L366" s="4" t="inlineStr"/>
      <c r="M366" s="5" t="n">
        <v>7</v>
      </c>
      <c r="N366" s="5" t="n">
        <v>9</v>
      </c>
      <c r="O366" s="5" t="n"/>
      <c r="P366" s="4" t="inlineStr">
        <is>
          <t>Curto Prazo</t>
        </is>
      </c>
      <c r="Q366" s="4" t="inlineStr">
        <is>
          <t>Não</t>
        </is>
      </c>
      <c r="R366" s="4" t="inlineStr">
        <is>
          <t>API interna</t>
        </is>
      </c>
      <c r="S366" s="4" t="n">
        <v>1</v>
      </c>
      <c r="T366" s="4" t="inlineStr">
        <is>
          <t>Não</t>
        </is>
      </c>
      <c r="U366" s="4" t="inlineStr">
        <is>
          <t>Sim</t>
        </is>
      </c>
      <c r="V366" s="4" t="inlineStr">
        <is>
          <t>Não</t>
        </is>
      </c>
      <c r="W366" s="4" t="inlineStr"/>
    </row>
    <row r="367">
      <c r="A367" s="4" t="inlineStr">
        <is>
          <t>BTG Pactual</t>
        </is>
      </c>
      <c r="B367" s="4" t="inlineStr">
        <is>
          <t>Kapitalo Kappa BP Qualificado Prev FICFIM RL</t>
        </is>
      </c>
      <c r="C367" s="6" t="inlineStr">
        <is>
          <t>41.745.725/0001-96</t>
        </is>
      </c>
      <c r="D367" s="4" t="inlineStr">
        <is>
          <t>BTG PACTUAL GESTÃO E CONSULTORIA DE INVESTIMENTOS LTDA</t>
        </is>
      </c>
      <c r="E367" s="4" t="inlineStr">
        <is>
          <t>12.695.840/0001-03</t>
        </is>
      </c>
      <c r="F367" s="4" t="inlineStr">
        <is>
          <t>BTG PACTUAL SERVICOS FINANCEIROS S.A. DISTRIBUIDOR</t>
        </is>
      </c>
      <c r="G367" s="4" t="inlineStr">
        <is>
          <t>Multimercado</t>
        </is>
      </c>
      <c r="H367" s="4" t="inlineStr">
        <is>
          <t>Multimercado</t>
        </is>
      </c>
      <c r="I367" s="7" t="n">
        <v>0</v>
      </c>
      <c r="J367" s="8" t="n">
        <v>0.75</v>
      </c>
      <c r="K367" s="8" t="n"/>
      <c r="L367" s="4" t="inlineStr"/>
      <c r="M367" s="5" t="n">
        <v>22</v>
      </c>
      <c r="N367" s="5" t="n">
        <v>24</v>
      </c>
      <c r="O367" s="5" t="n"/>
      <c r="P367" s="4" t="inlineStr">
        <is>
          <t>Curto Prazo</t>
        </is>
      </c>
      <c r="Q367" s="4" t="inlineStr">
        <is>
          <t>Não</t>
        </is>
      </c>
      <c r="R367" s="4" t="inlineStr">
        <is>
          <t>API interna</t>
        </is>
      </c>
      <c r="S367" s="4" t="n">
        <v>1</v>
      </c>
      <c r="T367" s="4" t="inlineStr">
        <is>
          <t>Não</t>
        </is>
      </c>
      <c r="U367" s="4" t="inlineStr">
        <is>
          <t>Sim</t>
        </is>
      </c>
      <c r="V367" s="4" t="inlineStr">
        <is>
          <t>Não</t>
        </is>
      </c>
      <c r="W367" s="4" t="inlineStr"/>
    </row>
    <row r="368">
      <c r="A368" s="4" t="inlineStr">
        <is>
          <t>BTG Pactual</t>
        </is>
      </c>
      <c r="B368" s="4" t="inlineStr">
        <is>
          <t>Kapitalo Zeta Prev FICFIM Access RL</t>
        </is>
      </c>
      <c r="C368" s="6" t="inlineStr">
        <is>
          <t>55.136.698/0001-69</t>
        </is>
      </c>
      <c r="D368" s="4" t="inlineStr">
        <is>
          <t>BTG PACTUAL GESTÃO E CONSULTORIA DE INVESTIMENTOS LTDA</t>
        </is>
      </c>
      <c r="E368" s="4" t="inlineStr">
        <is>
          <t>12.695.840/0001-03</t>
        </is>
      </c>
      <c r="F368" s="4" t="inlineStr">
        <is>
          <t>BTG PACTUAL SERVICOS FINANCEIROS S.A. DISTRIBUIDOR</t>
        </is>
      </c>
      <c r="G368" s="4" t="inlineStr">
        <is>
          <t>Multimercado</t>
        </is>
      </c>
      <c r="H368" s="4" t="inlineStr">
        <is>
          <t>Multimercado</t>
        </is>
      </c>
      <c r="I368" s="7" t="n">
        <v>0</v>
      </c>
      <c r="J368" s="8" t="n">
        <v>2</v>
      </c>
      <c r="K368" s="8" t="n">
        <v>20</v>
      </c>
      <c r="L368" s="4" t="inlineStr">
        <is>
          <t>-</t>
        </is>
      </c>
      <c r="M368" s="5" t="n">
        <v>44</v>
      </c>
      <c r="N368" s="5" t="n">
        <v>46</v>
      </c>
      <c r="O368" s="5" t="n"/>
      <c r="P368" s="4" t="inlineStr">
        <is>
          <t>Curto Prazo</t>
        </is>
      </c>
      <c r="Q368" s="4" t="inlineStr">
        <is>
          <t>Não</t>
        </is>
      </c>
      <c r="R368" s="4" t="inlineStr">
        <is>
          <t>API interna</t>
        </is>
      </c>
      <c r="S368" s="4" t="n">
        <v>1</v>
      </c>
      <c r="T368" s="4" t="inlineStr">
        <is>
          <t>Não</t>
        </is>
      </c>
      <c r="U368" s="4" t="inlineStr">
        <is>
          <t>Sim</t>
        </is>
      </c>
      <c r="V368" s="4" t="inlineStr">
        <is>
          <t>Não</t>
        </is>
      </c>
      <c r="W368" s="4" t="inlineStr"/>
    </row>
    <row r="369">
      <c r="A369" s="4" t="inlineStr">
        <is>
          <t>BTG Pactual</t>
        </is>
      </c>
      <c r="B369" s="4" t="inlineStr">
        <is>
          <t>Kinea Alpes Prev BTG Prev FICFIRF CrPr RL</t>
        </is>
      </c>
      <c r="C369" s="6" t="inlineStr">
        <is>
          <t>55.019.754/0001-85</t>
        </is>
      </c>
      <c r="D369" s="4" t="inlineStr">
        <is>
          <t>BTG PACTUAL GESTÃO E CONSULTORIA DE INVESTIMENTOS LTDA</t>
        </is>
      </c>
      <c r="E369" s="4" t="inlineStr">
        <is>
          <t>12.695.840/0001-03</t>
        </is>
      </c>
      <c r="F369" s="4" t="inlineStr">
        <is>
          <t>BTG PACTUAL SERVICOS FINANCEIROS S.A. DISTRIBUIDOR</t>
        </is>
      </c>
      <c r="G369" s="4" t="inlineStr">
        <is>
          <t>Renda Fixa</t>
        </is>
      </c>
      <c r="H369" s="4" t="inlineStr">
        <is>
          <t>Renda Fixa</t>
        </is>
      </c>
      <c r="I369" s="7" t="n">
        <v>1000</v>
      </c>
      <c r="J369" s="8" t="n">
        <v>1</v>
      </c>
      <c r="K369" s="8" t="n"/>
      <c r="L369" s="4" t="inlineStr"/>
      <c r="M369" s="5" t="n">
        <v>8</v>
      </c>
      <c r="N369" s="5" t="n">
        <v>9</v>
      </c>
      <c r="O369" s="5" t="n"/>
      <c r="P369" s="4" t="inlineStr">
        <is>
          <t>Curto Prazo</t>
        </is>
      </c>
      <c r="Q369" s="4" t="inlineStr">
        <is>
          <t>Não</t>
        </is>
      </c>
      <c r="R369" s="4" t="inlineStr">
        <is>
          <t>API interna</t>
        </is>
      </c>
      <c r="S369" s="4" t="n">
        <v>1</v>
      </c>
      <c r="T369" s="4" t="inlineStr">
        <is>
          <t>Não</t>
        </is>
      </c>
      <c r="U369" s="4" t="inlineStr">
        <is>
          <t>Sim</t>
        </is>
      </c>
      <c r="V369" s="4" t="inlineStr">
        <is>
          <t>Não</t>
        </is>
      </c>
      <c r="W369" s="4" t="inlineStr"/>
    </row>
    <row r="370">
      <c r="A370" s="4" t="inlineStr">
        <is>
          <t>BTG Pactual</t>
        </is>
      </c>
      <c r="B370" s="4" t="inlineStr">
        <is>
          <t>Kinea Dakar BP Prev FIRF</t>
        </is>
      </c>
      <c r="C370" s="6" t="inlineStr">
        <is>
          <t>52.856.535/0001-62</t>
        </is>
      </c>
      <c r="D370" s="4" t="inlineStr">
        <is>
          <t>BTG PACTUAL GESTÃO E CONSULTORIA DE INVESTIMENTOS LTDA</t>
        </is>
      </c>
      <c r="E370" s="4" t="inlineStr">
        <is>
          <t>12.695.840/0001-03</t>
        </is>
      </c>
      <c r="F370" s="4" t="inlineStr">
        <is>
          <t>BTG PACTUAL SERVICOS FINANCEIROS S.A. DISTRIBUIDOR</t>
        </is>
      </c>
      <c r="G370" s="4" t="inlineStr">
        <is>
          <t>Renda Fixa</t>
        </is>
      </c>
      <c r="H370" s="4" t="inlineStr">
        <is>
          <t>Renda Fixa</t>
        </is>
      </c>
      <c r="I370" s="7" t="n">
        <v>1000</v>
      </c>
      <c r="J370" s="8" t="n">
        <v>0.9</v>
      </c>
      <c r="K370" s="8" t="n"/>
      <c r="L370" s="4" t="inlineStr"/>
      <c r="M370" s="5" t="n">
        <v>0</v>
      </c>
      <c r="N370" s="5" t="n">
        <v>1</v>
      </c>
      <c r="O370" s="5" t="n"/>
      <c r="P370" s="4" t="inlineStr">
        <is>
          <t>Curto Prazo</t>
        </is>
      </c>
      <c r="Q370" s="4" t="inlineStr">
        <is>
          <t>Não</t>
        </is>
      </c>
      <c r="R370" s="4" t="inlineStr">
        <is>
          <t>API interna</t>
        </is>
      </c>
      <c r="S370" s="4" t="n">
        <v>1</v>
      </c>
      <c r="T370" s="4" t="inlineStr">
        <is>
          <t>Não</t>
        </is>
      </c>
      <c r="U370" s="4" t="inlineStr">
        <is>
          <t>Sim</t>
        </is>
      </c>
      <c r="V370" s="4" t="inlineStr">
        <is>
          <t>Não</t>
        </is>
      </c>
      <c r="W370" s="4" t="inlineStr"/>
    </row>
    <row r="371">
      <c r="A371" s="4" t="inlineStr">
        <is>
          <t>BTG Pactual</t>
        </is>
      </c>
      <c r="B371" s="4" t="inlineStr">
        <is>
          <t>Kinea Prev Apolo BTG FICFIM RL</t>
        </is>
      </c>
      <c r="C371" s="6" t="inlineStr">
        <is>
          <t>59.719.333/0001-18</t>
        </is>
      </c>
      <c r="D371" s="4" t="inlineStr">
        <is>
          <t>KINEA INVESTIMENTOS LTDA.</t>
        </is>
      </c>
      <c r="E371" s="4" t="inlineStr">
        <is>
          <t>08.604.187/0001-44</t>
        </is>
      </c>
      <c r="F371" s="4" t="inlineStr">
        <is>
          <t>INTRAG DISTR DE TITULOS EVALORES MOBILIARIOS LTDA</t>
        </is>
      </c>
      <c r="G371" s="4" t="inlineStr">
        <is>
          <t>Multimercado</t>
        </is>
      </c>
      <c r="H371" s="4" t="inlineStr">
        <is>
          <t>Multimercado</t>
        </is>
      </c>
      <c r="I371" s="7" t="n">
        <v>1000</v>
      </c>
      <c r="J371" s="8" t="n">
        <v>0.8</v>
      </c>
      <c r="K371" s="8" t="n">
        <v>25</v>
      </c>
      <c r="L371" s="4" t="inlineStr">
        <is>
          <t>-</t>
        </is>
      </c>
      <c r="M371" s="5" t="n">
        <v>0</v>
      </c>
      <c r="N371" s="5" t="n">
        <v>1</v>
      </c>
      <c r="O371" s="5" t="n"/>
      <c r="P371" s="4" t="inlineStr">
        <is>
          <t>Longo Prazo</t>
        </is>
      </c>
      <c r="Q371" s="4" t="inlineStr">
        <is>
          <t>Não</t>
        </is>
      </c>
      <c r="R371" s="4" t="inlineStr">
        <is>
          <t>API interna</t>
        </is>
      </c>
      <c r="S371" s="4" t="n">
        <v>1</v>
      </c>
      <c r="T371" s="4" t="inlineStr">
        <is>
          <t>Não</t>
        </is>
      </c>
      <c r="U371" s="4" t="inlineStr">
        <is>
          <t>Sim</t>
        </is>
      </c>
      <c r="V371" s="4" t="inlineStr">
        <is>
          <t>Não</t>
        </is>
      </c>
      <c r="W371" s="4" t="inlineStr"/>
    </row>
    <row r="372">
      <c r="A372" s="4" t="inlineStr">
        <is>
          <t>BTG Pactual</t>
        </is>
      </c>
      <c r="B372" s="4" t="inlineStr">
        <is>
          <t>Kinea Prev Atlas BTG Pactual FICFIM RL</t>
        </is>
      </c>
      <c r="C372" s="6" t="inlineStr">
        <is>
          <t>37.728.756/0001-61</t>
        </is>
      </c>
      <c r="D372" s="4" t="inlineStr">
        <is>
          <t>BTG PACTUAL GESTÃO E CONSULTORIA DE INVESTIMENTOS LTDA</t>
        </is>
      </c>
      <c r="E372" s="4" t="inlineStr">
        <is>
          <t>12.695.840/0001-03</t>
        </is>
      </c>
      <c r="F372" s="4" t="inlineStr">
        <is>
          <t>BTG PACTUAL SERVICOS FINANCEIROS S.A. DISTRIBUIDOR</t>
        </is>
      </c>
      <c r="G372" s="4" t="inlineStr">
        <is>
          <t>Multimercado</t>
        </is>
      </c>
      <c r="H372" s="4" t="inlineStr">
        <is>
          <t>Multimercado</t>
        </is>
      </c>
      <c r="I372" s="7" t="n">
        <v>1000</v>
      </c>
      <c r="J372" s="8" t="n">
        <v>2</v>
      </c>
      <c r="K372" s="8" t="n">
        <v>17</v>
      </c>
      <c r="L372" s="4" t="inlineStr">
        <is>
          <t>CDI</t>
        </is>
      </c>
      <c r="M372" s="5" t="n">
        <v>20</v>
      </c>
      <c r="N372" s="5" t="n">
        <v>21</v>
      </c>
      <c r="O372" s="5" t="n"/>
      <c r="P372" s="4" t="inlineStr">
        <is>
          <t>Curto Prazo</t>
        </is>
      </c>
      <c r="Q372" s="4" t="inlineStr">
        <is>
          <t>Não</t>
        </is>
      </c>
      <c r="R372" s="4" t="inlineStr">
        <is>
          <t>API interna</t>
        </is>
      </c>
      <c r="S372" s="4" t="n">
        <v>1</v>
      </c>
      <c r="T372" s="4" t="inlineStr">
        <is>
          <t>Não</t>
        </is>
      </c>
      <c r="U372" s="4" t="inlineStr">
        <is>
          <t>Sim</t>
        </is>
      </c>
      <c r="V372" s="4" t="inlineStr">
        <is>
          <t>Não</t>
        </is>
      </c>
      <c r="W372" s="4" t="inlineStr"/>
    </row>
    <row r="373">
      <c r="A373" s="4" t="inlineStr">
        <is>
          <t>BTG Pactual</t>
        </is>
      </c>
      <c r="B373" s="4" t="inlineStr">
        <is>
          <t>Kinea Prev Ipca Dinamico II BTG Pactual FIRF RL</t>
        </is>
      </c>
      <c r="C373" s="6" t="inlineStr">
        <is>
          <t>44.983.621/0001-08</t>
        </is>
      </c>
      <c r="D373" s="4" t="inlineStr">
        <is>
          <t>BTG PACTUAL GESTÃO E CONSULTORIA DE INVESTIMENTOS LTDA</t>
        </is>
      </c>
      <c r="E373" s="4" t="inlineStr">
        <is>
          <t>12.695.840/0001-03</t>
        </is>
      </c>
      <c r="F373" s="4" t="inlineStr">
        <is>
          <t>BTG PACTUAL SERVICOS FINANCEIROS S.A. DISTRIBUIDOR</t>
        </is>
      </c>
      <c r="G373" s="4" t="inlineStr">
        <is>
          <t>Renda Fixa</t>
        </is>
      </c>
      <c r="H373" s="4" t="inlineStr">
        <is>
          <t>Renda Fixa</t>
        </is>
      </c>
      <c r="I373" s="7" t="n">
        <v>1000</v>
      </c>
      <c r="J373" s="8" t="n">
        <v>1</v>
      </c>
      <c r="K373" s="8" t="n"/>
      <c r="L373" s="4" t="inlineStr"/>
      <c r="M373" s="5" t="n">
        <v>0</v>
      </c>
      <c r="N373" s="5" t="n">
        <v>1</v>
      </c>
      <c r="O373" s="5" t="n"/>
      <c r="P373" s="4" t="inlineStr">
        <is>
          <t>Curto Prazo</t>
        </is>
      </c>
      <c r="Q373" s="4" t="inlineStr">
        <is>
          <t>Não</t>
        </is>
      </c>
      <c r="R373" s="4" t="inlineStr">
        <is>
          <t>API interna</t>
        </is>
      </c>
      <c r="S373" s="4" t="n">
        <v>1</v>
      </c>
      <c r="T373" s="4" t="inlineStr">
        <is>
          <t>Não</t>
        </is>
      </c>
      <c r="U373" s="4" t="inlineStr">
        <is>
          <t>Sim</t>
        </is>
      </c>
      <c r="V373" s="4" t="inlineStr">
        <is>
          <t>Não</t>
        </is>
      </c>
      <c r="W373" s="4" t="inlineStr"/>
    </row>
    <row r="374">
      <c r="A374" s="4" t="inlineStr">
        <is>
          <t>BTG Pactual</t>
        </is>
      </c>
      <c r="B374" s="4" t="inlineStr">
        <is>
          <t>Kinea Prev XTR II Planos Icatu FICFIM RL</t>
        </is>
      </c>
      <c r="C374" s="6" t="inlineStr">
        <is>
          <t>34.143.959/0001-06</t>
        </is>
      </c>
      <c r="D374" s="4" t="inlineStr">
        <is>
          <t>KINEA INVESTIMENTOS LTDA.</t>
        </is>
      </c>
      <c r="E374" s="4" t="inlineStr">
        <is>
          <t>08.604.187/0001-44</t>
        </is>
      </c>
      <c r="F374" s="4" t="inlineStr">
        <is>
          <t>INTRAG DISTR DE TITULOS EVALORES MOBILIARIOS LTDA</t>
        </is>
      </c>
      <c r="G374" s="4" t="inlineStr">
        <is>
          <t>Multimercado</t>
        </is>
      </c>
      <c r="H374" s="4" t="inlineStr">
        <is>
          <t>Multimercado</t>
        </is>
      </c>
      <c r="I374" s="7" t="n">
        <v>3000</v>
      </c>
      <c r="J374" s="8" t="n">
        <v>1.5</v>
      </c>
      <c r="K374" s="8" t="n">
        <v>20</v>
      </c>
      <c r="L374" s="4" t="inlineStr">
        <is>
          <t>CDI</t>
        </is>
      </c>
      <c r="M374" s="5" t="n">
        <v>0</v>
      </c>
      <c r="N374" s="5" t="n">
        <v>1</v>
      </c>
      <c r="O374" s="5" t="n"/>
      <c r="P374" s="4" t="inlineStr">
        <is>
          <t>Longo Prazo</t>
        </is>
      </c>
      <c r="Q374" s="4" t="inlineStr">
        <is>
          <t>Não</t>
        </is>
      </c>
      <c r="R374" s="4" t="inlineStr">
        <is>
          <t>API interna</t>
        </is>
      </c>
      <c r="S374" s="4" t="n">
        <v>1</v>
      </c>
      <c r="T374" s="4" t="inlineStr">
        <is>
          <t>Não</t>
        </is>
      </c>
      <c r="U374" s="4" t="inlineStr">
        <is>
          <t>Sim</t>
        </is>
      </c>
      <c r="V374" s="4" t="inlineStr">
        <is>
          <t>Não</t>
        </is>
      </c>
      <c r="W374" s="4" t="inlineStr"/>
    </row>
    <row r="375">
      <c r="A375" s="4" t="inlineStr">
        <is>
          <t>BTG Pactual</t>
        </is>
      </c>
      <c r="B375" s="4" t="inlineStr">
        <is>
          <t>Kinea Prev Zeus BTG FICFIM RL</t>
        </is>
      </c>
      <c r="C375" s="6" t="inlineStr">
        <is>
          <t>58.739.330/0001-83</t>
        </is>
      </c>
      <c r="D375" s="4" t="inlineStr">
        <is>
          <t>KINEA INVESTIMENTOS LTDA.</t>
        </is>
      </c>
      <c r="E375" s="4" t="inlineStr">
        <is>
          <t>08.604.187/0001-44</t>
        </is>
      </c>
      <c r="F375" s="4" t="inlineStr">
        <is>
          <t>INTRAG DISTR DE TITULOS EVALORES MOBILIARIOS LTDA</t>
        </is>
      </c>
      <c r="G375" s="4" t="inlineStr">
        <is>
          <t>Multimercado</t>
        </is>
      </c>
      <c r="H375" s="4" t="inlineStr">
        <is>
          <t>Outros</t>
        </is>
      </c>
      <c r="I375" s="7" t="n">
        <v>1000</v>
      </c>
      <c r="J375" s="8" t="n">
        <v>2</v>
      </c>
      <c r="K375" s="8" t="n">
        <v>17</v>
      </c>
      <c r="L375" s="4" t="inlineStr">
        <is>
          <t>-</t>
        </is>
      </c>
      <c r="M375" s="5" t="n">
        <v>42</v>
      </c>
      <c r="N375" s="5" t="n">
        <v>43</v>
      </c>
      <c r="O375" s="5" t="n"/>
      <c r="P375" s="4" t="inlineStr">
        <is>
          <t>Longo Prazo</t>
        </is>
      </c>
      <c r="Q375" s="4" t="inlineStr">
        <is>
          <t>Não</t>
        </is>
      </c>
      <c r="R375" s="4" t="inlineStr">
        <is>
          <t>API interna</t>
        </is>
      </c>
      <c r="S375" s="4" t="n">
        <v>1</v>
      </c>
      <c r="T375" s="4" t="inlineStr">
        <is>
          <t>Não</t>
        </is>
      </c>
      <c r="U375" s="4" t="inlineStr">
        <is>
          <t>Sim</t>
        </is>
      </c>
      <c r="V375" s="4" t="inlineStr">
        <is>
          <t>Não</t>
        </is>
      </c>
      <c r="W375" s="4" t="inlineStr"/>
    </row>
    <row r="376">
      <c r="A376" s="4" t="inlineStr">
        <is>
          <t>BTG Pactual</t>
        </is>
      </c>
      <c r="B376" s="4" t="inlineStr">
        <is>
          <t>Leblon 100 Icatu Prev FIM RL</t>
        </is>
      </c>
      <c r="C376" s="6" t="inlineStr">
        <is>
          <t>35.314.803/0001-03</t>
        </is>
      </c>
      <c r="D376" s="4" t="inlineStr">
        <is>
          <t>LEBLON EQUITIES GESTAO DE RECURSOS LTDA</t>
        </is>
      </c>
      <c r="E376" s="4" t="inlineStr">
        <is>
          <t>10.240.925/0001-63</t>
        </is>
      </c>
      <c r="F376" s="4" t="inlineStr">
        <is>
          <t>BNY MELLON SERVICOS FINANCEIROS DTVM S/A</t>
        </is>
      </c>
      <c r="G376" s="4" t="inlineStr">
        <is>
          <t>Multimercado</t>
        </is>
      </c>
      <c r="H376" s="4" t="inlineStr">
        <is>
          <t>Renda Variável</t>
        </is>
      </c>
      <c r="I376" s="7" t="n">
        <v>5000</v>
      </c>
      <c r="J376" s="8" t="n">
        <v>2</v>
      </c>
      <c r="K376" s="8" t="n">
        <v>15</v>
      </c>
      <c r="L376" s="4" t="inlineStr">
        <is>
          <t>IMA-B5</t>
        </is>
      </c>
      <c r="M376" s="5" t="n">
        <v>28</v>
      </c>
      <c r="N376" s="5" t="n">
        <v>30</v>
      </c>
      <c r="O376" s="5" t="n"/>
      <c r="P376" s="4" t="inlineStr">
        <is>
          <t>Longo Prazo</t>
        </is>
      </c>
      <c r="Q376" s="4" t="inlineStr">
        <is>
          <t>Não</t>
        </is>
      </c>
      <c r="R376" s="4" t="inlineStr">
        <is>
          <t>API interna</t>
        </is>
      </c>
      <c r="S376" s="4" t="n">
        <v>1</v>
      </c>
      <c r="T376" s="4" t="inlineStr">
        <is>
          <t>Não</t>
        </is>
      </c>
      <c r="U376" s="4" t="inlineStr">
        <is>
          <t>Sim</t>
        </is>
      </c>
      <c r="V376" s="4" t="inlineStr">
        <is>
          <t>Não</t>
        </is>
      </c>
      <c r="W376" s="4" t="inlineStr"/>
    </row>
    <row r="377">
      <c r="A377" s="4" t="inlineStr">
        <is>
          <t>BTG Pactual</t>
        </is>
      </c>
      <c r="B377" s="4" t="inlineStr">
        <is>
          <t>Leblon Icatu Prev FIM RL</t>
        </is>
      </c>
      <c r="C377" s="6" t="inlineStr">
        <is>
          <t>11.098.129/0001-09</t>
        </is>
      </c>
      <c r="D377" s="4" t="inlineStr">
        <is>
          <t>LEBLON EQUITIES GESTAO DE RECURSOS LTDA</t>
        </is>
      </c>
      <c r="E377" s="4" t="inlineStr">
        <is>
          <t>10.240.925/0001-63</t>
        </is>
      </c>
      <c r="F377" s="4" t="inlineStr">
        <is>
          <t>BNY MELLON SERVICOS FINANCEIROS DTVM S/A</t>
        </is>
      </c>
      <c r="G377" s="4" t="inlineStr">
        <is>
          <t>Multimercado</t>
        </is>
      </c>
      <c r="H377" s="4" t="inlineStr">
        <is>
          <t>Renda Variável</t>
        </is>
      </c>
      <c r="I377" s="7" t="n">
        <v>1000</v>
      </c>
      <c r="J377" s="8" t="n">
        <v>2</v>
      </c>
      <c r="K377" s="8" t="n"/>
      <c r="L377" s="4" t="inlineStr"/>
      <c r="M377" s="5" t="n">
        <v>1</v>
      </c>
      <c r="N377" s="5" t="n">
        <v>5</v>
      </c>
      <c r="O377" s="5" t="n"/>
      <c r="P377" s="4" t="inlineStr">
        <is>
          <t>Curto Prazo</t>
        </is>
      </c>
      <c r="Q377" s="4" t="inlineStr">
        <is>
          <t>Não</t>
        </is>
      </c>
      <c r="R377" s="4" t="inlineStr">
        <is>
          <t>API interna</t>
        </is>
      </c>
      <c r="S377" s="4" t="n">
        <v>1</v>
      </c>
      <c r="T377" s="4" t="inlineStr">
        <is>
          <t>Não</t>
        </is>
      </c>
      <c r="U377" s="4" t="inlineStr">
        <is>
          <t>Sim</t>
        </is>
      </c>
      <c r="V377" s="4" t="inlineStr">
        <is>
          <t>Não</t>
        </is>
      </c>
      <c r="W377" s="4" t="inlineStr"/>
    </row>
    <row r="378">
      <c r="A378" s="4" t="inlineStr">
        <is>
          <t>BTG Pactual</t>
        </is>
      </c>
      <c r="B378" s="4" t="inlineStr">
        <is>
          <t>Legacy Capital BS Prev FICFIM RL</t>
        </is>
      </c>
      <c r="C378" s="6" t="inlineStr">
        <is>
          <t>37.829.233/0001-01</t>
        </is>
      </c>
      <c r="D378" s="4" t="inlineStr">
        <is>
          <t>LEGACY CAPITAL GESTORA DE RECURSOS LTDA.</t>
        </is>
      </c>
      <c r="E378" s="4" t="inlineStr">
        <is>
          <t>28.674.641/0001-40</t>
        </is>
      </c>
      <c r="F378" s="4" t="inlineStr">
        <is>
          <t>BTG PACTUAL SERVICOS FINANCEIROS S.A. DISTRIBUIDOR</t>
        </is>
      </c>
      <c r="G378" s="4" t="inlineStr">
        <is>
          <t>Multimercado</t>
        </is>
      </c>
      <c r="H378" s="4" t="inlineStr">
        <is>
          <t>Multimercado</t>
        </is>
      </c>
      <c r="I378" s="7" t="n">
        <v>1000</v>
      </c>
      <c r="J378" s="8" t="n">
        <v>1.95</v>
      </c>
      <c r="K378" s="8" t="n">
        <v>20</v>
      </c>
      <c r="L378" s="4" t="inlineStr">
        <is>
          <t>CDI</t>
        </is>
      </c>
      <c r="M378" s="5" t="n">
        <v>3</v>
      </c>
      <c r="N378" s="5" t="n">
        <v>4</v>
      </c>
      <c r="O378" s="5" t="n"/>
      <c r="P378" s="4" t="inlineStr">
        <is>
          <t>Curto Prazo</t>
        </is>
      </c>
      <c r="Q378" s="4" t="inlineStr">
        <is>
          <t>Não</t>
        </is>
      </c>
      <c r="R378" s="4" t="inlineStr">
        <is>
          <t>API interna</t>
        </is>
      </c>
      <c r="S378" s="4" t="n">
        <v>1</v>
      </c>
      <c r="T378" s="4" t="inlineStr">
        <is>
          <t>Não</t>
        </is>
      </c>
      <c r="U378" s="4" t="inlineStr">
        <is>
          <t>Sim</t>
        </is>
      </c>
      <c r="V378" s="4" t="inlineStr">
        <is>
          <t>Não</t>
        </is>
      </c>
      <c r="W378" s="4" t="inlineStr"/>
    </row>
    <row r="379">
      <c r="A379" s="4" t="inlineStr">
        <is>
          <t>BTG Pactual</t>
        </is>
      </c>
      <c r="B379" s="4" t="inlineStr">
        <is>
          <t>M8 Capital Prev FICFIRF CrPr RL</t>
        </is>
      </c>
      <c r="C379" s="6" t="inlineStr">
        <is>
          <t>47.350.581/0001-55</t>
        </is>
      </c>
      <c r="D379" s="4" t="inlineStr">
        <is>
          <t>M8 PARTNERS GESTORA DE RECURSOS LTDA.</t>
        </is>
      </c>
      <c r="E379" s="4" t="inlineStr">
        <is>
          <t>18.038.439/0001-79</t>
        </is>
      </c>
      <c r="F379" s="4" t="inlineStr">
        <is>
          <t>BTG PACTUAL SERVICOS FINANCEIROS S.A. DISTRIBUIDOR</t>
        </is>
      </c>
      <c r="G379" s="4" t="inlineStr">
        <is>
          <t>Renda Fixa</t>
        </is>
      </c>
      <c r="H379" s="4" t="inlineStr">
        <is>
          <t>Renda Fixa</t>
        </is>
      </c>
      <c r="I379" s="7" t="n">
        <v>1000</v>
      </c>
      <c r="J379" s="8" t="n"/>
      <c r="K379" s="8" t="n">
        <v>10</v>
      </c>
      <c r="L379" s="4" t="inlineStr">
        <is>
          <t>CDI</t>
        </is>
      </c>
      <c r="M379" s="5" t="n">
        <v>7</v>
      </c>
      <c r="N379" s="5" t="n">
        <v>9</v>
      </c>
      <c r="O379" s="5" t="n"/>
      <c r="P379" s="4" t="inlineStr">
        <is>
          <t>Curto Prazo</t>
        </is>
      </c>
      <c r="Q379" s="4" t="inlineStr">
        <is>
          <t>Não</t>
        </is>
      </c>
      <c r="R379" s="4" t="inlineStr">
        <is>
          <t>API interna</t>
        </is>
      </c>
      <c r="S379" s="4" t="n">
        <v>1</v>
      </c>
      <c r="T379" s="4" t="inlineStr">
        <is>
          <t>Não</t>
        </is>
      </c>
      <c r="U379" s="4" t="inlineStr">
        <is>
          <t>Sim</t>
        </is>
      </c>
      <c r="V379" s="4" t="inlineStr">
        <is>
          <t>Não</t>
        </is>
      </c>
      <c r="W379" s="4" t="inlineStr"/>
    </row>
    <row r="380">
      <c r="A380" s="4" t="inlineStr">
        <is>
          <t>BTG Pactual</t>
        </is>
      </c>
      <c r="B380" s="4" t="inlineStr">
        <is>
          <t>MAG Prev BP FIRF CrPr RL</t>
        </is>
      </c>
      <c r="C380" s="6" t="inlineStr">
        <is>
          <t>41.579.176/0001-27</t>
        </is>
      </c>
      <c r="D380" s="4" t="inlineStr">
        <is>
          <t>MONGERAL AEGON INVESTIMENTOS LTDA</t>
        </is>
      </c>
      <c r="E380" s="4" t="inlineStr">
        <is>
          <t>16.500.294/0001-50</t>
        </is>
      </c>
      <c r="F380" s="4" t="inlineStr">
        <is>
          <t>BNY MELLON SERVICOS FINANCEIROS DTVM S/A</t>
        </is>
      </c>
      <c r="G380" s="4" t="inlineStr">
        <is>
          <t>Renda Fixa</t>
        </is>
      </c>
      <c r="H380" s="4" t="inlineStr">
        <is>
          <t>Renda Fixa</t>
        </is>
      </c>
      <c r="I380" s="7" t="n">
        <v>1000</v>
      </c>
      <c r="J380" s="8" t="n">
        <v>0.8</v>
      </c>
      <c r="K380" s="8" t="n"/>
      <c r="L380" s="4" t="inlineStr"/>
      <c r="M380" s="5" t="n">
        <v>1</v>
      </c>
      <c r="N380" s="5" t="n">
        <v>2</v>
      </c>
      <c r="O380" s="5" t="n"/>
      <c r="P380" s="4" t="inlineStr">
        <is>
          <t>Longo Prazo</t>
        </is>
      </c>
      <c r="Q380" s="4" t="inlineStr">
        <is>
          <t>Não</t>
        </is>
      </c>
      <c r="R380" s="4" t="inlineStr">
        <is>
          <t>API interna</t>
        </is>
      </c>
      <c r="S380" s="4" t="n">
        <v>1</v>
      </c>
      <c r="T380" s="4" t="inlineStr">
        <is>
          <t>Não</t>
        </is>
      </c>
      <c r="U380" s="4" t="inlineStr">
        <is>
          <t>Sim</t>
        </is>
      </c>
      <c r="V380" s="4" t="inlineStr">
        <is>
          <t>Não</t>
        </is>
      </c>
      <c r="W380" s="4" t="inlineStr"/>
    </row>
    <row r="381">
      <c r="A381" s="4" t="inlineStr">
        <is>
          <t>BTG Pactual</t>
        </is>
      </c>
      <c r="B381" s="4" t="inlineStr">
        <is>
          <t>MAG Prev Cash FICFIRF Access RL</t>
        </is>
      </c>
      <c r="C381" s="6" t="inlineStr">
        <is>
          <t>51.168.372/0001-62</t>
        </is>
      </c>
      <c r="D381" s="4" t="inlineStr">
        <is>
          <t>BTG PACTUAL GESTÃO E CONSULTORIA DE INVESTIMENTOS LTDA</t>
        </is>
      </c>
      <c r="E381" s="4" t="inlineStr">
        <is>
          <t>12.695.840/0001-03</t>
        </is>
      </c>
      <c r="F381" s="4" t="inlineStr">
        <is>
          <t>BTG PACTUAL SERVICOS FINANCEIROS S.A. DISTRIBUIDOR</t>
        </is>
      </c>
      <c r="G381" s="4" t="inlineStr">
        <is>
          <t>Renda Fixa</t>
        </is>
      </c>
      <c r="H381" s="4" t="inlineStr">
        <is>
          <t>Renda Fixa</t>
        </is>
      </c>
      <c r="I381" s="7" t="n">
        <v>1000</v>
      </c>
      <c r="J381" s="8" t="n">
        <v>0.8</v>
      </c>
      <c r="K381" s="8" t="n"/>
      <c r="L381" s="4" t="inlineStr"/>
      <c r="M381" s="5" t="n">
        <v>0</v>
      </c>
      <c r="N381" s="5" t="n">
        <v>1</v>
      </c>
      <c r="O381" s="5" t="n"/>
      <c r="P381" s="4" t="inlineStr">
        <is>
          <t>Longo Prazo</t>
        </is>
      </c>
      <c r="Q381" s="4" t="inlineStr">
        <is>
          <t>Não</t>
        </is>
      </c>
      <c r="R381" s="4" t="inlineStr">
        <is>
          <t>API interna</t>
        </is>
      </c>
      <c r="S381" s="4" t="n">
        <v>1</v>
      </c>
      <c r="T381" s="4" t="inlineStr">
        <is>
          <t>Não</t>
        </is>
      </c>
      <c r="U381" s="4" t="inlineStr">
        <is>
          <t>Sim</t>
        </is>
      </c>
      <c r="V381" s="4" t="inlineStr">
        <is>
          <t>Não</t>
        </is>
      </c>
      <c r="W381" s="4" t="inlineStr"/>
    </row>
    <row r="382">
      <c r="A382" s="4" t="inlineStr">
        <is>
          <t>BTG Pactual</t>
        </is>
      </c>
      <c r="B382" s="4" t="inlineStr">
        <is>
          <t>Meraki Prev Brabus FICFIA RL</t>
        </is>
      </c>
      <c r="C382" s="6" t="inlineStr">
        <is>
          <t>55.575.058/0001-55</t>
        </is>
      </c>
      <c r="D382" s="4" t="inlineStr">
        <is>
          <t>MERAKI CAPITAL GESTÃO DE RECURSOS LTDA.</t>
        </is>
      </c>
      <c r="E382" s="4" t="inlineStr">
        <is>
          <t>38.710.359/0001-25</t>
        </is>
      </c>
      <c r="F382" s="4" t="inlineStr">
        <is>
          <t>BTG PACTUAL SERVICOS FINANCEIROS S.A. DISTRIBUIDOR</t>
        </is>
      </c>
      <c r="G382" s="4" t="inlineStr">
        <is>
          <t>Ações</t>
        </is>
      </c>
      <c r="H382" s="4" t="inlineStr">
        <is>
          <t>Renda Variável</t>
        </is>
      </c>
      <c r="I382" s="7" t="n">
        <v>1000</v>
      </c>
      <c r="J382" s="8" t="n"/>
      <c r="K382" s="8" t="n">
        <v>20</v>
      </c>
      <c r="L382" s="4" t="inlineStr">
        <is>
          <t>IBOVESPA</t>
        </is>
      </c>
      <c r="M382" s="5" t="n">
        <v>30</v>
      </c>
      <c r="N382" s="5" t="n">
        <v>32</v>
      </c>
      <c r="O382" s="5" t="n"/>
      <c r="P382" s="4" t="inlineStr">
        <is>
          <t>Renda Variável</t>
        </is>
      </c>
      <c r="Q382" s="4" t="inlineStr">
        <is>
          <t>Não</t>
        </is>
      </c>
      <c r="R382" s="4" t="inlineStr">
        <is>
          <t>API interna</t>
        </is>
      </c>
      <c r="S382" s="4" t="n">
        <v>1</v>
      </c>
      <c r="T382" s="4" t="inlineStr">
        <is>
          <t>Não</t>
        </is>
      </c>
      <c r="U382" s="4" t="inlineStr">
        <is>
          <t>Sim</t>
        </is>
      </c>
      <c r="V382" s="4" t="inlineStr">
        <is>
          <t>Não</t>
        </is>
      </c>
      <c r="W382" s="4" t="inlineStr"/>
    </row>
    <row r="383">
      <c r="A383" s="4" t="inlineStr">
        <is>
          <t>BTG Pactual</t>
        </is>
      </c>
      <c r="B383" s="4" t="inlineStr">
        <is>
          <t>Morada Prev FIA RL</t>
        </is>
      </c>
      <c r="C383" s="6" t="inlineStr">
        <is>
          <t>62.362.268/0001-20</t>
        </is>
      </c>
      <c r="D383" s="4" t="inlineStr">
        <is>
          <t>MORADA CAPITAL LTDA.</t>
        </is>
      </c>
      <c r="E383" s="4" t="inlineStr">
        <is>
          <t>46.941.908/0001-09</t>
        </is>
      </c>
      <c r="F383" s="4" t="inlineStr">
        <is>
          <t>BTG PACTUAL SERVICOS FINANCEIROS S.A. DISTRIBUIDOR</t>
        </is>
      </c>
      <c r="G383" s="4" t="inlineStr">
        <is>
          <t>Ações</t>
        </is>
      </c>
      <c r="H383" s="4" t="inlineStr">
        <is>
          <t>Renda Variável</t>
        </is>
      </c>
      <c r="I383" s="7" t="n">
        <v>1000</v>
      </c>
      <c r="J383" s="8" t="n">
        <v>2</v>
      </c>
      <c r="K383" s="8" t="n">
        <v>20</v>
      </c>
      <c r="L383" s="4" t="inlineStr">
        <is>
          <t>-</t>
        </is>
      </c>
      <c r="M383" s="5" t="n">
        <v>30</v>
      </c>
      <c r="N383" s="5" t="n">
        <v>32</v>
      </c>
      <c r="O383" s="5" t="n"/>
      <c r="P383" s="4" t="inlineStr">
        <is>
          <t>Renda Variável</t>
        </is>
      </c>
      <c r="Q383" s="4" t="inlineStr">
        <is>
          <t>Não</t>
        </is>
      </c>
      <c r="R383" s="4" t="inlineStr">
        <is>
          <t>API interna</t>
        </is>
      </c>
      <c r="S383" s="4" t="n">
        <v>1</v>
      </c>
      <c r="T383" s="4" t="inlineStr">
        <is>
          <t>Não</t>
        </is>
      </c>
      <c r="U383" s="4" t="inlineStr">
        <is>
          <t>Sim</t>
        </is>
      </c>
      <c r="V383" s="4" t="inlineStr">
        <is>
          <t>Não</t>
        </is>
      </c>
      <c r="W383" s="4" t="inlineStr"/>
    </row>
    <row r="384">
      <c r="A384" s="4" t="inlineStr">
        <is>
          <t>BTG Pactual</t>
        </is>
      </c>
      <c r="B384" s="4" t="inlineStr">
        <is>
          <t>More Premium FIE Prev Fundo CrPr RL</t>
        </is>
      </c>
      <c r="C384" s="6" t="inlineStr">
        <is>
          <t>48.701.785/0001-56</t>
        </is>
      </c>
      <c r="D384" s="4" t="inlineStr">
        <is>
          <t>MORE INVEST GESTORA DE RECURSOS LTDA.</t>
        </is>
      </c>
      <c r="E384" s="4" t="inlineStr">
        <is>
          <t>10.556.398/0001-09</t>
        </is>
      </c>
      <c r="F384" s="4" t="inlineStr">
        <is>
          <t>BTG PACTUAL SERVICOS FINANCEIROS S.A. DISTRIBUIDOR</t>
        </is>
      </c>
      <c r="G384" s="4" t="inlineStr">
        <is>
          <t>Renda Fixa</t>
        </is>
      </c>
      <c r="H384" s="4" t="inlineStr">
        <is>
          <t>Renda Fixa</t>
        </is>
      </c>
      <c r="I384" s="7" t="n">
        <v>1000</v>
      </c>
      <c r="J384" s="8" t="n">
        <v>1.13</v>
      </c>
      <c r="K384" s="8" t="n"/>
      <c r="L384" s="4" t="inlineStr"/>
      <c r="M384" s="5" t="n">
        <v>4</v>
      </c>
      <c r="N384" s="5" t="n">
        <v>5</v>
      </c>
      <c r="O384" s="5" t="n"/>
      <c r="P384" s="4" t="inlineStr">
        <is>
          <t>Curto Prazo</t>
        </is>
      </c>
      <c r="Q384" s="4" t="inlineStr">
        <is>
          <t>Não</t>
        </is>
      </c>
      <c r="R384" s="4" t="inlineStr">
        <is>
          <t>API interna</t>
        </is>
      </c>
      <c r="S384" s="4" t="n">
        <v>1</v>
      </c>
      <c r="T384" s="4" t="inlineStr">
        <is>
          <t>Não</t>
        </is>
      </c>
      <c r="U384" s="4" t="inlineStr">
        <is>
          <t>Sim</t>
        </is>
      </c>
      <c r="V384" s="4" t="inlineStr">
        <is>
          <t>Não</t>
        </is>
      </c>
      <c r="W384" s="4" t="inlineStr"/>
    </row>
    <row r="385">
      <c r="A385" s="4" t="inlineStr">
        <is>
          <t>BTG Pactual</t>
        </is>
      </c>
      <c r="B385" s="4" t="inlineStr">
        <is>
          <t>Occam BP Prev FIRF CrPr RL</t>
        </is>
      </c>
      <c r="C385" s="6" t="inlineStr">
        <is>
          <t>47.586.503/0001-54</t>
        </is>
      </c>
      <c r="D385" s="4" t="inlineStr">
        <is>
          <t>NOVA OCCAM BRASIL GESTAO DE RECURSOS LTDA.</t>
        </is>
      </c>
      <c r="E385" s="4" t="inlineStr">
        <is>
          <t>43.228.545/0001-62</t>
        </is>
      </c>
      <c r="F385" s="4" t="inlineStr">
        <is>
          <t>BNY MELLON SERVICOS FINANCEIROS DTVM S/A</t>
        </is>
      </c>
      <c r="G385" s="4" t="inlineStr">
        <is>
          <t>Renda Fixa</t>
        </is>
      </c>
      <c r="H385" s="4" t="inlineStr">
        <is>
          <t>Renda Fixa</t>
        </is>
      </c>
      <c r="I385" s="7" t="n">
        <v>1000</v>
      </c>
      <c r="J385" s="8" t="n">
        <v>0.9</v>
      </c>
      <c r="K385" s="8" t="n"/>
      <c r="L385" s="4" t="inlineStr"/>
      <c r="M385" s="5" t="n">
        <v>6</v>
      </c>
      <c r="N385" s="5" t="n">
        <v>7</v>
      </c>
      <c r="O385" s="5" t="n"/>
      <c r="P385" s="4" t="inlineStr">
        <is>
          <t>Longo Prazo</t>
        </is>
      </c>
      <c r="Q385" s="4" t="inlineStr">
        <is>
          <t>Sim</t>
        </is>
      </c>
      <c r="R385" s="4" t="inlineStr">
        <is>
          <t>API interna</t>
        </is>
      </c>
      <c r="S385" s="4" t="n">
        <v>1</v>
      </c>
      <c r="T385" s="4" t="inlineStr">
        <is>
          <t>Não</t>
        </is>
      </c>
      <c r="U385" s="4" t="inlineStr">
        <is>
          <t>Sim</t>
        </is>
      </c>
      <c r="V385" s="4" t="inlineStr">
        <is>
          <t>Não</t>
        </is>
      </c>
      <c r="W385" s="4" t="inlineStr"/>
    </row>
    <row r="386">
      <c r="A386" s="4" t="inlineStr">
        <is>
          <t>BTG Pactual</t>
        </is>
      </c>
      <c r="B386" s="4" t="inlineStr">
        <is>
          <t>Occam Icatu Prev FICFIM RL</t>
        </is>
      </c>
      <c r="C386" s="6" t="inlineStr">
        <is>
          <t>17.685.620/0001-04</t>
        </is>
      </c>
      <c r="D386" s="4" t="inlineStr">
        <is>
          <t>OCCAM BRASIL GESTÃO DE RECURSOS LTDA.</t>
        </is>
      </c>
      <c r="E386" s="4" t="inlineStr">
        <is>
          <t>27.916.161/0001-86</t>
        </is>
      </c>
      <c r="F386" s="4" t="inlineStr">
        <is>
          <t>BNY MELLON SERVICOS FINANCEIROS DTVM S/A</t>
        </is>
      </c>
      <c r="G386" s="4" t="inlineStr">
        <is>
          <t>Multimercado</t>
        </is>
      </c>
      <c r="H386" s="4" t="inlineStr">
        <is>
          <t>Renda Variável</t>
        </is>
      </c>
      <c r="I386" s="7" t="n">
        <v>1000</v>
      </c>
      <c r="J386" s="8" t="n">
        <v>1.95</v>
      </c>
      <c r="K386" s="8" t="n"/>
      <c r="L386" s="4" t="inlineStr"/>
      <c r="M386" s="5" t="n">
        <v>1</v>
      </c>
      <c r="N386" s="5" t="n">
        <v>3</v>
      </c>
      <c r="O386" s="5" t="n"/>
      <c r="P386" s="4" t="inlineStr">
        <is>
          <t>Não Aplicável</t>
        </is>
      </c>
      <c r="Q386" s="4" t="inlineStr">
        <is>
          <t>Não</t>
        </is>
      </c>
      <c r="R386" s="4" t="inlineStr">
        <is>
          <t>API interna</t>
        </is>
      </c>
      <c r="S386" s="4" t="n">
        <v>1</v>
      </c>
      <c r="T386" s="4" t="inlineStr">
        <is>
          <t>Não</t>
        </is>
      </c>
      <c r="U386" s="4" t="inlineStr">
        <is>
          <t>Sim</t>
        </is>
      </c>
      <c r="V386" s="4" t="inlineStr">
        <is>
          <t>Não</t>
        </is>
      </c>
      <c r="W386" s="4" t="inlineStr"/>
    </row>
    <row r="387">
      <c r="A387" s="4" t="inlineStr">
        <is>
          <t>BTG Pactual</t>
        </is>
      </c>
      <c r="B387" s="4" t="inlineStr">
        <is>
          <t>Opportunity BTG Prev FICFIM RL</t>
        </is>
      </c>
      <c r="C387" s="6" t="inlineStr">
        <is>
          <t>51.179.623/0001-04</t>
        </is>
      </c>
      <c r="D387" s="4" t="inlineStr">
        <is>
          <t>OPPORTUNITY GESTÃO DE INVESTIMENTOS E RECURSOS LTDA</t>
        </is>
      </c>
      <c r="E387" s="4" t="inlineStr">
        <is>
          <t>09.647.907/0001-11</t>
        </is>
      </c>
      <c r="F387" s="4" t="inlineStr">
        <is>
          <t>BNY MELLON SERVICOS FINANCEIROS DISTRIBUIDORA DE T</t>
        </is>
      </c>
      <c r="G387" s="4" t="inlineStr">
        <is>
          <t>Multimercado</t>
        </is>
      </c>
      <c r="H387" s="4" t="inlineStr">
        <is>
          <t>Multimercado</t>
        </is>
      </c>
      <c r="I387" s="7" t="n">
        <v>1000</v>
      </c>
      <c r="J387" s="8" t="n">
        <v>2</v>
      </c>
      <c r="K387" s="8" t="n">
        <v>20</v>
      </c>
      <c r="L387" s="4" t="inlineStr">
        <is>
          <t>-</t>
        </is>
      </c>
      <c r="M387" s="5" t="n">
        <v>8</v>
      </c>
      <c r="N387" s="5" t="n">
        <v>10</v>
      </c>
      <c r="O387" s="5" t="n"/>
      <c r="P387" s="4" t="inlineStr">
        <is>
          <t>Não Aplicável</t>
        </is>
      </c>
      <c r="Q387" s="4" t="inlineStr">
        <is>
          <t>Não</t>
        </is>
      </c>
      <c r="R387" s="4" t="inlineStr">
        <is>
          <t>API interna</t>
        </is>
      </c>
      <c r="S387" s="4" t="n">
        <v>1</v>
      </c>
      <c r="T387" s="4" t="inlineStr">
        <is>
          <t>Não</t>
        </is>
      </c>
      <c r="U387" s="4" t="inlineStr">
        <is>
          <t>Sim</t>
        </is>
      </c>
      <c r="V387" s="4" t="inlineStr">
        <is>
          <t>Não</t>
        </is>
      </c>
      <c r="W387" s="4" t="inlineStr"/>
    </row>
    <row r="388">
      <c r="A388" s="4" t="inlineStr">
        <is>
          <t>BTG Pactual</t>
        </is>
      </c>
      <c r="B388" s="4" t="inlineStr">
        <is>
          <t>Patria Pioneiro Long Only 100 Icatu Qualificado Prev FIE FICFIM RL</t>
        </is>
      </c>
      <c r="C388" s="6" t="inlineStr">
        <is>
          <t>42.774.044/0001-19</t>
        </is>
      </c>
      <c r="D388" s="4" t="inlineStr">
        <is>
          <t>PÁTRIA INVESTIMENTOS LTDA.</t>
        </is>
      </c>
      <c r="E388" s="4" t="inlineStr">
        <is>
          <t>12.461.756/0001-17</t>
        </is>
      </c>
      <c r="F388" s="4" t="inlineStr">
        <is>
          <t>BTG PACTUAL SERVICOS FINANCEIROS S.A. DISTRIBUIDOR</t>
        </is>
      </c>
      <c r="G388" s="4" t="inlineStr">
        <is>
          <t>Multimercado</t>
        </is>
      </c>
      <c r="H388" s="4" t="inlineStr">
        <is>
          <t>Renda Variável</t>
        </is>
      </c>
      <c r="I388" s="7" t="n">
        <v>5000</v>
      </c>
      <c r="J388" s="8" t="n">
        <v>2</v>
      </c>
      <c r="K388" s="8" t="n">
        <v>20</v>
      </c>
      <c r="L388" s="4" t="inlineStr">
        <is>
          <t>-</t>
        </is>
      </c>
      <c r="M388" s="5" t="n">
        <v>22</v>
      </c>
      <c r="N388" s="5" t="n">
        <v>24</v>
      </c>
      <c r="O388" s="5" t="n"/>
      <c r="P388" s="4" t="inlineStr">
        <is>
          <t>Curto Prazo</t>
        </is>
      </c>
      <c r="Q388" s="4" t="inlineStr">
        <is>
          <t>Não</t>
        </is>
      </c>
      <c r="R388" s="4" t="inlineStr">
        <is>
          <t>API interna</t>
        </is>
      </c>
      <c r="S388" s="4" t="n">
        <v>1</v>
      </c>
      <c r="T388" s="4" t="inlineStr">
        <is>
          <t>Não</t>
        </is>
      </c>
      <c r="U388" s="4" t="inlineStr">
        <is>
          <t>Sim</t>
        </is>
      </c>
      <c r="V388" s="4" t="inlineStr">
        <is>
          <t>Não</t>
        </is>
      </c>
      <c r="W388" s="4" t="inlineStr"/>
    </row>
    <row r="389">
      <c r="A389" s="4" t="inlineStr">
        <is>
          <t>BTG Pactual</t>
        </is>
      </c>
      <c r="B389" s="4" t="inlineStr">
        <is>
          <t>Patria Prev BP Seg FIC FIM CP</t>
        </is>
      </c>
      <c r="C389" s="6" t="inlineStr">
        <is>
          <t>65.615.824/0001-11</t>
        </is>
      </c>
      <c r="D389" s="4" t="inlineStr">
        <is>
          <t>PÁTRIA INVESTIMENTOS LTDA.</t>
        </is>
      </c>
      <c r="E389" s="4" t="inlineStr">
        <is>
          <t>12.461.756/0001-17</t>
        </is>
      </c>
      <c r="F389" s="4" t="inlineStr">
        <is>
          <t>BTG PACTUAL SERVICOS FINANCEIROS S.A. DISTRIBUIDOR</t>
        </is>
      </c>
      <c r="G389" s="4" t="inlineStr">
        <is>
          <t>Multimercado</t>
        </is>
      </c>
      <c r="H389" s="4" t="inlineStr">
        <is>
          <t>Renda Fixa</t>
        </is>
      </c>
      <c r="I389" s="7" t="n">
        <v>1000</v>
      </c>
      <c r="J389" s="8" t="n"/>
      <c r="K389" s="8" t="n">
        <v>10</v>
      </c>
      <c r="L389" s="4" t="inlineStr">
        <is>
          <t>-</t>
        </is>
      </c>
      <c r="M389" s="5" t="n">
        <v>90</v>
      </c>
      <c r="N389" s="5" t="n">
        <v>92</v>
      </c>
      <c r="O389" s="5" t="n"/>
      <c r="P389" s="4" t="inlineStr">
        <is>
          <t>Curto Prazo</t>
        </is>
      </c>
      <c r="Q389" s="4" t="inlineStr">
        <is>
          <t>Não</t>
        </is>
      </c>
      <c r="R389" s="4" t="inlineStr">
        <is>
          <t>API interna</t>
        </is>
      </c>
      <c r="S389" s="4" t="n">
        <v>1</v>
      </c>
      <c r="T389" s="4" t="inlineStr">
        <is>
          <t>Não</t>
        </is>
      </c>
      <c r="U389" s="4" t="inlineStr">
        <is>
          <t>Sim</t>
        </is>
      </c>
      <c r="V389" s="4" t="inlineStr">
        <is>
          <t>Não</t>
        </is>
      </c>
      <c r="W389" s="4" t="inlineStr"/>
    </row>
    <row r="390">
      <c r="A390" s="4" t="inlineStr">
        <is>
          <t>BTG Pactual</t>
        </is>
      </c>
      <c r="B390" s="4" t="inlineStr">
        <is>
          <t>Polo Credito Prev I FICFIRF CrPr RL</t>
        </is>
      </c>
      <c r="C390" s="6" t="inlineStr">
        <is>
          <t>59.065.619/0001-27</t>
        </is>
      </c>
      <c r="D390" s="4" t="inlineStr">
        <is>
          <t>POLO CAPITAL GESTÃO DE RECURSOS LTDA</t>
        </is>
      </c>
      <c r="E390" s="4" t="inlineStr">
        <is>
          <t>05.451.668/0001-79</t>
        </is>
      </c>
      <c r="F390" s="4" t="inlineStr">
        <is>
          <t>BTG PACTUAL SERVICOS FINANCEIROS S.A. DISTRIBUIDOR</t>
        </is>
      </c>
      <c r="G390" s="4" t="inlineStr">
        <is>
          <t>Renda Fixa</t>
        </is>
      </c>
      <c r="H390" s="4" t="inlineStr">
        <is>
          <t>Renda Fixa</t>
        </is>
      </c>
      <c r="I390" s="7" t="n">
        <v>1000</v>
      </c>
      <c r="J390" s="8" t="n">
        <v>0.9</v>
      </c>
      <c r="K390" s="8" t="n">
        <v>20</v>
      </c>
      <c r="L390" s="4" t="inlineStr">
        <is>
          <t>-</t>
        </is>
      </c>
      <c r="M390" s="5" t="n">
        <v>7</v>
      </c>
      <c r="N390" s="5" t="n">
        <v>9</v>
      </c>
      <c r="O390" s="5" t="n"/>
      <c r="P390" s="4" t="inlineStr">
        <is>
          <t>Curto Prazo</t>
        </is>
      </c>
      <c r="Q390" s="4" t="inlineStr">
        <is>
          <t>Não</t>
        </is>
      </c>
      <c r="R390" s="4" t="inlineStr">
        <is>
          <t>API interna</t>
        </is>
      </c>
      <c r="S390" s="4" t="n">
        <v>1</v>
      </c>
      <c r="T390" s="4" t="inlineStr">
        <is>
          <t>Não</t>
        </is>
      </c>
      <c r="U390" s="4" t="inlineStr">
        <is>
          <t>Sim</t>
        </is>
      </c>
      <c r="V390" s="4" t="inlineStr">
        <is>
          <t>Não</t>
        </is>
      </c>
      <c r="W390" s="4" t="inlineStr"/>
    </row>
    <row r="391">
      <c r="A391" s="4" t="inlineStr">
        <is>
          <t>BTG Pactual</t>
        </is>
      </c>
      <c r="B391" s="4" t="inlineStr">
        <is>
          <t>Polígono Charlie BP PREV FIF</t>
        </is>
      </c>
      <c r="C391" s="6" t="inlineStr">
        <is>
          <t>64.897.073/0001-00</t>
        </is>
      </c>
      <c r="D391" s="4" t="inlineStr">
        <is>
          <t>POLÍGONO CAPITAL LTDA</t>
        </is>
      </c>
      <c r="E391" s="4" t="inlineStr">
        <is>
          <t>43.241.789/0001-85</t>
        </is>
      </c>
      <c r="F391" s="4" t="inlineStr">
        <is>
          <t>BTG PACTUAL SERVICOS FINANCEIROS S.A. DISTRIBUIDOR</t>
        </is>
      </c>
      <c r="G391" s="4" t="inlineStr">
        <is>
          <t>Renda Fixa</t>
        </is>
      </c>
      <c r="H391" s="4" t="inlineStr">
        <is>
          <t>Renda Fixa</t>
        </is>
      </c>
      <c r="I391" s="7" t="n">
        <v>1000</v>
      </c>
      <c r="J391" s="8" t="n"/>
      <c r="K391" s="8" t="n"/>
      <c r="L391" s="4" t="inlineStr"/>
      <c r="M391" s="5" t="n">
        <v>8</v>
      </c>
      <c r="N391" s="5" t="n">
        <v>9</v>
      </c>
      <c r="O391" s="5" t="n"/>
      <c r="P391" s="4" t="inlineStr">
        <is>
          <t>Curto Prazo</t>
        </is>
      </c>
      <c r="Q391" s="4" t="inlineStr">
        <is>
          <t>Não</t>
        </is>
      </c>
      <c r="R391" s="4" t="inlineStr">
        <is>
          <t>API interna</t>
        </is>
      </c>
      <c r="S391" s="4" t="n">
        <v>1</v>
      </c>
      <c r="T391" s="4" t="inlineStr">
        <is>
          <t>Não</t>
        </is>
      </c>
      <c r="U391" s="4" t="inlineStr">
        <is>
          <t>Sim</t>
        </is>
      </c>
      <c r="V391" s="4" t="inlineStr">
        <is>
          <t>Não</t>
        </is>
      </c>
      <c r="W391" s="4" t="inlineStr"/>
    </row>
    <row r="392">
      <c r="A392" s="4" t="inlineStr">
        <is>
          <t>BTG Pactual</t>
        </is>
      </c>
      <c r="B392" s="4" t="inlineStr">
        <is>
          <t>Porto Prev FICFIRF FIE1 CrPr RL</t>
        </is>
      </c>
      <c r="C392" s="6" t="inlineStr">
        <is>
          <t>61.475.212/0001-10</t>
        </is>
      </c>
      <c r="D392" s="4" t="inlineStr">
        <is>
          <t>PORTO SEGURO INVESTIMENTOS LTDA</t>
        </is>
      </c>
      <c r="E392" s="4" t="inlineStr">
        <is>
          <t>16.492.391/0001-49</t>
        </is>
      </c>
      <c r="F392" s="4" t="inlineStr">
        <is>
          <t>BTG PACTUAL SERVICOS FINANCEIROS S.A. DISTRIBUIDOR</t>
        </is>
      </c>
      <c r="G392" s="4" t="inlineStr">
        <is>
          <t>Renda Fixa</t>
        </is>
      </c>
      <c r="H392" s="4" t="inlineStr">
        <is>
          <t>Renda Fixa</t>
        </is>
      </c>
      <c r="I392" s="7" t="n">
        <v>1000</v>
      </c>
      <c r="J392" s="8" t="n">
        <v>0.9</v>
      </c>
      <c r="K392" s="8" t="n"/>
      <c r="L392" s="4" t="inlineStr"/>
      <c r="M392" s="5" t="n">
        <v>8</v>
      </c>
      <c r="N392" s="5" t="n">
        <v>9</v>
      </c>
      <c r="O392" s="5" t="n"/>
      <c r="P392" s="4" t="inlineStr">
        <is>
          <t>Curto Prazo</t>
        </is>
      </c>
      <c r="Q392" s="4" t="inlineStr">
        <is>
          <t>Não</t>
        </is>
      </c>
      <c r="R392" s="4" t="inlineStr">
        <is>
          <t>API interna</t>
        </is>
      </c>
      <c r="S392" s="4" t="n">
        <v>1</v>
      </c>
      <c r="T392" s="4" t="inlineStr">
        <is>
          <t>Não</t>
        </is>
      </c>
      <c r="U392" s="4" t="inlineStr">
        <is>
          <t>Sim</t>
        </is>
      </c>
      <c r="V392" s="4" t="inlineStr">
        <is>
          <t>Não</t>
        </is>
      </c>
      <c r="W392" s="4" t="inlineStr"/>
    </row>
    <row r="393">
      <c r="A393" s="4" t="inlineStr">
        <is>
          <t>BTG Pactual</t>
        </is>
      </c>
      <c r="B393" s="4" t="inlineStr">
        <is>
          <t>Porto Selection Prev FICFIRF FIE 1 CrPr RL</t>
        </is>
      </c>
      <c r="C393" s="6" t="inlineStr">
        <is>
          <t>51.639.846/0001-07</t>
        </is>
      </c>
      <c r="D393" s="4" t="inlineStr">
        <is>
          <t>PORTO SEGURO INVESTIMENTOS LTDA</t>
        </is>
      </c>
      <c r="E393" s="4" t="inlineStr">
        <is>
          <t>16.492.391/0001-49</t>
        </is>
      </c>
      <c r="F393" s="4" t="inlineStr">
        <is>
          <t>BTG PACTUAL SERVICOS FINANCEIROS S.A. DISTRIBUIDOR</t>
        </is>
      </c>
      <c r="G393" s="4" t="inlineStr">
        <is>
          <t>Renda Fixa</t>
        </is>
      </c>
      <c r="H393" s="4" t="inlineStr">
        <is>
          <t>Renda Fixa</t>
        </is>
      </c>
      <c r="I393" s="7" t="n">
        <v>1000</v>
      </c>
      <c r="J393" s="8" t="n">
        <v>0.7000000000000001</v>
      </c>
      <c r="K393" s="8" t="n"/>
      <c r="L393" s="4" t="inlineStr"/>
      <c r="M393" s="5" t="n">
        <v>0</v>
      </c>
      <c r="N393" s="5" t="n">
        <v>1</v>
      </c>
      <c r="O393" s="5" t="n"/>
      <c r="P393" s="4" t="inlineStr">
        <is>
          <t>Curto Prazo</t>
        </is>
      </c>
      <c r="Q393" s="4" t="inlineStr">
        <is>
          <t>Não</t>
        </is>
      </c>
      <c r="R393" s="4" t="inlineStr">
        <is>
          <t>API interna</t>
        </is>
      </c>
      <c r="S393" s="4" t="n">
        <v>1</v>
      </c>
      <c r="T393" s="4" t="inlineStr">
        <is>
          <t>Não</t>
        </is>
      </c>
      <c r="U393" s="4" t="inlineStr">
        <is>
          <t>Sim</t>
        </is>
      </c>
      <c r="V393" s="4" t="inlineStr">
        <is>
          <t>Não</t>
        </is>
      </c>
      <c r="W393" s="4" t="inlineStr"/>
    </row>
    <row r="394">
      <c r="A394" s="4" t="inlineStr">
        <is>
          <t>BTG Pactual</t>
        </is>
      </c>
      <c r="B394" s="4" t="inlineStr">
        <is>
          <t>Quantitas Prev FICFIM Access CrPr RL</t>
        </is>
      </c>
      <c r="C394" s="6" t="inlineStr">
        <is>
          <t>57.378.527/0001-71</t>
        </is>
      </c>
      <c r="D394" s="4" t="inlineStr">
        <is>
          <t>BTG PACTUAL GESTÃO E CONSULTORIA DE INVESTIMENTOS LTDA</t>
        </is>
      </c>
      <c r="E394" s="4" t="inlineStr">
        <is>
          <t>12.695.840/0001-03</t>
        </is>
      </c>
      <c r="F394" s="4" t="inlineStr">
        <is>
          <t>BTG PACTUAL SERVICOS FINANCEIROS S.A. DISTRIBUIDOR</t>
        </is>
      </c>
      <c r="G394" s="4" t="inlineStr">
        <is>
          <t>Multimercado</t>
        </is>
      </c>
      <c r="H394" s="4" t="inlineStr">
        <is>
          <t>Multimercado</t>
        </is>
      </c>
      <c r="I394" s="7" t="n">
        <v>1000</v>
      </c>
      <c r="J394" s="8" t="n"/>
      <c r="K394" s="8" t="n"/>
      <c r="L394" s="4" t="inlineStr"/>
      <c r="M394" s="5" t="n">
        <v>8</v>
      </c>
      <c r="N394" s="5" t="n">
        <v>9</v>
      </c>
      <c r="O394" s="5" t="n"/>
      <c r="P394" s="4" t="inlineStr">
        <is>
          <t>Curto Prazo</t>
        </is>
      </c>
      <c r="Q394" s="4" t="inlineStr">
        <is>
          <t>Não</t>
        </is>
      </c>
      <c r="R394" s="4" t="inlineStr">
        <is>
          <t>API interna</t>
        </is>
      </c>
      <c r="S394" s="4" t="n">
        <v>1</v>
      </c>
      <c r="T394" s="4" t="inlineStr">
        <is>
          <t>Não</t>
        </is>
      </c>
      <c r="U394" s="4" t="inlineStr">
        <is>
          <t>Sim</t>
        </is>
      </c>
      <c r="V394" s="4" t="inlineStr">
        <is>
          <t>Não</t>
        </is>
      </c>
      <c r="W394" s="4" t="inlineStr"/>
    </row>
    <row r="395">
      <c r="A395" s="4" t="inlineStr">
        <is>
          <t>BTG Pactual</t>
        </is>
      </c>
      <c r="B395" s="4" t="inlineStr">
        <is>
          <t>RPS Prev Absoluto BP Prev FICFIM RL</t>
        </is>
      </c>
      <c r="C395" s="6" t="inlineStr">
        <is>
          <t>42.730.862/0001-10</t>
        </is>
      </c>
      <c r="D395" s="4" t="inlineStr">
        <is>
          <t>RPS CAPITAL ADMINISTRADORA DE RECURSOS LTDA</t>
        </is>
      </c>
      <c r="E395" s="4" t="inlineStr">
        <is>
          <t>17.839.284/0001-07</t>
        </is>
      </c>
      <c r="F395" s="4" t="inlineStr">
        <is>
          <t>BTG PACTUAL SERVICOS FINANCEIROS S.A. DISTRIBUIDOR</t>
        </is>
      </c>
      <c r="G395" s="4" t="inlineStr">
        <is>
          <t>Multimercado</t>
        </is>
      </c>
      <c r="H395" s="4" t="inlineStr">
        <is>
          <t>Renda Variável</t>
        </is>
      </c>
      <c r="I395" s="7" t="n">
        <v>0</v>
      </c>
      <c r="J395" s="8" t="n"/>
      <c r="K395" s="8" t="n"/>
      <c r="L395" s="4" t="inlineStr"/>
      <c r="M395" s="5" t="n">
        <v>2</v>
      </c>
      <c r="N395" s="5" t="n">
        <v>5</v>
      </c>
      <c r="O395" s="5" t="n"/>
      <c r="P395" s="4" t="inlineStr">
        <is>
          <t>Curto Prazo</t>
        </is>
      </c>
      <c r="Q395" s="4" t="inlineStr">
        <is>
          <t>Não</t>
        </is>
      </c>
      <c r="R395" s="4" t="inlineStr">
        <is>
          <t>API interna</t>
        </is>
      </c>
      <c r="S395" s="4" t="n">
        <v>1</v>
      </c>
      <c r="T395" s="4" t="inlineStr">
        <is>
          <t>Não</t>
        </is>
      </c>
      <c r="U395" s="4" t="inlineStr">
        <is>
          <t>Sim</t>
        </is>
      </c>
      <c r="V395" s="4" t="inlineStr">
        <is>
          <t>Não</t>
        </is>
      </c>
      <c r="W395" s="4" t="inlineStr"/>
    </row>
    <row r="396">
      <c r="A396" s="4" t="inlineStr">
        <is>
          <t>BTG Pactual</t>
        </is>
      </c>
      <c r="B396" s="4" t="inlineStr">
        <is>
          <t>Reach Credito Prev FIE FIF MM CP</t>
        </is>
      </c>
      <c r="C396" s="6" t="inlineStr">
        <is>
          <t>68.068.343/0001-21</t>
        </is>
      </c>
      <c r="D396" s="4" t="inlineStr">
        <is>
          <t>REACH CAPITAL INVESTIMENTOS S.A</t>
        </is>
      </c>
      <c r="E396" s="4" t="inlineStr">
        <is>
          <t>28.928.618/0001-35</t>
        </is>
      </c>
      <c r="F396" s="4" t="inlineStr">
        <is>
          <t>BTG PACTUAL SERVICOS FINANCEIROS S.A. DISTRIBUIDOR</t>
        </is>
      </c>
      <c r="G396" s="4" t="inlineStr">
        <is>
          <t>Multimercado</t>
        </is>
      </c>
      <c r="H396" s="4" t="inlineStr">
        <is>
          <t>Outros</t>
        </is>
      </c>
      <c r="I396" s="7" t="n">
        <v>1000</v>
      </c>
      <c r="J396" s="8" t="n"/>
      <c r="K396" s="8" t="n">
        <v>20</v>
      </c>
      <c r="L396" s="4" t="inlineStr">
        <is>
          <t>-</t>
        </is>
      </c>
      <c r="M396" s="5" t="n">
        <v>8</v>
      </c>
      <c r="N396" s="5" t="n">
        <v>9</v>
      </c>
      <c r="O396" s="5" t="n"/>
      <c r="P396" s="4" t="inlineStr">
        <is>
          <t>Longo Prazo</t>
        </is>
      </c>
      <c r="Q396" s="4" t="inlineStr">
        <is>
          <t>Não</t>
        </is>
      </c>
      <c r="R396" s="4" t="inlineStr">
        <is>
          <t>API interna</t>
        </is>
      </c>
      <c r="S396" s="4" t="n">
        <v>1</v>
      </c>
      <c r="T396" s="4" t="inlineStr">
        <is>
          <t>Não</t>
        </is>
      </c>
      <c r="U396" s="4" t="inlineStr">
        <is>
          <t>Sim</t>
        </is>
      </c>
      <c r="V396" s="4" t="inlineStr">
        <is>
          <t>Não</t>
        </is>
      </c>
      <c r="W396" s="4" t="inlineStr"/>
    </row>
    <row r="397">
      <c r="A397" s="4" t="inlineStr">
        <is>
          <t>BTG Pactual</t>
        </is>
      </c>
      <c r="B397" s="4" t="inlineStr">
        <is>
          <t>Reach Prev Moderado FIM Prev MM RL</t>
        </is>
      </c>
      <c r="C397" s="6" t="inlineStr">
        <is>
          <t>32.398.441/0001-80</t>
        </is>
      </c>
      <c r="D397" s="4" t="inlineStr">
        <is>
          <t>REACH CAPITAL INVESTIMENTOS S.A</t>
        </is>
      </c>
      <c r="E397" s="4" t="inlineStr">
        <is>
          <t>28.928.618/0001-35</t>
        </is>
      </c>
      <c r="F397" s="4" t="inlineStr">
        <is>
          <t>BTG PACTUAL SERVICOS FINANCEIROS S.A. DISTRIBUIDOR</t>
        </is>
      </c>
      <c r="G397" s="4" t="inlineStr">
        <is>
          <t>Multimercado</t>
        </is>
      </c>
      <c r="H397" s="4" t="inlineStr">
        <is>
          <t>Renda Variável</t>
        </is>
      </c>
      <c r="I397" s="7" t="n">
        <v>1000</v>
      </c>
      <c r="J397" s="8" t="n">
        <v>2</v>
      </c>
      <c r="K397" s="8" t="n">
        <v>20</v>
      </c>
      <c r="L397" s="4" t="inlineStr">
        <is>
          <t>CDI</t>
        </is>
      </c>
      <c r="M397" s="5" t="n">
        <v>7</v>
      </c>
      <c r="N397" s="5" t="n">
        <v>10</v>
      </c>
      <c r="O397" s="5" t="n"/>
      <c r="P397" s="4" t="inlineStr">
        <is>
          <t>Curto Prazo</t>
        </is>
      </c>
      <c r="Q397" s="4" t="inlineStr">
        <is>
          <t>Sim</t>
        </is>
      </c>
      <c r="R397" s="4" t="inlineStr">
        <is>
          <t>API interna</t>
        </is>
      </c>
      <c r="S397" s="4" t="n">
        <v>1</v>
      </c>
      <c r="T397" s="4" t="inlineStr">
        <is>
          <t>Não</t>
        </is>
      </c>
      <c r="U397" s="4" t="inlineStr">
        <is>
          <t>Sim</t>
        </is>
      </c>
      <c r="V397" s="4" t="inlineStr">
        <is>
          <t>Não</t>
        </is>
      </c>
      <c r="W397" s="4" t="inlineStr"/>
    </row>
    <row r="398">
      <c r="A398" s="4" t="inlineStr">
        <is>
          <t>BTG Pactual</t>
        </is>
      </c>
      <c r="B398" s="4" t="inlineStr">
        <is>
          <t>Real Investor 100 Icatu Prev Qualificado FICFIA RL</t>
        </is>
      </c>
      <c r="C398" s="6" t="inlineStr">
        <is>
          <t>40.213.012/0001-19</t>
        </is>
      </c>
      <c r="D398" s="4" t="inlineStr">
        <is>
          <t>REAL INVESTOR ASSET MANAGEMENT LTDA</t>
        </is>
      </c>
      <c r="E398" s="4" t="inlineStr">
        <is>
          <t>11.570.951/0001-12</t>
        </is>
      </c>
      <c r="F398" s="4" t="inlineStr">
        <is>
          <t>BNY MELLON SERVICOS FINANCEIROS DTVM S/A</t>
        </is>
      </c>
      <c r="G398" s="4" t="inlineStr">
        <is>
          <t>Ações</t>
        </is>
      </c>
      <c r="H398" s="4" t="inlineStr">
        <is>
          <t>Renda Variável</t>
        </is>
      </c>
      <c r="I398" s="7" t="n">
        <v>5000</v>
      </c>
      <c r="J398" s="8" t="n">
        <v>2</v>
      </c>
      <c r="K398" s="8" t="n">
        <v>15</v>
      </c>
      <c r="L398" s="4" t="inlineStr">
        <is>
          <t>-</t>
        </is>
      </c>
      <c r="M398" s="5" t="n">
        <v>20</v>
      </c>
      <c r="N398" s="5" t="n">
        <v>22</v>
      </c>
      <c r="O398" s="5" t="n"/>
      <c r="P398" s="4" t="inlineStr">
        <is>
          <t>Renda Variável</t>
        </is>
      </c>
      <c r="Q398" s="4" t="inlineStr">
        <is>
          <t>Não</t>
        </is>
      </c>
      <c r="R398" s="4" t="inlineStr">
        <is>
          <t>API interna</t>
        </is>
      </c>
      <c r="S398" s="4" t="n">
        <v>1</v>
      </c>
      <c r="T398" s="4" t="inlineStr">
        <is>
          <t>Não</t>
        </is>
      </c>
      <c r="U398" s="4" t="inlineStr">
        <is>
          <t>Sim</t>
        </is>
      </c>
      <c r="V398" s="4" t="inlineStr">
        <is>
          <t>Não</t>
        </is>
      </c>
      <c r="W398" s="4" t="inlineStr"/>
    </row>
    <row r="399">
      <c r="A399" s="4" t="inlineStr">
        <is>
          <t>BTG Pactual</t>
        </is>
      </c>
      <c r="B399" s="4" t="inlineStr">
        <is>
          <t>Real Investor 70 Prev FIM RL</t>
        </is>
      </c>
      <c r="C399" s="6" t="inlineStr">
        <is>
          <t>33.588.607/0001-93</t>
        </is>
      </c>
      <c r="D399" s="4" t="inlineStr">
        <is>
          <t>REAL INVESTOR ASSET MANAGEMENT LTDA</t>
        </is>
      </c>
      <c r="E399" s="4" t="inlineStr">
        <is>
          <t>11.570.951/0001-12</t>
        </is>
      </c>
      <c r="F399" s="4" t="inlineStr">
        <is>
          <t>BTG PACTUAL SERVICOS FINANCEIROS S.A. DISTRIBUIDOR</t>
        </is>
      </c>
      <c r="G399" s="4" t="inlineStr">
        <is>
          <t>Multimercado</t>
        </is>
      </c>
      <c r="H399" s="4" t="inlineStr">
        <is>
          <t>Renda Variável</t>
        </is>
      </c>
      <c r="I399" s="7" t="n">
        <v>1000</v>
      </c>
      <c r="J399" s="8" t="n"/>
      <c r="K399" s="8" t="n">
        <v>15</v>
      </c>
      <c r="L399" s="4" t="inlineStr">
        <is>
          <t>CDI</t>
        </is>
      </c>
      <c r="M399" s="5" t="n">
        <v>6</v>
      </c>
      <c r="N399" s="5" t="n">
        <v>9</v>
      </c>
      <c r="O399" s="5" t="n"/>
      <c r="P399" s="4" t="inlineStr">
        <is>
          <t>Curto Prazo</t>
        </is>
      </c>
      <c r="Q399" s="4" t="inlineStr">
        <is>
          <t>Não</t>
        </is>
      </c>
      <c r="R399" s="4" t="inlineStr">
        <is>
          <t>API interna</t>
        </is>
      </c>
      <c r="S399" s="4" t="n">
        <v>1</v>
      </c>
      <c r="T399" s="4" t="inlineStr">
        <is>
          <t>Não</t>
        </is>
      </c>
      <c r="U399" s="4" t="inlineStr">
        <is>
          <t>Sim</t>
        </is>
      </c>
      <c r="V399" s="4" t="inlineStr">
        <is>
          <t>Não</t>
        </is>
      </c>
      <c r="W399" s="4" t="inlineStr"/>
    </row>
    <row r="400">
      <c r="A400" s="4" t="inlineStr">
        <is>
          <t>BTG Pactual</t>
        </is>
      </c>
      <c r="B400" s="4" t="inlineStr">
        <is>
          <t>Regia Acoes ESG 100 Prev Icatu Seguros FICFIA IS RL</t>
        </is>
      </c>
      <c r="C400" s="6" t="inlineStr">
        <is>
          <t>35.807.793/0001-30</t>
        </is>
      </c>
      <c r="D400" s="4" t="inlineStr">
        <is>
          <t>REGIA CAPITAL LTDA</t>
        </is>
      </c>
      <c r="E400" s="4" t="inlineStr">
        <is>
          <t>54.464.258/0001-78</t>
        </is>
      </c>
      <c r="F400" s="4" t="inlineStr">
        <is>
          <t>BNY MELLON SERVICOS FINANCEIROS DTVM S/A</t>
        </is>
      </c>
      <c r="G400" s="4" t="inlineStr">
        <is>
          <t>Ações</t>
        </is>
      </c>
      <c r="H400" s="4" t="inlineStr">
        <is>
          <t>Renda Variável</t>
        </is>
      </c>
      <c r="I400" s="7" t="n">
        <v>5000</v>
      </c>
      <c r="J400" s="8" t="n">
        <v>1.85</v>
      </c>
      <c r="K400" s="8" t="n">
        <v>20</v>
      </c>
      <c r="L400" s="4" t="inlineStr">
        <is>
          <t>IBOVESPA</t>
        </is>
      </c>
      <c r="M400" s="5" t="n">
        <v>2</v>
      </c>
      <c r="N400" s="5" t="n">
        <v>4</v>
      </c>
      <c r="O400" s="5" t="n"/>
      <c r="P400" s="4" t="inlineStr">
        <is>
          <t>Renda Variável</t>
        </is>
      </c>
      <c r="Q400" s="4" t="inlineStr">
        <is>
          <t>Não</t>
        </is>
      </c>
      <c r="R400" s="4" t="inlineStr">
        <is>
          <t>API interna</t>
        </is>
      </c>
      <c r="S400" s="4" t="n">
        <v>1</v>
      </c>
      <c r="T400" s="4" t="inlineStr">
        <is>
          <t>Não</t>
        </is>
      </c>
      <c r="U400" s="4" t="inlineStr">
        <is>
          <t>Sim</t>
        </is>
      </c>
      <c r="V400" s="4" t="inlineStr">
        <is>
          <t>Não</t>
        </is>
      </c>
      <c r="W400" s="4" t="inlineStr"/>
    </row>
    <row r="401">
      <c r="A401" s="4" t="inlineStr">
        <is>
          <t>BTG Pactual</t>
        </is>
      </c>
      <c r="B401" s="4" t="inlineStr">
        <is>
          <t>Riza Icatu Prev Low Vol FIM RL</t>
        </is>
      </c>
      <c r="C401" s="6" t="inlineStr">
        <is>
          <t>31.248.460/0001-67</t>
        </is>
      </c>
      <c r="D401" s="4" t="inlineStr">
        <is>
          <t>RIZA LÍQUIDOS GESTORA DE RECURSOS LTDA.</t>
        </is>
      </c>
      <c r="E401" s="4" t="inlineStr">
        <is>
          <t>50.715.649/0001-67</t>
        </is>
      </c>
      <c r="F401" s="4" t="inlineStr">
        <is>
          <t>BEM DISTRIBUIDORA DE TITULOS E VALORES MOBILIARIOS</t>
        </is>
      </c>
      <c r="G401" s="4" t="inlineStr">
        <is>
          <t>Multimercado</t>
        </is>
      </c>
      <c r="H401" s="4" t="inlineStr">
        <is>
          <t>Renda Fixa</t>
        </is>
      </c>
      <c r="I401" s="7" t="n">
        <v>1500</v>
      </c>
      <c r="J401" s="8" t="n">
        <v>0.8</v>
      </c>
      <c r="K401" s="8" t="n"/>
      <c r="L401" s="4" t="inlineStr"/>
      <c r="M401" s="5" t="n">
        <v>3</v>
      </c>
      <c r="N401" s="5" t="n">
        <v>4</v>
      </c>
      <c r="O401" s="5" t="n"/>
      <c r="P401" s="4" t="inlineStr">
        <is>
          <t>Longo Prazo</t>
        </is>
      </c>
      <c r="Q401" s="4" t="inlineStr">
        <is>
          <t>Não</t>
        </is>
      </c>
      <c r="R401" s="4" t="inlineStr">
        <is>
          <t>API interna</t>
        </is>
      </c>
      <c r="S401" s="4" t="n">
        <v>1</v>
      </c>
      <c r="T401" s="4" t="inlineStr">
        <is>
          <t>Não</t>
        </is>
      </c>
      <c r="U401" s="4" t="inlineStr">
        <is>
          <t>Sim</t>
        </is>
      </c>
      <c r="V401" s="4" t="inlineStr">
        <is>
          <t>Não</t>
        </is>
      </c>
      <c r="W401" s="4" t="inlineStr"/>
    </row>
    <row r="402">
      <c r="A402" s="4" t="inlineStr">
        <is>
          <t>BTG Pactual</t>
        </is>
      </c>
      <c r="B402" s="4" t="inlineStr">
        <is>
          <t>Riza Lotus Prev FICFIRF CrPr RL</t>
        </is>
      </c>
      <c r="C402" s="6" t="inlineStr">
        <is>
          <t>56.954.063/0001-31</t>
        </is>
      </c>
      <c r="D402" s="4" t="inlineStr">
        <is>
          <t>RIZA LÍQUIDOS GESTORA DE RECURSOS LTDA.</t>
        </is>
      </c>
      <c r="E402" s="4" t="inlineStr">
        <is>
          <t>50.715.649/0001-67</t>
        </is>
      </c>
      <c r="F402" s="4" t="inlineStr">
        <is>
          <t>BTG PACTUAL SERVICOS FINANCEIROS S.A. DISTRIBUIDOR</t>
        </is>
      </c>
      <c r="G402" s="4" t="inlineStr">
        <is>
          <t>Renda Fixa</t>
        </is>
      </c>
      <c r="H402" s="4" t="inlineStr">
        <is>
          <t>Renda Fixa</t>
        </is>
      </c>
      <c r="I402" s="7" t="n">
        <v>500</v>
      </c>
      <c r="J402" s="8" t="n">
        <v>0.35</v>
      </c>
      <c r="K402" s="8" t="n"/>
      <c r="L402" s="4" t="inlineStr"/>
      <c r="M402" s="5" t="n">
        <v>7</v>
      </c>
      <c r="N402" s="5" t="n">
        <v>8</v>
      </c>
      <c r="O402" s="5" t="n"/>
      <c r="P402" s="4" t="inlineStr">
        <is>
          <t>Curto Prazo</t>
        </is>
      </c>
      <c r="Q402" s="4" t="inlineStr">
        <is>
          <t>Não</t>
        </is>
      </c>
      <c r="R402" s="4" t="inlineStr">
        <is>
          <t>API interna</t>
        </is>
      </c>
      <c r="S402" s="4" t="n">
        <v>1</v>
      </c>
      <c r="T402" s="4" t="inlineStr">
        <is>
          <t>Não</t>
        </is>
      </c>
      <c r="U402" s="4" t="inlineStr">
        <is>
          <t>Sim</t>
        </is>
      </c>
      <c r="V402" s="4" t="inlineStr">
        <is>
          <t>Não</t>
        </is>
      </c>
      <c r="W402" s="4" t="inlineStr"/>
    </row>
    <row r="403">
      <c r="A403" s="4" t="inlineStr">
        <is>
          <t>BTG Pactual</t>
        </is>
      </c>
      <c r="B403" s="4" t="inlineStr">
        <is>
          <t>Riza Lotus Prev Fundo Access CrPr RL</t>
        </is>
      </c>
      <c r="C403" s="6" t="inlineStr">
        <is>
          <t>47.564.762/0001-84</t>
        </is>
      </c>
      <c r="D403" s="4" t="inlineStr">
        <is>
          <t>BTG PACTUAL GESTÃO E CONSULTORIA DE INVESTIMENTOS LTDA</t>
        </is>
      </c>
      <c r="E403" s="4" t="inlineStr">
        <is>
          <t>12.695.840/0001-03</t>
        </is>
      </c>
      <c r="F403" s="4" t="inlineStr">
        <is>
          <t>BTG PACTUAL SERVICOS FINANCEIROS S.A. DISTRIBUIDOR</t>
        </is>
      </c>
      <c r="G403" s="4" t="inlineStr">
        <is>
          <t>Renda Fixa</t>
        </is>
      </c>
      <c r="H403" s="4" t="inlineStr">
        <is>
          <t>Renda Fixa</t>
        </is>
      </c>
      <c r="I403" s="7" t="n">
        <v>1000</v>
      </c>
      <c r="J403" s="8" t="n"/>
      <c r="K403" s="8" t="n"/>
      <c r="L403" s="4" t="inlineStr"/>
      <c r="M403" s="5" t="n">
        <v>7</v>
      </c>
      <c r="N403" s="5" t="n">
        <v>8</v>
      </c>
      <c r="O403" s="5" t="n"/>
      <c r="P403" s="4" t="inlineStr">
        <is>
          <t>Curto Prazo</t>
        </is>
      </c>
      <c r="Q403" s="4" t="inlineStr">
        <is>
          <t>Sim</t>
        </is>
      </c>
      <c r="R403" s="4" t="inlineStr">
        <is>
          <t>API interna</t>
        </is>
      </c>
      <c r="S403" s="4" t="n">
        <v>1</v>
      </c>
      <c r="T403" s="4" t="inlineStr">
        <is>
          <t>Não</t>
        </is>
      </c>
      <c r="U403" s="4" t="inlineStr">
        <is>
          <t>Sim</t>
        </is>
      </c>
      <c r="V403" s="4" t="inlineStr">
        <is>
          <t>Não</t>
        </is>
      </c>
      <c r="W403" s="4" t="inlineStr"/>
    </row>
    <row r="404">
      <c r="A404" s="4" t="inlineStr">
        <is>
          <t>BTG Pactual</t>
        </is>
      </c>
      <c r="B404" s="4" t="inlineStr">
        <is>
          <t>Root CAP Cred HG Prev FICFIRF CrPr RL</t>
        </is>
      </c>
      <c r="C404" s="6" t="inlineStr">
        <is>
          <t>46.502.826/0001-50</t>
        </is>
      </c>
      <c r="D404" s="4" t="inlineStr">
        <is>
          <t>ROOT CAPITAL - GESTÃO DE RECURSOS LTDA</t>
        </is>
      </c>
      <c r="E404" s="4" t="inlineStr">
        <is>
          <t>11.397.040/0001-35</t>
        </is>
      </c>
      <c r="F404" s="4" t="inlineStr">
        <is>
          <t>BNY MELLON SERVICOS FINANCEIROS DTVM S/A</t>
        </is>
      </c>
      <c r="G404" s="4" t="inlineStr">
        <is>
          <t>Renda Fixa</t>
        </is>
      </c>
      <c r="H404" s="4" t="inlineStr">
        <is>
          <t>Renda Fixa</t>
        </is>
      </c>
      <c r="I404" s="7" t="n">
        <v>1000</v>
      </c>
      <c r="J404" s="8" t="n"/>
      <c r="K404" s="8" t="n"/>
      <c r="L404" s="4" t="inlineStr"/>
      <c r="M404" s="5" t="n">
        <v>7</v>
      </c>
      <c r="N404" s="5" t="n">
        <v>9</v>
      </c>
      <c r="O404" s="5" t="n"/>
      <c r="P404" s="4" t="inlineStr">
        <is>
          <t>Longo Prazo</t>
        </is>
      </c>
      <c r="Q404" s="4" t="inlineStr">
        <is>
          <t>Não</t>
        </is>
      </c>
      <c r="R404" s="4" t="inlineStr">
        <is>
          <t>API interna</t>
        </is>
      </c>
      <c r="S404" s="4" t="n">
        <v>1</v>
      </c>
      <c r="T404" s="4" t="inlineStr">
        <is>
          <t>Não</t>
        </is>
      </c>
      <c r="U404" s="4" t="inlineStr">
        <is>
          <t>Sim</t>
        </is>
      </c>
      <c r="V404" s="4" t="inlineStr">
        <is>
          <t>Não</t>
        </is>
      </c>
      <c r="W404" s="4" t="inlineStr"/>
    </row>
    <row r="405">
      <c r="A405" s="4" t="inlineStr">
        <is>
          <t>BTG Pactual</t>
        </is>
      </c>
      <c r="B405" s="4" t="inlineStr">
        <is>
          <t>Root Capital HY BTG Prev FICFIRF CrPr RL</t>
        </is>
      </c>
      <c r="C405" s="6" t="inlineStr">
        <is>
          <t>54.142.143/0001-67</t>
        </is>
      </c>
      <c r="D405" s="4" t="inlineStr">
        <is>
          <t>ROOT CAPITAL - GESTÃO DE RECURSOS LTDA</t>
        </is>
      </c>
      <c r="E405" s="4" t="inlineStr">
        <is>
          <t>11.397.040/0001-35</t>
        </is>
      </c>
      <c r="F405" s="4" t="inlineStr">
        <is>
          <t>BNY MELLON SERVICOS FINANCEIROS DISTRIBUIDORA DE T</t>
        </is>
      </c>
      <c r="G405" s="4" t="inlineStr">
        <is>
          <t>Renda Fixa</t>
        </is>
      </c>
      <c r="H405" s="4" t="inlineStr">
        <is>
          <t>Renda Fixa</t>
        </is>
      </c>
      <c r="I405" s="7" t="n">
        <v>1000</v>
      </c>
      <c r="J405" s="8" t="n">
        <v>1.45</v>
      </c>
      <c r="K405" s="8" t="n">
        <v>20</v>
      </c>
      <c r="L405" s="4" t="inlineStr">
        <is>
          <t>-</t>
        </is>
      </c>
      <c r="M405" s="5" t="n">
        <v>179</v>
      </c>
      <c r="N405" s="5" t="n">
        <v>180</v>
      </c>
      <c r="O405" s="5" t="n"/>
      <c r="P405" s="4" t="inlineStr">
        <is>
          <t>Longo Prazo</t>
        </is>
      </c>
      <c r="Q405" s="4" t="inlineStr">
        <is>
          <t>Não</t>
        </is>
      </c>
      <c r="R405" s="4" t="inlineStr">
        <is>
          <t>API interna</t>
        </is>
      </c>
      <c r="S405" s="4" t="n">
        <v>1</v>
      </c>
      <c r="T405" s="4" t="inlineStr">
        <is>
          <t>Não</t>
        </is>
      </c>
      <c r="U405" s="4" t="inlineStr">
        <is>
          <t>Sim</t>
        </is>
      </c>
      <c r="V405" s="4" t="inlineStr">
        <is>
          <t>Não</t>
        </is>
      </c>
      <c r="W405" s="4" t="inlineStr"/>
    </row>
    <row r="406">
      <c r="A406" s="4" t="inlineStr">
        <is>
          <t>BTG Pactual</t>
        </is>
      </c>
      <c r="B406" s="4" t="inlineStr">
        <is>
          <t>SPX Lancer Plus XXX Prev FICFIM Access RL</t>
        </is>
      </c>
      <c r="C406" s="6" t="inlineStr">
        <is>
          <t>43.164.533/0001-11</t>
        </is>
      </c>
      <c r="D406" s="4" t="inlineStr">
        <is>
          <t>BTG PACTUAL GESTÃO E CONSULTORIA DE INVESTIMENTOS LTDA</t>
        </is>
      </c>
      <c r="E406" s="4" t="inlineStr">
        <is>
          <t>12.695.840/0001-03</t>
        </is>
      </c>
      <c r="F406" s="4" t="inlineStr">
        <is>
          <t>BTG PACTUAL SERVICOS FINANCEIROS S.A. DISTRIBUIDOR</t>
        </is>
      </c>
      <c r="G406" s="4" t="inlineStr">
        <is>
          <t>Multimercado</t>
        </is>
      </c>
      <c r="H406" s="4" t="inlineStr">
        <is>
          <t>Multimercado</t>
        </is>
      </c>
      <c r="I406" s="7" t="n">
        <v>1000</v>
      </c>
      <c r="J406" s="8" t="n">
        <v>2</v>
      </c>
      <c r="K406" s="8" t="n"/>
      <c r="L406" s="4" t="inlineStr"/>
      <c r="M406" s="5" t="n">
        <v>2</v>
      </c>
      <c r="N406" s="5" t="n">
        <v>5</v>
      </c>
      <c r="O406" s="5" t="n"/>
      <c r="P406" s="4" t="inlineStr">
        <is>
          <t>Curto Prazo</t>
        </is>
      </c>
      <c r="Q406" s="4" t="inlineStr">
        <is>
          <t>Não</t>
        </is>
      </c>
      <c r="R406" s="4" t="inlineStr">
        <is>
          <t>API interna</t>
        </is>
      </c>
      <c r="S406" s="4" t="n">
        <v>1</v>
      </c>
      <c r="T406" s="4" t="inlineStr">
        <is>
          <t>Não</t>
        </is>
      </c>
      <c r="U406" s="4" t="inlineStr">
        <is>
          <t>Sim</t>
        </is>
      </c>
      <c r="V406" s="4" t="inlineStr">
        <is>
          <t>Não</t>
        </is>
      </c>
      <c r="W406" s="4" t="inlineStr"/>
    </row>
    <row r="407">
      <c r="A407" s="4" t="inlineStr">
        <is>
          <t>BTG Pactual</t>
        </is>
      </c>
      <c r="B407" s="4" t="inlineStr">
        <is>
          <t>SPX Prev Fundo Access CrPr RL</t>
        </is>
      </c>
      <c r="C407" s="6" t="inlineStr">
        <is>
          <t>61.760.793/0001-31</t>
        </is>
      </c>
      <c r="D407" s="4" t="inlineStr">
        <is>
          <t>BTG PACTUAL GESTÃO E CONSULTORIA DE INVESTIMENTOS LTDA</t>
        </is>
      </c>
      <c r="E407" s="4" t="inlineStr">
        <is>
          <t>12.695.840/0001-03</t>
        </is>
      </c>
      <c r="F407" s="4" t="inlineStr">
        <is>
          <t>BTG PACTUAL SERVICOS FINANCEIROS S.A. DISTRIBUIDOR</t>
        </is>
      </c>
      <c r="G407" s="4" t="inlineStr">
        <is>
          <t>Renda Fixa</t>
        </is>
      </c>
      <c r="H407" s="4" t="inlineStr">
        <is>
          <t>Renda Fixa</t>
        </is>
      </c>
      <c r="I407" s="7" t="n">
        <v>1000</v>
      </c>
      <c r="J407" s="8" t="n"/>
      <c r="K407" s="8" t="n">
        <v>20</v>
      </c>
      <c r="L407" s="4" t="inlineStr">
        <is>
          <t>-</t>
        </is>
      </c>
      <c r="M407" s="5" t="n">
        <v>8</v>
      </c>
      <c r="N407" s="5" t="n">
        <v>10</v>
      </c>
      <c r="O407" s="5" t="n"/>
      <c r="P407" s="4" t="inlineStr">
        <is>
          <t>Curto Prazo</t>
        </is>
      </c>
      <c r="Q407" s="4" t="inlineStr">
        <is>
          <t>Não</t>
        </is>
      </c>
      <c r="R407" s="4" t="inlineStr">
        <is>
          <t>API interna</t>
        </is>
      </c>
      <c r="S407" s="4" t="n">
        <v>1</v>
      </c>
      <c r="T407" s="4" t="inlineStr">
        <is>
          <t>Não</t>
        </is>
      </c>
      <c r="U407" s="4" t="inlineStr">
        <is>
          <t>Sim</t>
        </is>
      </c>
      <c r="V407" s="4" t="inlineStr">
        <is>
          <t>Não</t>
        </is>
      </c>
      <c r="W407" s="4" t="inlineStr"/>
    </row>
    <row r="408">
      <c r="A408" s="4" t="inlineStr">
        <is>
          <t>BTG Pactual</t>
        </is>
      </c>
      <c r="B408" s="4" t="inlineStr">
        <is>
          <t>SPX Prev Long Bias BP Prev FICFIM RL</t>
        </is>
      </c>
      <c r="C408" s="6" t="inlineStr">
        <is>
          <t>41.063.234/0001-65</t>
        </is>
      </c>
      <c r="D408" s="4" t="inlineStr">
        <is>
          <t>BTG PACTUAL GESTÃO E CONSULTORIA DE INVESTIMENTOS LTDA</t>
        </is>
      </c>
      <c r="E408" s="4" t="inlineStr">
        <is>
          <t>12.695.840/0001-03</t>
        </is>
      </c>
      <c r="F408" s="4" t="inlineStr">
        <is>
          <t>BTG PACTUAL SERVICOS FINANCEIROS S.A. DISTRIBUIDOR</t>
        </is>
      </c>
      <c r="G408" s="4" t="inlineStr">
        <is>
          <t>Multimercado</t>
        </is>
      </c>
      <c r="H408" s="4" t="inlineStr">
        <is>
          <t>Renda Variável</t>
        </is>
      </c>
      <c r="I408" s="7" t="n">
        <v>1000</v>
      </c>
      <c r="J408" s="8" t="n">
        <v>2</v>
      </c>
      <c r="K408" s="8" t="n">
        <v>20</v>
      </c>
      <c r="L408" s="4" t="inlineStr">
        <is>
          <t>CDI</t>
        </is>
      </c>
      <c r="M408" s="5" t="n">
        <v>30</v>
      </c>
      <c r="N408" s="5" t="n">
        <v>32</v>
      </c>
      <c r="O408" s="5" t="n"/>
      <c r="P408" s="4" t="inlineStr">
        <is>
          <t>Curto Prazo</t>
        </is>
      </c>
      <c r="Q408" s="4" t="inlineStr">
        <is>
          <t>Sim</t>
        </is>
      </c>
      <c r="R408" s="4" t="inlineStr">
        <is>
          <t>API interna</t>
        </is>
      </c>
      <c r="S408" s="4" t="n">
        <v>1</v>
      </c>
      <c r="T408" s="4" t="inlineStr">
        <is>
          <t>Não</t>
        </is>
      </c>
      <c r="U408" s="4" t="inlineStr">
        <is>
          <t>Sim</t>
        </is>
      </c>
      <c r="V408" s="4" t="inlineStr">
        <is>
          <t>Não</t>
        </is>
      </c>
      <c r="W408" s="4" t="inlineStr"/>
    </row>
    <row r="409">
      <c r="A409" s="4" t="inlineStr">
        <is>
          <t>BTG Pactual</t>
        </is>
      </c>
      <c r="B409" s="4" t="inlineStr">
        <is>
          <t>SPX Seahawk Plus Prev FICFIM Access CrPr RL</t>
        </is>
      </c>
      <c r="C409" s="6" t="inlineStr">
        <is>
          <t>43.985.398/0001-75</t>
        </is>
      </c>
      <c r="D409" s="4" t="inlineStr">
        <is>
          <t>BTG PACTUAL GESTÃO E CONSULTORIA DE INVESTIMENTOS LTDA</t>
        </is>
      </c>
      <c r="E409" s="4" t="inlineStr">
        <is>
          <t>12.695.840/0001-03</t>
        </is>
      </c>
      <c r="F409" s="4" t="inlineStr">
        <is>
          <t>BTG PACTUAL SERVICOS FINANCEIROS S.A. DISTRIBUIDOR</t>
        </is>
      </c>
      <c r="G409" s="4" t="inlineStr">
        <is>
          <t>Multimercado</t>
        </is>
      </c>
      <c r="H409" s="4" t="inlineStr">
        <is>
          <t>Renda Fixa</t>
        </is>
      </c>
      <c r="I409" s="7" t="n">
        <v>1000</v>
      </c>
      <c r="J409" s="8" t="n">
        <v>0.8</v>
      </c>
      <c r="K409" s="8" t="n">
        <v>20</v>
      </c>
      <c r="L409" s="4" t="inlineStr">
        <is>
          <t>CDI</t>
        </is>
      </c>
      <c r="M409" s="5" t="n">
        <v>8</v>
      </c>
      <c r="N409" s="5" t="n">
        <v>9</v>
      </c>
      <c r="O409" s="5" t="n"/>
      <c r="P409" s="4" t="inlineStr">
        <is>
          <t>Curto Prazo</t>
        </is>
      </c>
      <c r="Q409" s="4" t="inlineStr">
        <is>
          <t>Não</t>
        </is>
      </c>
      <c r="R409" s="4" t="inlineStr">
        <is>
          <t>API interna</t>
        </is>
      </c>
      <c r="S409" s="4" t="n">
        <v>1</v>
      </c>
      <c r="T409" s="4" t="inlineStr">
        <is>
          <t>Não</t>
        </is>
      </c>
      <c r="U409" s="4" t="inlineStr">
        <is>
          <t>Sim</t>
        </is>
      </c>
      <c r="V409" s="4" t="inlineStr">
        <is>
          <t>Não</t>
        </is>
      </c>
      <c r="W409" s="4" t="inlineStr"/>
    </row>
    <row r="410">
      <c r="A410" s="4" t="inlineStr">
        <is>
          <t>BTG Pactual</t>
        </is>
      </c>
      <c r="B410" s="4" t="inlineStr">
        <is>
          <t>STK Long Biased Prev Icatu Qualificado FIE FIA RL</t>
        </is>
      </c>
      <c r="C410" s="6" t="inlineStr">
        <is>
          <t>40.885.815/0001-10</t>
        </is>
      </c>
      <c r="D410" s="4" t="inlineStr">
        <is>
          <t>STK CAPITAL GESTORA DE RECURSOS LTDA.</t>
        </is>
      </c>
      <c r="E410" s="4" t="inlineStr">
        <is>
          <t>11.888.689/0001-59</t>
        </is>
      </c>
      <c r="F410" s="4" t="inlineStr">
        <is>
          <t>BEM DISTRIBUIDORA DE TITULOS E VALORES MOBILIARIOS</t>
        </is>
      </c>
      <c r="G410" s="4" t="inlineStr">
        <is>
          <t>Ações</t>
        </is>
      </c>
      <c r="H410" s="4" t="inlineStr">
        <is>
          <t>Renda Variável</t>
        </is>
      </c>
      <c r="I410" s="7" t="n">
        <v>5000</v>
      </c>
      <c r="J410" s="8" t="n">
        <v>2</v>
      </c>
      <c r="K410" s="8" t="n"/>
      <c r="L410" s="4" t="inlineStr"/>
      <c r="M410" s="5" t="n">
        <v>20</v>
      </c>
      <c r="N410" s="5" t="n">
        <v>22</v>
      </c>
      <c r="O410" s="5" t="n"/>
      <c r="P410" s="4" t="inlineStr">
        <is>
          <t>Longo Prazo</t>
        </is>
      </c>
      <c r="Q410" s="4" t="inlineStr">
        <is>
          <t>Não</t>
        </is>
      </c>
      <c r="R410" s="4" t="inlineStr">
        <is>
          <t>API interna</t>
        </is>
      </c>
      <c r="S410" s="4" t="n">
        <v>1</v>
      </c>
      <c r="T410" s="4" t="inlineStr">
        <is>
          <t>Não</t>
        </is>
      </c>
      <c r="U410" s="4" t="inlineStr">
        <is>
          <t>Sim</t>
        </is>
      </c>
      <c r="V410" s="4" t="inlineStr">
        <is>
          <t>Não</t>
        </is>
      </c>
      <c r="W410" s="4" t="inlineStr"/>
    </row>
    <row r="411">
      <c r="A411" s="4" t="inlineStr">
        <is>
          <t>BTG Pactual</t>
        </is>
      </c>
      <c r="B411" s="4" t="inlineStr">
        <is>
          <t>SUL America Prev FICFIRF CrPr RL</t>
        </is>
      </c>
      <c r="C411" s="6" t="inlineStr">
        <is>
          <t>33.701.820/0001-60</t>
        </is>
      </c>
      <c r="D411" s="4" t="inlineStr">
        <is>
          <t>SUL AMÉRICA INVESTIMENTOS GESTORA DE RECURSOS S.A.</t>
        </is>
      </c>
      <c r="E411" s="4" t="inlineStr">
        <is>
          <t>21.813.291/0001-07</t>
        </is>
      </c>
      <c r="F411" s="4" t="inlineStr">
        <is>
          <t>BTG PACTUAL SERVICOS FINANCEIROS S.A. DISTRIBUIDOR</t>
        </is>
      </c>
      <c r="G411" s="4" t="inlineStr">
        <is>
          <t>Renda Fixa</t>
        </is>
      </c>
      <c r="H411" s="4" t="inlineStr">
        <is>
          <t>Renda Fixa</t>
        </is>
      </c>
      <c r="I411" s="7" t="n">
        <v>1000</v>
      </c>
      <c r="J411" s="8" t="n">
        <v>1</v>
      </c>
      <c r="K411" s="8" t="n"/>
      <c r="L411" s="4" t="inlineStr"/>
      <c r="M411" s="5" t="n">
        <v>1</v>
      </c>
      <c r="N411" s="5" t="n">
        <v>2</v>
      </c>
      <c r="O411" s="5" t="n"/>
      <c r="P411" s="4" t="inlineStr">
        <is>
          <t>Curto Prazo</t>
        </is>
      </c>
      <c r="Q411" s="4" t="inlineStr">
        <is>
          <t>Não</t>
        </is>
      </c>
      <c r="R411" s="4" t="inlineStr">
        <is>
          <t>API interna</t>
        </is>
      </c>
      <c r="S411" s="4" t="n">
        <v>1</v>
      </c>
      <c r="T411" s="4" t="inlineStr">
        <is>
          <t>Não</t>
        </is>
      </c>
      <c r="U411" s="4" t="inlineStr">
        <is>
          <t>Sim</t>
        </is>
      </c>
      <c r="V411" s="4" t="inlineStr">
        <is>
          <t>Não</t>
        </is>
      </c>
      <c r="W411" s="4" t="inlineStr"/>
    </row>
    <row r="412">
      <c r="A412" s="4" t="inlineStr">
        <is>
          <t>BTG Pactual</t>
        </is>
      </c>
      <c r="B412" s="4" t="inlineStr">
        <is>
          <t>Safari Prev FICFIM RL</t>
        </is>
      </c>
      <c r="C412" s="6" t="inlineStr">
        <is>
          <t>23.502.724/0001-39</t>
        </is>
      </c>
      <c r="D412" s="4" t="inlineStr">
        <is>
          <t>SAFARI CAPITAL GESTÃO DE RECURSOS LTDA.</t>
        </is>
      </c>
      <c r="E412" s="4" t="inlineStr">
        <is>
          <t>21.850.329/0001-11</t>
        </is>
      </c>
      <c r="F412" s="4" t="inlineStr">
        <is>
          <t>SUL AMERICA INVESTIMENTOS DISTRIBUIDORA DE TITULOS</t>
        </is>
      </c>
      <c r="G412" s="4" t="inlineStr">
        <is>
          <t>Multimercado</t>
        </is>
      </c>
      <c r="H412" s="4" t="inlineStr">
        <is>
          <t>Renda Variável</t>
        </is>
      </c>
      <c r="I412" s="7" t="n">
        <v>1000</v>
      </c>
      <c r="J412" s="8" t="n">
        <v>2</v>
      </c>
      <c r="K412" s="8" t="n"/>
      <c r="L412" s="4" t="inlineStr"/>
      <c r="M412" s="5" t="n">
        <v>7</v>
      </c>
      <c r="N412" s="5" t="n">
        <v>9</v>
      </c>
      <c r="O412" s="5" t="n"/>
      <c r="P412" s="4" t="inlineStr">
        <is>
          <t>Não Aplicável</t>
        </is>
      </c>
      <c r="Q412" s="4" t="inlineStr">
        <is>
          <t>Sim</t>
        </is>
      </c>
      <c r="R412" s="4" t="inlineStr">
        <is>
          <t>API interna</t>
        </is>
      </c>
      <c r="S412" s="4" t="n">
        <v>1</v>
      </c>
      <c r="T412" s="4" t="inlineStr">
        <is>
          <t>Não</t>
        </is>
      </c>
      <c r="U412" s="4" t="inlineStr">
        <is>
          <t>Sim</t>
        </is>
      </c>
      <c r="V412" s="4" t="inlineStr">
        <is>
          <t>Não</t>
        </is>
      </c>
      <c r="W412" s="4" t="inlineStr"/>
    </row>
    <row r="413">
      <c r="A413" s="4" t="inlineStr">
        <is>
          <t>BTG Pactual</t>
        </is>
      </c>
      <c r="B413" s="4" t="inlineStr">
        <is>
          <t>Safra Vitesse Prev FICFIRF Access CrPr RL</t>
        </is>
      </c>
      <c r="C413" s="6" t="inlineStr">
        <is>
          <t>51.623.929/0001-08</t>
        </is>
      </c>
      <c r="D413" s="4" t="inlineStr">
        <is>
          <t>BTG PACTUAL GESTÃO E CONSULTORIA DE INVESTIMENTOS LTDA</t>
        </is>
      </c>
      <c r="E413" s="4" t="inlineStr">
        <is>
          <t>12.695.840/0001-03</t>
        </is>
      </c>
      <c r="F413" s="4" t="inlineStr">
        <is>
          <t>BTG PACTUAL SERVICOS FINANCEIROS S.A. DISTRIBUIDOR</t>
        </is>
      </c>
      <c r="G413" s="4" t="inlineStr">
        <is>
          <t>Renda Fixa</t>
        </is>
      </c>
      <c r="H413" s="4" t="inlineStr">
        <is>
          <t>Renda Fixa</t>
        </is>
      </c>
      <c r="I413" s="7" t="n">
        <v>1000</v>
      </c>
      <c r="J413" s="8" t="n"/>
      <c r="K413" s="8" t="n"/>
      <c r="L413" s="4" t="inlineStr"/>
      <c r="M413" s="5" t="n">
        <v>0</v>
      </c>
      <c r="N413" s="5" t="n">
        <v>1</v>
      </c>
      <c r="O413" s="5" t="n"/>
      <c r="P413" s="4" t="inlineStr">
        <is>
          <t>Curto Prazo</t>
        </is>
      </c>
      <c r="Q413" s="4" t="inlineStr">
        <is>
          <t>Não</t>
        </is>
      </c>
      <c r="R413" s="4" t="inlineStr">
        <is>
          <t>API interna</t>
        </is>
      </c>
      <c r="S413" s="4" t="n">
        <v>1</v>
      </c>
      <c r="T413" s="4" t="inlineStr">
        <is>
          <t>Não</t>
        </is>
      </c>
      <c r="U413" s="4" t="inlineStr">
        <is>
          <t>Sim</t>
        </is>
      </c>
      <c r="V413" s="4" t="inlineStr">
        <is>
          <t>Não</t>
        </is>
      </c>
      <c r="W413" s="4" t="inlineStr"/>
    </row>
    <row r="414">
      <c r="A414" s="4" t="inlineStr">
        <is>
          <t>BTG Pactual</t>
        </is>
      </c>
      <c r="B414" s="4" t="inlineStr">
        <is>
          <t>Santander Connect Prev Dividendos 70 FICFIM RL</t>
        </is>
      </c>
      <c r="C414" s="6" t="inlineStr">
        <is>
          <t>61.561.752/0001-16</t>
        </is>
      </c>
      <c r="D414" s="4" t="inlineStr">
        <is>
          <t>SANTANDER BRASIL GESTÃO DE RECURSOS LTDA</t>
        </is>
      </c>
      <c r="E414" s="4" t="inlineStr">
        <is>
          <t>10.231.177/0001-52</t>
        </is>
      </c>
      <c r="F414" s="4" t="inlineStr">
        <is>
          <t>BTG PACTUAL SERVICOS FINANCEIROS S.A. DISTRIBUIDOR</t>
        </is>
      </c>
      <c r="G414" s="4" t="inlineStr">
        <is>
          <t>Multimercado</t>
        </is>
      </c>
      <c r="H414" s="4" t="inlineStr">
        <is>
          <t>Renda Variável</t>
        </is>
      </c>
      <c r="I414" s="7" t="n">
        <v>1000</v>
      </c>
      <c r="J414" s="8" t="n"/>
      <c r="K414" s="8" t="n">
        <v>20</v>
      </c>
      <c r="L414" s="4" t="inlineStr">
        <is>
          <t>-</t>
        </is>
      </c>
      <c r="M414" s="5" t="n">
        <v>1</v>
      </c>
      <c r="N414" s="5" t="n">
        <v>3</v>
      </c>
      <c r="O414" s="5" t="n"/>
      <c r="P414" s="4" t="inlineStr">
        <is>
          <t>Curto Prazo</t>
        </is>
      </c>
      <c r="Q414" s="4" t="inlineStr">
        <is>
          <t>Não</t>
        </is>
      </c>
      <c r="R414" s="4" t="inlineStr">
        <is>
          <t>API interna</t>
        </is>
      </c>
      <c r="S414" s="4" t="n">
        <v>1</v>
      </c>
      <c r="T414" s="4" t="inlineStr">
        <is>
          <t>Não</t>
        </is>
      </c>
      <c r="U414" s="4" t="inlineStr">
        <is>
          <t>Sim</t>
        </is>
      </c>
      <c r="V414" s="4" t="inlineStr">
        <is>
          <t>Não</t>
        </is>
      </c>
      <c r="W414" s="4" t="inlineStr"/>
    </row>
    <row r="415">
      <c r="A415" s="4" t="inlineStr">
        <is>
          <t>BTG Pactual</t>
        </is>
      </c>
      <c r="B415" s="4" t="inlineStr">
        <is>
          <t>Santander Prev Icatu Lark I RF Cred Privado FICFIF RL</t>
        </is>
      </c>
      <c r="C415" s="6" t="inlineStr">
        <is>
          <t>14.325.933/0001-63</t>
        </is>
      </c>
      <c r="D415" s="4" t="inlineStr">
        <is>
          <t>SANTANDER BRASIL GESTÃO DE RECURSOS LTDA</t>
        </is>
      </c>
      <c r="E415" s="4" t="inlineStr">
        <is>
          <t>10.231.177/0001-52</t>
        </is>
      </c>
      <c r="F415" s="4" t="inlineStr">
        <is>
          <t>BANCO SANTANDER (BRASIL) S.A.</t>
        </is>
      </c>
      <c r="G415" s="4" t="inlineStr">
        <is>
          <t>Renda Fixa</t>
        </is>
      </c>
      <c r="H415" s="4" t="inlineStr">
        <is>
          <t>Alocação</t>
        </is>
      </c>
      <c r="I415" s="7" t="n">
        <v>3000</v>
      </c>
      <c r="J415" s="8" t="n">
        <v>1</v>
      </c>
      <c r="K415" s="8" t="n"/>
      <c r="L415" s="4" t="inlineStr"/>
      <c r="M415" s="5" t="n">
        <v>0</v>
      </c>
      <c r="N415" s="5" t="n">
        <v>1</v>
      </c>
      <c r="O415" s="5" t="n"/>
      <c r="P415" s="4" t="inlineStr">
        <is>
          <t>Longo Prazo</t>
        </is>
      </c>
      <c r="Q415" s="4" t="inlineStr">
        <is>
          <t>Não</t>
        </is>
      </c>
      <c r="R415" s="4" t="inlineStr">
        <is>
          <t>API interna</t>
        </is>
      </c>
      <c r="S415" s="4" t="n">
        <v>1</v>
      </c>
      <c r="T415" s="4" t="inlineStr">
        <is>
          <t>Não</t>
        </is>
      </c>
      <c r="U415" s="4" t="inlineStr">
        <is>
          <t>Sim</t>
        </is>
      </c>
      <c r="V415" s="4" t="inlineStr">
        <is>
          <t>Não</t>
        </is>
      </c>
      <c r="W415" s="4" t="inlineStr"/>
    </row>
    <row r="416">
      <c r="A416" s="4" t="inlineStr">
        <is>
          <t>BTG Pactual</t>
        </is>
      </c>
      <c r="B416" s="4" t="inlineStr">
        <is>
          <t>Santander Prev Icatu Strix Mult FIF RL</t>
        </is>
      </c>
      <c r="C416" s="6" t="inlineStr">
        <is>
          <t>17.340.337/0001-40</t>
        </is>
      </c>
      <c r="D416" s="4" t="inlineStr">
        <is>
          <t>SANTANDER BRASIL GESTÃO DE RECURSOS LTDA</t>
        </is>
      </c>
      <c r="E416" s="4" t="inlineStr">
        <is>
          <t>10.231.177/0001-52</t>
        </is>
      </c>
      <c r="F416" s="4" t="inlineStr">
        <is>
          <t>BANCO SANTANDER (BRASIL) S.A.</t>
        </is>
      </c>
      <c r="G416" s="4" t="inlineStr">
        <is>
          <t>Renda Fixa</t>
        </is>
      </c>
      <c r="H416" s="4" t="inlineStr">
        <is>
          <t>Renda Fixa</t>
        </is>
      </c>
      <c r="I416" s="7" t="n">
        <v>1500</v>
      </c>
      <c r="J416" s="8" t="n">
        <v>1.5</v>
      </c>
      <c r="K416" s="8" t="n"/>
      <c r="L416" s="4" t="inlineStr"/>
      <c r="M416" s="5" t="n">
        <v>0</v>
      </c>
      <c r="N416" s="5" t="n">
        <v>1</v>
      </c>
      <c r="O416" s="5" t="n"/>
      <c r="P416" s="4" t="inlineStr">
        <is>
          <t>Longo Prazo</t>
        </is>
      </c>
      <c r="Q416" s="4" t="inlineStr">
        <is>
          <t>Não</t>
        </is>
      </c>
      <c r="R416" s="4" t="inlineStr">
        <is>
          <t>API interna</t>
        </is>
      </c>
      <c r="S416" s="4" t="n">
        <v>1</v>
      </c>
      <c r="T416" s="4" t="inlineStr">
        <is>
          <t>Não</t>
        </is>
      </c>
      <c r="U416" s="4" t="inlineStr">
        <is>
          <t>Sim</t>
        </is>
      </c>
      <c r="V416" s="4" t="inlineStr">
        <is>
          <t>Não</t>
        </is>
      </c>
      <c r="W416" s="4" t="inlineStr"/>
    </row>
    <row r="417">
      <c r="A417" s="4" t="inlineStr">
        <is>
          <t>BTG Pactual</t>
        </is>
      </c>
      <c r="B417" s="4" t="inlineStr">
        <is>
          <t>Sharp Equity Value 100 P Prev FICFIA RL</t>
        </is>
      </c>
      <c r="C417" s="6" t="inlineStr">
        <is>
          <t>44.803.356/0001-39</t>
        </is>
      </c>
      <c r="D417" s="4" t="inlineStr">
        <is>
          <t>SHARP CAPITAL GESTORA DE RECURSOS LTDA</t>
        </is>
      </c>
      <c r="E417" s="4" t="inlineStr">
        <is>
          <t>27.957.477/0001-16</t>
        </is>
      </c>
      <c r="F417" s="4" t="inlineStr">
        <is>
          <t>BTG PACTUAL SERVICOS FINANCEIROS S.A. DISTRIBUIDOR</t>
        </is>
      </c>
      <c r="G417" s="4" t="inlineStr">
        <is>
          <t>Ações</t>
        </is>
      </c>
      <c r="H417" s="4" t="inlineStr">
        <is>
          <t>Renda Variável</t>
        </is>
      </c>
      <c r="I417" s="7" t="n">
        <v>1000</v>
      </c>
      <c r="J417" s="8" t="n">
        <v>2.2</v>
      </c>
      <c r="K417" s="8" t="n">
        <v>20</v>
      </c>
      <c r="L417" s="4" t="inlineStr">
        <is>
          <t>IPCA</t>
        </is>
      </c>
      <c r="M417" s="5" t="n">
        <v>30</v>
      </c>
      <c r="N417" s="5" t="n">
        <v>32</v>
      </c>
      <c r="O417" s="5" t="n"/>
      <c r="P417" s="4" t="inlineStr">
        <is>
          <t>Renda Variável</t>
        </is>
      </c>
      <c r="Q417" s="4" t="inlineStr">
        <is>
          <t>Não</t>
        </is>
      </c>
      <c r="R417" s="4" t="inlineStr">
        <is>
          <t>API interna</t>
        </is>
      </c>
      <c r="S417" s="4" t="n">
        <v>1</v>
      </c>
      <c r="T417" s="4" t="inlineStr">
        <is>
          <t>Não</t>
        </is>
      </c>
      <c r="U417" s="4" t="inlineStr">
        <is>
          <t>Sim</t>
        </is>
      </c>
      <c r="V417" s="4" t="inlineStr">
        <is>
          <t>Não</t>
        </is>
      </c>
      <c r="W417" s="4" t="inlineStr"/>
    </row>
    <row r="418">
      <c r="A418" s="4" t="inlineStr">
        <is>
          <t>BTG Pactual</t>
        </is>
      </c>
      <c r="B418" s="4" t="inlineStr">
        <is>
          <t>Solis Antares BTG Seguros Prev FICFIRF CrPr RL</t>
        </is>
      </c>
      <c r="C418" s="6" t="inlineStr">
        <is>
          <t>44.803.556/0001-91</t>
        </is>
      </c>
      <c r="D418" s="4" t="inlineStr">
        <is>
          <t>SOLIS INVESTIMENTOS S A</t>
        </is>
      </c>
      <c r="E418" s="4" t="inlineStr">
        <is>
          <t>17.254.708/0001-71</t>
        </is>
      </c>
      <c r="F418" s="4" t="inlineStr">
        <is>
          <t>BTG PACTUAL SERVICOS FINANCEIROS S.A. DISTRIBUIDOR</t>
        </is>
      </c>
      <c r="G418" s="4" t="inlineStr">
        <is>
          <t>Renda Fixa</t>
        </is>
      </c>
      <c r="H418" s="4" t="inlineStr">
        <is>
          <t>Renda Fixa</t>
        </is>
      </c>
      <c r="I418" s="7" t="n">
        <v>1000</v>
      </c>
      <c r="J418" s="8" t="n">
        <v>0.9</v>
      </c>
      <c r="K418" s="8" t="n"/>
      <c r="L418" s="4" t="inlineStr"/>
      <c r="M418" s="5" t="n">
        <v>21</v>
      </c>
      <c r="N418" s="5" t="n">
        <v>22</v>
      </c>
      <c r="O418" s="5" t="n"/>
      <c r="P418" s="4" t="inlineStr">
        <is>
          <t>Curto Prazo</t>
        </is>
      </c>
      <c r="Q418" s="4" t="inlineStr">
        <is>
          <t>Não</t>
        </is>
      </c>
      <c r="R418" s="4" t="inlineStr">
        <is>
          <t>API interna</t>
        </is>
      </c>
      <c r="S418" s="4" t="n">
        <v>1</v>
      </c>
      <c r="T418" s="4" t="inlineStr">
        <is>
          <t>Não</t>
        </is>
      </c>
      <c r="U418" s="4" t="inlineStr">
        <is>
          <t>Sim</t>
        </is>
      </c>
      <c r="V418" s="4" t="inlineStr">
        <is>
          <t>Não</t>
        </is>
      </c>
      <c r="W418" s="4" t="inlineStr"/>
    </row>
    <row r="419">
      <c r="A419" s="4" t="inlineStr">
        <is>
          <t>BTG Pactual</t>
        </is>
      </c>
      <c r="B419" s="4" t="inlineStr">
        <is>
          <t>Sparta Prev B FICFIRF CrPr RL</t>
        </is>
      </c>
      <c r="C419" s="6" t="inlineStr">
        <is>
          <t>31.392.530/0001-56</t>
        </is>
      </c>
      <c r="D419" s="4" t="inlineStr">
        <is>
          <t>SPARTA ADMINISTRADORA DE RECURSOS LTDA</t>
        </is>
      </c>
      <c r="E419" s="4" t="inlineStr">
        <is>
          <t>72.745.714/0001-30</t>
        </is>
      </c>
      <c r="F419" s="4" t="inlineStr">
        <is>
          <t>BTG PACTUAL SERVICOS FINANCEIROS S.A. DISTRIBUIDOR</t>
        </is>
      </c>
      <c r="G419" s="4" t="inlineStr">
        <is>
          <t>Renda Fixa</t>
        </is>
      </c>
      <c r="H419" s="4" t="inlineStr">
        <is>
          <t>Renda Fixa</t>
        </is>
      </c>
      <c r="I419" s="7" t="n">
        <v>1000</v>
      </c>
      <c r="J419" s="8" t="n"/>
      <c r="K419" s="8" t="n"/>
      <c r="L419" s="4" t="inlineStr"/>
      <c r="M419" s="5" t="n">
        <v>5</v>
      </c>
      <c r="N419" s="5" t="n">
        <v>6</v>
      </c>
      <c r="O419" s="5" t="n"/>
      <c r="P419" s="4" t="inlineStr">
        <is>
          <t>Curto Prazo</t>
        </is>
      </c>
      <c r="Q419" s="4" t="inlineStr">
        <is>
          <t>Não</t>
        </is>
      </c>
      <c r="R419" s="4" t="inlineStr">
        <is>
          <t>API interna</t>
        </is>
      </c>
      <c r="S419" s="4" t="n">
        <v>1</v>
      </c>
      <c r="T419" s="4" t="inlineStr">
        <is>
          <t>Não</t>
        </is>
      </c>
      <c r="U419" s="4" t="inlineStr">
        <is>
          <t>Sim</t>
        </is>
      </c>
      <c r="V419" s="4" t="inlineStr">
        <is>
          <t>Não</t>
        </is>
      </c>
      <c r="W419" s="4" t="inlineStr"/>
    </row>
    <row r="420">
      <c r="A420" s="4" t="inlineStr">
        <is>
          <t>BTG Pactual</t>
        </is>
      </c>
      <c r="B420" s="4" t="inlineStr">
        <is>
          <t>Sparta Prev Inflacao B FICFIRF CrPr RL</t>
        </is>
      </c>
      <c r="C420" s="6" t="inlineStr">
        <is>
          <t>42.870.517/0001-81</t>
        </is>
      </c>
      <c r="D420" s="4" t="inlineStr">
        <is>
          <t>SPARTA ADMINISTRADORA DE RECURSOS LTDA</t>
        </is>
      </c>
      <c r="E420" s="4" t="inlineStr">
        <is>
          <t>72.745.714/0001-30</t>
        </is>
      </c>
      <c r="F420" s="4" t="inlineStr">
        <is>
          <t>BNY MELLON SERVICOS FINANCEIROS DTVM S/A</t>
        </is>
      </c>
      <c r="G420" s="4" t="inlineStr">
        <is>
          <t>Renda Fixa</t>
        </is>
      </c>
      <c r="H420" s="4" t="inlineStr">
        <is>
          <t>Renda Fixa</t>
        </is>
      </c>
      <c r="I420" s="7" t="n">
        <v>1000</v>
      </c>
      <c r="J420" s="8" t="n">
        <v>1.35</v>
      </c>
      <c r="K420" s="8" t="n"/>
      <c r="L420" s="4" t="inlineStr"/>
      <c r="M420" s="5" t="n">
        <v>5</v>
      </c>
      <c r="N420" s="5" t="n">
        <v>6</v>
      </c>
      <c r="O420" s="5" t="n"/>
      <c r="P420" s="4" t="inlineStr">
        <is>
          <t>Longo Prazo</t>
        </is>
      </c>
      <c r="Q420" s="4" t="inlineStr">
        <is>
          <t>Não</t>
        </is>
      </c>
      <c r="R420" s="4" t="inlineStr">
        <is>
          <t>API interna</t>
        </is>
      </c>
      <c r="S420" s="4" t="n">
        <v>1</v>
      </c>
      <c r="T420" s="4" t="inlineStr">
        <is>
          <t>Não</t>
        </is>
      </c>
      <c r="U420" s="4" t="inlineStr">
        <is>
          <t>Sim</t>
        </is>
      </c>
      <c r="V420" s="4" t="inlineStr">
        <is>
          <t>Não</t>
        </is>
      </c>
      <c r="W420" s="4" t="inlineStr"/>
    </row>
    <row r="421">
      <c r="A421" s="4" t="inlineStr">
        <is>
          <t>BTG Pactual</t>
        </is>
      </c>
      <c r="B421" s="4" t="inlineStr">
        <is>
          <t>Squadra Prev Long Only FICFIA RL</t>
        </is>
      </c>
      <c r="C421" s="6" t="inlineStr">
        <is>
          <t>58.115.642/0001-16</t>
        </is>
      </c>
      <c r="D421" s="4" t="inlineStr">
        <is>
          <t>SQUADRA INVESTIMENTOS - GESTÃO DE RECURSOS LTDA.</t>
        </is>
      </c>
      <c r="E421" s="4" t="inlineStr">
        <is>
          <t>09.267.871/0001-40</t>
        </is>
      </c>
      <c r="F421" s="4" t="inlineStr">
        <is>
          <t>BTG PACTUAL SERVICOS FINANCEIROS S.A. DISTRIBUIDOR</t>
        </is>
      </c>
      <c r="G421" s="4" t="inlineStr">
        <is>
          <t>Ações</t>
        </is>
      </c>
      <c r="H421" s="4" t="inlineStr">
        <is>
          <t>Renda Variável</t>
        </is>
      </c>
      <c r="I421" s="7" t="n">
        <v>1000</v>
      </c>
      <c r="J421" s="8" t="n">
        <v>2</v>
      </c>
      <c r="K421" s="8" t="n">
        <v>20</v>
      </c>
      <c r="L421" s="4" t="inlineStr">
        <is>
          <t>-</t>
        </is>
      </c>
      <c r="M421" s="5" t="n">
        <v>60</v>
      </c>
      <c r="N421" s="5" t="n">
        <v>62</v>
      </c>
      <c r="O421" s="5" t="n"/>
      <c r="P421" s="4" t="inlineStr">
        <is>
          <t>Renda Variável</t>
        </is>
      </c>
      <c r="Q421" s="4" t="inlineStr">
        <is>
          <t>Não</t>
        </is>
      </c>
      <c r="R421" s="4" t="inlineStr">
        <is>
          <t>API interna</t>
        </is>
      </c>
      <c r="S421" s="4" t="n">
        <v>1</v>
      </c>
      <c r="T421" s="4" t="inlineStr">
        <is>
          <t>Não</t>
        </is>
      </c>
      <c r="U421" s="4" t="inlineStr">
        <is>
          <t>Sim</t>
        </is>
      </c>
      <c r="V421" s="4" t="inlineStr">
        <is>
          <t>Não</t>
        </is>
      </c>
      <c r="W421" s="4" t="inlineStr"/>
    </row>
    <row r="422">
      <c r="A422" s="4" t="inlineStr">
        <is>
          <t>BTG Pactual</t>
        </is>
      </c>
      <c r="B422" s="4" t="inlineStr">
        <is>
          <t>Sulamerica FIE I Credito ESG IS Prev Fundo CrPr RL</t>
        </is>
      </c>
      <c r="C422" s="6" t="inlineStr">
        <is>
          <t>60.960.946/0001-21</t>
        </is>
      </c>
      <c r="D422" s="4" t="inlineStr">
        <is>
          <t>SUL AMÉRICA INVESTIMENTOS GESTORA DE RECURSOS S.A.</t>
        </is>
      </c>
      <c r="E422" s="4" t="inlineStr">
        <is>
          <t>21.813.291/0001-07</t>
        </is>
      </c>
      <c r="F422" s="4" t="inlineStr">
        <is>
          <t>BTG PACTUAL SERVICOS FINANCEIROS S.A. DISTRIBUIDOR</t>
        </is>
      </c>
      <c r="G422" s="4" t="inlineStr">
        <is>
          <t>Renda Fixa</t>
        </is>
      </c>
      <c r="H422" s="4" t="inlineStr">
        <is>
          <t>Renda Fixa</t>
        </is>
      </c>
      <c r="I422" s="7" t="n">
        <v>1000</v>
      </c>
      <c r="J422" s="8" t="n"/>
      <c r="K422" s="8" t="n">
        <v>20</v>
      </c>
      <c r="L422" s="4" t="inlineStr">
        <is>
          <t>-</t>
        </is>
      </c>
      <c r="M422" s="5" t="n">
        <v>7</v>
      </c>
      <c r="N422" s="5" t="n">
        <v>8</v>
      </c>
      <c r="O422" s="5" t="n"/>
      <c r="P422" s="4" t="inlineStr">
        <is>
          <t>Curto Prazo</t>
        </is>
      </c>
      <c r="Q422" s="4" t="inlineStr">
        <is>
          <t>Não</t>
        </is>
      </c>
      <c r="R422" s="4" t="inlineStr">
        <is>
          <t>API interna</t>
        </is>
      </c>
      <c r="S422" s="4" t="n">
        <v>1</v>
      </c>
      <c r="T422" s="4" t="inlineStr">
        <is>
          <t>Não</t>
        </is>
      </c>
      <c r="U422" s="4" t="inlineStr">
        <is>
          <t>Sim</t>
        </is>
      </c>
      <c r="V422" s="4" t="inlineStr">
        <is>
          <t>Não</t>
        </is>
      </c>
      <c r="W422" s="4" t="inlineStr"/>
    </row>
    <row r="423">
      <c r="A423" s="4" t="inlineStr">
        <is>
          <t>BTG Pactual</t>
        </is>
      </c>
      <c r="B423" s="4" t="inlineStr">
        <is>
          <t>Tenax RFA Prev FIE I FICFIRF CrPr RL</t>
        </is>
      </c>
      <c r="C423" s="6" t="inlineStr">
        <is>
          <t>55.753.965/0001-47</t>
        </is>
      </c>
      <c r="D423" s="4" t="inlineStr">
        <is>
          <t>TENAX CAPITAL LTDA.</t>
        </is>
      </c>
      <c r="E423" s="4" t="inlineStr">
        <is>
          <t>43.777.696/0001-70</t>
        </is>
      </c>
      <c r="F423" s="4" t="inlineStr">
        <is>
          <t>BTG PACTUAL SERVICOS FINANCEIROS S.A. DISTRIBUIDOR</t>
        </is>
      </c>
      <c r="G423" s="4" t="inlineStr">
        <is>
          <t>Renda Fixa</t>
        </is>
      </c>
      <c r="H423" s="4" t="inlineStr">
        <is>
          <t>Renda Fixa</t>
        </is>
      </c>
      <c r="I423" s="7" t="n">
        <v>1000</v>
      </c>
      <c r="J423" s="8" t="n">
        <v>1.1</v>
      </c>
      <c r="K423" s="8" t="n">
        <v>6</v>
      </c>
      <c r="L423" s="4" t="inlineStr">
        <is>
          <t>-</t>
        </is>
      </c>
      <c r="M423" s="5" t="n">
        <v>14</v>
      </c>
      <c r="N423" s="5" t="n">
        <v>15</v>
      </c>
      <c r="O423" s="5" t="n"/>
      <c r="P423" s="4" t="inlineStr">
        <is>
          <t>Curto Prazo</t>
        </is>
      </c>
      <c r="Q423" s="4" t="inlineStr">
        <is>
          <t>Não</t>
        </is>
      </c>
      <c r="R423" s="4" t="inlineStr">
        <is>
          <t>API interna</t>
        </is>
      </c>
      <c r="S423" s="4" t="n">
        <v>1</v>
      </c>
      <c r="T423" s="4" t="inlineStr">
        <is>
          <t>Não</t>
        </is>
      </c>
      <c r="U423" s="4" t="inlineStr">
        <is>
          <t>Sim</t>
        </is>
      </c>
      <c r="V423" s="4" t="inlineStr">
        <is>
          <t>Não</t>
        </is>
      </c>
      <c r="W423" s="4" t="inlineStr"/>
    </row>
    <row r="424">
      <c r="A424" s="4" t="inlineStr">
        <is>
          <t>BTG Pactual</t>
        </is>
      </c>
      <c r="B424" s="4" t="inlineStr">
        <is>
          <t>Tork Icatu Prev FIE I FICFIA RL</t>
        </is>
      </c>
      <c r="C424" s="6" t="inlineStr">
        <is>
          <t>36.352.410/0001-49</t>
        </is>
      </c>
      <c r="D424" s="4" t="inlineStr">
        <is>
          <t>ATLAS ONE INVESTIMENTOS GESTÃO DE RECURSOS LTDA.</t>
        </is>
      </c>
      <c r="E424" s="4" t="inlineStr">
        <is>
          <t>36.658.682/0001-71</t>
        </is>
      </c>
      <c r="F424" s="4" t="inlineStr">
        <is>
          <t>BNY MELLON SERVICOS FINANCEIROS DTVM S/A</t>
        </is>
      </c>
      <c r="G424" s="4" t="inlineStr">
        <is>
          <t>Ações</t>
        </is>
      </c>
      <c r="H424" s="4" t="inlineStr">
        <is>
          <t>Renda Variável</t>
        </is>
      </c>
      <c r="I424" s="7" t="n">
        <v>5000</v>
      </c>
      <c r="J424" s="8" t="n">
        <v>2.2</v>
      </c>
      <c r="K424" s="8" t="n">
        <v>20</v>
      </c>
      <c r="L424" s="4" t="inlineStr">
        <is>
          <t>-</t>
        </is>
      </c>
      <c r="M424" s="5" t="n">
        <v>30</v>
      </c>
      <c r="N424" s="5" t="n">
        <v>32</v>
      </c>
      <c r="O424" s="5" t="n"/>
      <c r="P424" s="4" t="inlineStr">
        <is>
          <t>Renda Variável</t>
        </is>
      </c>
      <c r="Q424" s="4" t="inlineStr">
        <is>
          <t>Não</t>
        </is>
      </c>
      <c r="R424" s="4" t="inlineStr">
        <is>
          <t>API interna</t>
        </is>
      </c>
      <c r="S424" s="4" t="n">
        <v>1</v>
      </c>
      <c r="T424" s="4" t="inlineStr">
        <is>
          <t>Não</t>
        </is>
      </c>
      <c r="U424" s="4" t="inlineStr">
        <is>
          <t>Sim</t>
        </is>
      </c>
      <c r="V424" s="4" t="inlineStr">
        <is>
          <t>Não</t>
        </is>
      </c>
      <c r="W424" s="4" t="inlineStr"/>
    </row>
    <row r="425">
      <c r="A425" s="4" t="inlineStr">
        <is>
          <t>BTG Pactual</t>
        </is>
      </c>
      <c r="B425" s="4" t="inlineStr">
        <is>
          <t>Trigono BP 70 Prev FICFIM RL</t>
        </is>
      </c>
      <c r="C425" s="6" t="inlineStr">
        <is>
          <t>33.146.130/0001-96</t>
        </is>
      </c>
      <c r="D425" s="4" t="inlineStr">
        <is>
          <t>TRÍGONO CAPITAL LTDA</t>
        </is>
      </c>
      <c r="E425" s="4" t="inlineStr">
        <is>
          <t>28.925.400/0001-27</t>
        </is>
      </c>
      <c r="F425" s="4" t="inlineStr">
        <is>
          <t>BTG PACTUAL SERVICOS FINANCEIROS S.A. DISTRIBUIDOR</t>
        </is>
      </c>
      <c r="G425" s="4" t="inlineStr">
        <is>
          <t>Multimercado</t>
        </is>
      </c>
      <c r="H425" s="4" t="inlineStr">
        <is>
          <t>Renda Variável</t>
        </is>
      </c>
      <c r="I425" s="7" t="n">
        <v>1000</v>
      </c>
      <c r="J425" s="8" t="n">
        <v>2</v>
      </c>
      <c r="K425" s="8" t="n">
        <v>20</v>
      </c>
      <c r="L425" s="4" t="inlineStr">
        <is>
          <t>CDI</t>
        </is>
      </c>
      <c r="M425" s="5" t="n">
        <v>7</v>
      </c>
      <c r="N425" s="5" t="n">
        <v>9</v>
      </c>
      <c r="O425" s="5" t="n"/>
      <c r="P425" s="4" t="inlineStr">
        <is>
          <t>Curto Prazo</t>
        </is>
      </c>
      <c r="Q425" s="4" t="inlineStr">
        <is>
          <t>Não</t>
        </is>
      </c>
      <c r="R425" s="4" t="inlineStr">
        <is>
          <t>API interna</t>
        </is>
      </c>
      <c r="S425" s="4" t="n">
        <v>1</v>
      </c>
      <c r="T425" s="4" t="inlineStr">
        <is>
          <t>Não</t>
        </is>
      </c>
      <c r="U425" s="4" t="inlineStr">
        <is>
          <t>Sim</t>
        </is>
      </c>
      <c r="V425" s="4" t="inlineStr">
        <is>
          <t>Não</t>
        </is>
      </c>
      <c r="W425" s="4" t="inlineStr"/>
    </row>
    <row r="426">
      <c r="A426" s="4" t="inlineStr">
        <is>
          <t>BTG Pactual</t>
        </is>
      </c>
      <c r="B426" s="4" t="inlineStr">
        <is>
          <t>Trigono Icatu 100 FIA Prev RL</t>
        </is>
      </c>
      <c r="C426" s="6" t="inlineStr">
        <is>
          <t>35.610.342/0001-08</t>
        </is>
      </c>
      <c r="D426" s="4" t="inlineStr">
        <is>
          <t>TRÍGONO CAPITAL LTDA</t>
        </is>
      </c>
      <c r="E426" s="4" t="inlineStr">
        <is>
          <t>28.925.400/0001-27</t>
        </is>
      </c>
      <c r="F426" s="4" t="inlineStr">
        <is>
          <t>BEM DISTRIBUIDORA DE TITULOS E VALORES MOBILIARIOS</t>
        </is>
      </c>
      <c r="G426" s="4" t="inlineStr">
        <is>
          <t>Ações</t>
        </is>
      </c>
      <c r="H426" s="4" t="inlineStr">
        <is>
          <t>Renda Variável</t>
        </is>
      </c>
      <c r="I426" s="7" t="n">
        <v>5000</v>
      </c>
      <c r="J426" s="8" t="n">
        <v>2</v>
      </c>
      <c r="K426" s="8" t="n"/>
      <c r="L426" s="4" t="inlineStr"/>
      <c r="M426" s="5" t="n">
        <v>30</v>
      </c>
      <c r="N426" s="5" t="n">
        <v>32</v>
      </c>
      <c r="O426" s="5" t="n"/>
      <c r="P426" s="4" t="inlineStr">
        <is>
          <t>Renda Variável</t>
        </is>
      </c>
      <c r="Q426" s="4" t="inlineStr">
        <is>
          <t>Não</t>
        </is>
      </c>
      <c r="R426" s="4" t="inlineStr">
        <is>
          <t>API interna</t>
        </is>
      </c>
      <c r="S426" s="4" t="n">
        <v>1</v>
      </c>
      <c r="T426" s="4" t="inlineStr">
        <is>
          <t>Não</t>
        </is>
      </c>
      <c r="U426" s="4" t="inlineStr">
        <is>
          <t>Sim</t>
        </is>
      </c>
      <c r="V426" s="4" t="inlineStr">
        <is>
          <t>Não</t>
        </is>
      </c>
      <c r="W426" s="4" t="inlineStr"/>
    </row>
    <row r="427">
      <c r="A427" s="4" t="inlineStr">
        <is>
          <t>BTG Pactual</t>
        </is>
      </c>
      <c r="B427" s="4" t="inlineStr">
        <is>
          <t>Tropico Cash Prev Icatu FIE FIM RL</t>
        </is>
      </c>
      <c r="C427" s="6" t="inlineStr">
        <is>
          <t>50.818.438/0001-50</t>
        </is>
      </c>
      <c r="D427" s="4" t="inlineStr">
        <is>
          <t>TROPICO INVESTIMENTOS E PARTICIPACOES LTDA</t>
        </is>
      </c>
      <c r="E427" s="4" t="inlineStr">
        <is>
          <t>04.636.879/0001-13</t>
        </is>
      </c>
      <c r="F427" s="4" t="inlineStr">
        <is>
          <t>BTG PACTUAL SERVICOS FINANCEIROS S.A. DISTRIBUIDOR</t>
        </is>
      </c>
      <c r="G427" s="4" t="inlineStr">
        <is>
          <t>Multimercado</t>
        </is>
      </c>
      <c r="H427" s="4" t="inlineStr">
        <is>
          <t>Renda Fixa</t>
        </is>
      </c>
      <c r="I427" s="7" t="n">
        <v>3000</v>
      </c>
      <c r="J427" s="8" t="n"/>
      <c r="K427" s="8" t="n"/>
      <c r="L427" s="4" t="inlineStr"/>
      <c r="M427" s="5" t="n">
        <v>7</v>
      </c>
      <c r="N427" s="5" t="n">
        <v>9</v>
      </c>
      <c r="O427" s="5" t="n"/>
      <c r="P427" s="4" t="inlineStr">
        <is>
          <t>Curto Prazo</t>
        </is>
      </c>
      <c r="Q427" s="4" t="inlineStr">
        <is>
          <t>Não</t>
        </is>
      </c>
      <c r="R427" s="4" t="inlineStr">
        <is>
          <t>API interna</t>
        </is>
      </c>
      <c r="S427" s="4" t="n">
        <v>1</v>
      </c>
      <c r="T427" s="4" t="inlineStr">
        <is>
          <t>Não</t>
        </is>
      </c>
      <c r="U427" s="4" t="inlineStr">
        <is>
          <t>Sim</t>
        </is>
      </c>
      <c r="V427" s="4" t="inlineStr">
        <is>
          <t>Não</t>
        </is>
      </c>
      <c r="W427" s="4" t="inlineStr"/>
    </row>
    <row r="428">
      <c r="A428" s="4" t="inlineStr">
        <is>
          <t>BTG Pactual</t>
        </is>
      </c>
      <c r="B428" s="4" t="inlineStr">
        <is>
          <t>Tyton Credito Prev FIM CrPr RL</t>
        </is>
      </c>
      <c r="C428" s="6" t="inlineStr">
        <is>
          <t>53.847.333/0001-17</t>
        </is>
      </c>
      <c r="D428" s="4" t="inlineStr">
        <is>
          <t>TYTON CAPITAL INVESTIMENTOS LTDA.</t>
        </is>
      </c>
      <c r="E428" s="4" t="inlineStr">
        <is>
          <t>46.503.558/0001-90</t>
        </is>
      </c>
      <c r="F428" s="4" t="inlineStr">
        <is>
          <t>BTG PACTUAL SERVICOS FINANCEIROS S.A. DISTRIBUIDOR</t>
        </is>
      </c>
      <c r="G428" s="4" t="inlineStr">
        <is>
          <t>Multimercado</t>
        </is>
      </c>
      <c r="H428" s="4" t="inlineStr">
        <is>
          <t>Renda Fixa</t>
        </is>
      </c>
      <c r="I428" s="7" t="n">
        <v>1000</v>
      </c>
      <c r="J428" s="8" t="n"/>
      <c r="K428" s="8" t="n">
        <v>10</v>
      </c>
      <c r="L428" s="4" t="inlineStr">
        <is>
          <t>-</t>
        </is>
      </c>
      <c r="M428" s="5" t="n">
        <v>8</v>
      </c>
      <c r="N428" s="5" t="n">
        <v>9</v>
      </c>
      <c r="O428" s="5" t="n"/>
      <c r="P428" s="4" t="inlineStr">
        <is>
          <t>Curto Prazo</t>
        </is>
      </c>
      <c r="Q428" s="4" t="inlineStr">
        <is>
          <t>Não</t>
        </is>
      </c>
      <c r="R428" s="4" t="inlineStr">
        <is>
          <t>API interna</t>
        </is>
      </c>
      <c r="S428" s="4" t="n">
        <v>1</v>
      </c>
      <c r="T428" s="4" t="inlineStr">
        <is>
          <t>Não</t>
        </is>
      </c>
      <c r="U428" s="4" t="inlineStr">
        <is>
          <t>Sim</t>
        </is>
      </c>
      <c r="V428" s="4" t="inlineStr">
        <is>
          <t>Não</t>
        </is>
      </c>
      <c r="W428" s="4" t="inlineStr"/>
    </row>
    <row r="429">
      <c r="A429" s="4" t="inlineStr">
        <is>
          <t>BTG Pactual</t>
        </is>
      </c>
      <c r="B429" s="4" t="inlineStr">
        <is>
          <t>Tyton Credito Prev IQ FIF FIC FIM</t>
        </is>
      </c>
      <c r="C429" s="6" t="inlineStr">
        <is>
          <t>65.440.420/0001-34</t>
        </is>
      </c>
      <c r="D429" s="4" t="inlineStr">
        <is>
          <t>TYTON CAPITAL INVESTIMENTOS LTDA.</t>
        </is>
      </c>
      <c r="E429" s="4" t="inlineStr">
        <is>
          <t>46.503.558/0001-90</t>
        </is>
      </c>
      <c r="F429" s="4" t="inlineStr">
        <is>
          <t>BTG PACTUAL SERVICOS FINANCEIROS S.A. DISTRIBUIDOR</t>
        </is>
      </c>
      <c r="G429" s="4" t="inlineStr">
        <is>
          <t>Multimercado</t>
        </is>
      </c>
      <c r="H429" s="4" t="inlineStr">
        <is>
          <t>Outros</t>
        </is>
      </c>
      <c r="I429" s="7" t="n">
        <v>1000</v>
      </c>
      <c r="J429" s="8" t="n"/>
      <c r="K429" s="8" t="n">
        <v>20</v>
      </c>
      <c r="L429" s="4" t="inlineStr">
        <is>
          <t>-</t>
        </is>
      </c>
      <c r="M429" s="5" t="n">
        <v>30</v>
      </c>
      <c r="N429" s="5" t="n">
        <v>31</v>
      </c>
      <c r="O429" s="5" t="n"/>
      <c r="P429" s="4" t="inlineStr">
        <is>
          <t>Curto Prazo</t>
        </is>
      </c>
      <c r="Q429" s="4" t="inlineStr">
        <is>
          <t>Não</t>
        </is>
      </c>
      <c r="R429" s="4" t="inlineStr">
        <is>
          <t>API interna</t>
        </is>
      </c>
      <c r="S429" s="4" t="n">
        <v>1</v>
      </c>
      <c r="T429" s="4" t="inlineStr">
        <is>
          <t>Não</t>
        </is>
      </c>
      <c r="U429" s="4" t="inlineStr">
        <is>
          <t>Sim</t>
        </is>
      </c>
      <c r="V429" s="4" t="inlineStr">
        <is>
          <t>Não</t>
        </is>
      </c>
      <c r="W429" s="4" t="inlineStr"/>
    </row>
    <row r="430">
      <c r="A430" s="4" t="inlineStr">
        <is>
          <t>BTG Pactual</t>
        </is>
      </c>
      <c r="B430" s="4" t="inlineStr">
        <is>
          <t>V8 Speedway Vega LS Prev FICFIM Access RL</t>
        </is>
      </c>
      <c r="C430" s="6" t="inlineStr">
        <is>
          <t>64.567.005/0001-83</t>
        </is>
      </c>
      <c r="D430" s="4" t="inlineStr">
        <is>
          <t>BTG PACTUAL GESTÃO E CONSULTORIA DE INVESTIMENTOS LTDA</t>
        </is>
      </c>
      <c r="E430" s="4" t="inlineStr">
        <is>
          <t>12.695.840/0001-03</t>
        </is>
      </c>
      <c r="F430" s="4" t="inlineStr">
        <is>
          <t>BTG PACTUAL SERVICOS FINANCEIROS S.A. DISTRIBUIDOR</t>
        </is>
      </c>
      <c r="G430" s="4" t="inlineStr">
        <is>
          <t>Multimercado</t>
        </is>
      </c>
      <c r="H430" s="4" t="inlineStr">
        <is>
          <t>Renda Variável</t>
        </is>
      </c>
      <c r="I430" s="7" t="n">
        <v>1000</v>
      </c>
      <c r="J430" s="8" t="n">
        <v>2</v>
      </c>
      <c r="K430" s="8" t="n">
        <v>20</v>
      </c>
      <c r="L430" s="4" t="inlineStr">
        <is>
          <t>-</t>
        </is>
      </c>
      <c r="M430" s="5" t="n">
        <v>8</v>
      </c>
      <c r="N430" s="5" t="n">
        <v>10</v>
      </c>
      <c r="O430" s="5" t="n"/>
      <c r="P430" s="4" t="inlineStr">
        <is>
          <t>Curto Prazo</t>
        </is>
      </c>
      <c r="Q430" s="4" t="inlineStr">
        <is>
          <t>Não</t>
        </is>
      </c>
      <c r="R430" s="4" t="inlineStr">
        <is>
          <t>API interna</t>
        </is>
      </c>
      <c r="S430" s="4" t="n">
        <v>1</v>
      </c>
      <c r="T430" s="4" t="inlineStr">
        <is>
          <t>Não</t>
        </is>
      </c>
      <c r="U430" s="4" t="inlineStr">
        <is>
          <t>Sim</t>
        </is>
      </c>
      <c r="V430" s="4" t="inlineStr">
        <is>
          <t>Não</t>
        </is>
      </c>
      <c r="W430" s="4" t="inlineStr"/>
    </row>
    <row r="431">
      <c r="A431" s="4" t="inlineStr">
        <is>
          <t>BTG Pactual</t>
        </is>
      </c>
      <c r="B431" s="4" t="inlineStr">
        <is>
          <t>V8 Vanquish Termo Prev FICFIRF Access CrPr RL</t>
        </is>
      </c>
      <c r="C431" s="6" t="inlineStr">
        <is>
          <t>55.275.543/0001-03</t>
        </is>
      </c>
      <c r="D431" s="4" t="inlineStr">
        <is>
          <t>BTG PACTUAL GESTÃO E CONSULTORIA DE INVESTIMENTOS LTDA</t>
        </is>
      </c>
      <c r="E431" s="4" t="inlineStr">
        <is>
          <t>12.695.840/0001-03</t>
        </is>
      </c>
      <c r="F431" s="4" t="inlineStr">
        <is>
          <t>BTG PACTUAL SERVICOS FINANCEIROS S.A. DISTRIBUIDOR</t>
        </is>
      </c>
      <c r="G431" s="4" t="inlineStr">
        <is>
          <t>Renda Fixa</t>
        </is>
      </c>
      <c r="H431" s="4" t="inlineStr">
        <is>
          <t>Renda Fixa</t>
        </is>
      </c>
      <c r="I431" s="7" t="n">
        <v>0</v>
      </c>
      <c r="J431" s="8" t="n"/>
      <c r="K431" s="8" t="n"/>
      <c r="L431" s="4" t="inlineStr"/>
      <c r="M431" s="5" t="n">
        <v>5</v>
      </c>
      <c r="N431" s="5" t="n">
        <v>6</v>
      </c>
      <c r="O431" s="5" t="n"/>
      <c r="P431" s="4" t="inlineStr">
        <is>
          <t>Curto Prazo</t>
        </is>
      </c>
      <c r="Q431" s="4" t="inlineStr">
        <is>
          <t>Não</t>
        </is>
      </c>
      <c r="R431" s="4" t="inlineStr">
        <is>
          <t>API interna</t>
        </is>
      </c>
      <c r="S431" s="4" t="n">
        <v>1</v>
      </c>
      <c r="T431" s="4" t="inlineStr">
        <is>
          <t>Não</t>
        </is>
      </c>
      <c r="U431" s="4" t="inlineStr">
        <is>
          <t>Sim</t>
        </is>
      </c>
      <c r="V431" s="4" t="inlineStr">
        <is>
          <t>Não</t>
        </is>
      </c>
      <c r="W431" s="4" t="inlineStr"/>
    </row>
    <row r="432">
      <c r="A432" s="4" t="inlineStr">
        <is>
          <t>BTG Pactual</t>
        </is>
      </c>
      <c r="B432" s="4" t="inlineStr">
        <is>
          <t>VRB Prev FIM CrPr RL</t>
        </is>
      </c>
      <c r="C432" s="6" t="inlineStr">
        <is>
          <t>56.047.238/0001-27</t>
        </is>
      </c>
      <c r="D432" s="4" t="inlineStr">
        <is>
          <t>TERA INVESTIMENTOS LTDA.</t>
        </is>
      </c>
      <c r="E432" s="4" t="inlineStr">
        <is>
          <t>30.782.926/0001-47</t>
        </is>
      </c>
      <c r="F432" s="4" t="inlineStr">
        <is>
          <t>BTG PACTUAL SERVICOS FINANCEIROS S.A. DISTRIBUIDOR</t>
        </is>
      </c>
      <c r="G432" s="4" t="inlineStr">
        <is>
          <t>Multimercado</t>
        </is>
      </c>
      <c r="H432" s="4" t="inlineStr">
        <is>
          <t>Outros</t>
        </is>
      </c>
      <c r="I432" s="7" t="n">
        <v>0</v>
      </c>
      <c r="J432" s="8" t="n"/>
      <c r="K432" s="8" t="n"/>
      <c r="L432" s="4" t="inlineStr"/>
      <c r="M432" s="5" t="n">
        <v>30</v>
      </c>
      <c r="N432" s="5" t="n">
        <v>32</v>
      </c>
      <c r="O432" s="5" t="n"/>
      <c r="P432" s="4" t="inlineStr">
        <is>
          <t>Curto Prazo</t>
        </is>
      </c>
      <c r="Q432" s="4" t="inlineStr">
        <is>
          <t>Não</t>
        </is>
      </c>
      <c r="R432" s="4" t="inlineStr">
        <is>
          <t>API interna</t>
        </is>
      </c>
      <c r="S432" s="4" t="n">
        <v>1</v>
      </c>
      <c r="T432" s="4" t="inlineStr">
        <is>
          <t>Não</t>
        </is>
      </c>
      <c r="U432" s="4" t="inlineStr">
        <is>
          <t>Sim</t>
        </is>
      </c>
      <c r="V432" s="4" t="inlineStr">
        <is>
          <t>Não</t>
        </is>
      </c>
      <c r="W432" s="4" t="inlineStr"/>
    </row>
    <row r="433">
      <c r="A433" s="4" t="inlineStr">
        <is>
          <t>BTG Pactual</t>
        </is>
      </c>
      <c r="B433" s="4" t="inlineStr">
        <is>
          <t>Valora BP Prev FICFIRF CrPr RL</t>
        </is>
      </c>
      <c r="C433" s="6" t="inlineStr">
        <is>
          <t>49.627.172/0001-89</t>
        </is>
      </c>
      <c r="D433" s="4" t="inlineStr">
        <is>
          <t>VALORA RENDA FIXA LTDA.</t>
        </is>
      </c>
      <c r="E433" s="4" t="inlineStr">
        <is>
          <t>17.482.086/0001-39</t>
        </is>
      </c>
      <c r="F433" s="4" t="inlineStr">
        <is>
          <t>BTG PACTUAL SERVICOS FINANCEIROS S.A. DISTRIBUIDOR</t>
        </is>
      </c>
      <c r="G433" s="4" t="inlineStr">
        <is>
          <t>Renda Fixa</t>
        </is>
      </c>
      <c r="H433" s="4" t="inlineStr">
        <is>
          <t>Renda Fixa</t>
        </is>
      </c>
      <c r="I433" s="7" t="n">
        <v>1000</v>
      </c>
      <c r="J433" s="8" t="n">
        <v>1.1</v>
      </c>
      <c r="K433" s="8" t="n">
        <v>20</v>
      </c>
      <c r="L433" s="4" t="inlineStr">
        <is>
          <t>CDI</t>
        </is>
      </c>
      <c r="M433" s="5" t="n">
        <v>4</v>
      </c>
      <c r="N433" s="5" t="n">
        <v>6</v>
      </c>
      <c r="O433" s="5" t="n"/>
      <c r="P433" s="4" t="inlineStr">
        <is>
          <t>Curto Prazo</t>
        </is>
      </c>
      <c r="Q433" s="4" t="inlineStr">
        <is>
          <t>Não</t>
        </is>
      </c>
      <c r="R433" s="4" t="inlineStr">
        <is>
          <t>API interna</t>
        </is>
      </c>
      <c r="S433" s="4" t="n">
        <v>1</v>
      </c>
      <c r="T433" s="4" t="inlineStr">
        <is>
          <t>Não</t>
        </is>
      </c>
      <c r="U433" s="4" t="inlineStr">
        <is>
          <t>Sim</t>
        </is>
      </c>
      <c r="V433" s="4" t="inlineStr">
        <is>
          <t>Não</t>
        </is>
      </c>
      <c r="W433" s="4" t="inlineStr"/>
    </row>
    <row r="434">
      <c r="A434" s="4" t="inlineStr">
        <is>
          <t>BTG Pactual</t>
        </is>
      </c>
      <c r="B434" s="4" t="inlineStr">
        <is>
          <t>Verde AM Icatu Prev FICFIM RL</t>
        </is>
      </c>
      <c r="C434" s="6" t="inlineStr">
        <is>
          <t>23.339.936/0001-47</t>
        </is>
      </c>
      <c r="D434" s="4" t="inlineStr">
        <is>
          <t>VERDE ASSET MANAGEMENT S.A.</t>
        </is>
      </c>
      <c r="E434" s="4" t="inlineStr">
        <is>
          <t>19.749.539/0001-76</t>
        </is>
      </c>
      <c r="F434" s="4" t="inlineStr">
        <is>
          <t>INTRAG DISTR DE TITULOS EVALORES MOBILIARIOS LTDA</t>
        </is>
      </c>
      <c r="G434" s="4" t="inlineStr">
        <is>
          <t>Multimercado</t>
        </is>
      </c>
      <c r="H434" s="4" t="inlineStr">
        <is>
          <t>Multimercado</t>
        </is>
      </c>
      <c r="I434" s="7" t="n">
        <v>1500</v>
      </c>
      <c r="J434" s="8" t="n">
        <v>2</v>
      </c>
      <c r="K434" s="8" t="n"/>
      <c r="L434" s="4" t="inlineStr"/>
      <c r="M434" s="5" t="n">
        <v>0</v>
      </c>
      <c r="N434" s="5" t="n">
        <v>3</v>
      </c>
      <c r="O434" s="5" t="n"/>
      <c r="P434" s="4" t="inlineStr">
        <is>
          <t>Não Aplicável</t>
        </is>
      </c>
      <c r="Q434" s="4" t="inlineStr">
        <is>
          <t>Sim</t>
        </is>
      </c>
      <c r="R434" s="4" t="inlineStr">
        <is>
          <t>API interna</t>
        </is>
      </c>
      <c r="S434" s="4" t="n">
        <v>1</v>
      </c>
      <c r="T434" s="4" t="inlineStr">
        <is>
          <t>Não</t>
        </is>
      </c>
      <c r="U434" s="4" t="inlineStr">
        <is>
          <t>Sim</t>
        </is>
      </c>
      <c r="V434" s="4" t="inlineStr">
        <is>
          <t>Não</t>
        </is>
      </c>
      <c r="W434" s="4" t="inlineStr"/>
    </row>
    <row r="435">
      <c r="A435" s="4" t="inlineStr">
        <is>
          <t>BTG Pactual</t>
        </is>
      </c>
      <c r="B435" s="4" t="inlineStr">
        <is>
          <t>Verde AM Long Bias 70 Icatu Prev FIE FIM RL</t>
        </is>
      </c>
      <c r="C435" s="6" t="inlineStr">
        <is>
          <t>35.363.972/0001-25</t>
        </is>
      </c>
      <c r="D435" s="4" t="inlineStr">
        <is>
          <t>VERDE ASSET MANAGEMENT S.A.</t>
        </is>
      </c>
      <c r="E435" s="4" t="inlineStr">
        <is>
          <t>19.749.539/0001-76</t>
        </is>
      </c>
      <c r="F435" s="4" t="inlineStr">
        <is>
          <t>INTRAG DISTR DE TITULOS EVALORES MOBILIARIOS LTDA</t>
        </is>
      </c>
      <c r="G435" s="4" t="inlineStr">
        <is>
          <t>Multimercado</t>
        </is>
      </c>
      <c r="H435" s="4" t="inlineStr">
        <is>
          <t>Renda Variável</t>
        </is>
      </c>
      <c r="I435" s="7" t="n">
        <v>1000</v>
      </c>
      <c r="J435" s="8" t="n">
        <v>2.2</v>
      </c>
      <c r="K435" s="8" t="n">
        <v>20</v>
      </c>
      <c r="L435" s="4" t="inlineStr">
        <is>
          <t>-</t>
        </is>
      </c>
      <c r="M435" s="5" t="n">
        <v>0</v>
      </c>
      <c r="N435" s="5" t="n">
        <v>3</v>
      </c>
      <c r="O435" s="5" t="n"/>
      <c r="P435" s="4" t="inlineStr">
        <is>
          <t>Não Aplicável</t>
        </is>
      </c>
      <c r="Q435" s="4" t="inlineStr">
        <is>
          <t>Não</t>
        </is>
      </c>
      <c r="R435" s="4" t="inlineStr">
        <is>
          <t>API interna</t>
        </is>
      </c>
      <c r="S435" s="4" t="n">
        <v>1</v>
      </c>
      <c r="T435" s="4" t="inlineStr">
        <is>
          <t>Não</t>
        </is>
      </c>
      <c r="U435" s="4" t="inlineStr">
        <is>
          <t>Sim</t>
        </is>
      </c>
      <c r="V435" s="4" t="inlineStr">
        <is>
          <t>Não</t>
        </is>
      </c>
      <c r="W435" s="4" t="inlineStr"/>
    </row>
    <row r="436">
      <c r="A436" s="4" t="inlineStr">
        <is>
          <t>BTG Pactual</t>
        </is>
      </c>
      <c r="B436" s="4" t="inlineStr">
        <is>
          <t>Verde AM Mundi Icatu Prev Qualificado FICFIM RL</t>
        </is>
      </c>
      <c r="C436" s="6" t="inlineStr">
        <is>
          <t>44.983.441/0001-26</t>
        </is>
      </c>
      <c r="D436" s="4" t="inlineStr">
        <is>
          <t>VERDE ASSET MANAGEMENT S.A.</t>
        </is>
      </c>
      <c r="E436" s="4" t="inlineStr">
        <is>
          <t>19.749.539/0001-76</t>
        </is>
      </c>
      <c r="F436" s="4" t="inlineStr">
        <is>
          <t>INTRAG DISTR DE TITULOS EVALORES MOBILIARIOS LTDA</t>
        </is>
      </c>
      <c r="G436" s="4" t="inlineStr">
        <is>
          <t>Multimercado</t>
        </is>
      </c>
      <c r="H436" s="4" t="inlineStr">
        <is>
          <t>Renda Variável</t>
        </is>
      </c>
      <c r="I436" s="7" t="n">
        <v>5000</v>
      </c>
      <c r="J436" s="8" t="n">
        <v>2</v>
      </c>
      <c r="K436" s="8" t="n"/>
      <c r="L436" s="4" t="inlineStr"/>
      <c r="M436" s="5" t="n">
        <v>22</v>
      </c>
      <c r="N436" s="5" t="n">
        <v>25</v>
      </c>
      <c r="O436" s="5" t="n"/>
      <c r="P436" s="4" t="inlineStr">
        <is>
          <t>Longo Prazo</t>
        </is>
      </c>
      <c r="Q436" s="4" t="inlineStr">
        <is>
          <t>Não</t>
        </is>
      </c>
      <c r="R436" s="4" t="inlineStr">
        <is>
          <t>API interna</t>
        </is>
      </c>
      <c r="S436" s="4" t="n">
        <v>1</v>
      </c>
      <c r="T436" s="4" t="inlineStr">
        <is>
          <t>Não</t>
        </is>
      </c>
      <c r="U436" s="4" t="inlineStr">
        <is>
          <t>Sim</t>
        </is>
      </c>
      <c r="V436" s="4" t="inlineStr">
        <is>
          <t>Não</t>
        </is>
      </c>
      <c r="W436" s="4" t="inlineStr"/>
    </row>
    <row r="437">
      <c r="A437" s="4" t="inlineStr">
        <is>
          <t>BTG Pactual</t>
        </is>
      </c>
      <c r="B437" s="4" t="inlineStr">
        <is>
          <t>Verde FIE Prev FIM Access RL</t>
        </is>
      </c>
      <c r="C437" s="6" t="inlineStr">
        <is>
          <t>44.803.273/0001-40</t>
        </is>
      </c>
      <c r="D437" s="4" t="inlineStr">
        <is>
          <t>BTG PACTUAL GESTÃO E CONSULTORIA DE INVESTIMENTOS LTDA</t>
        </is>
      </c>
      <c r="E437" s="4" t="inlineStr">
        <is>
          <t>12.695.840/0001-03</t>
        </is>
      </c>
      <c r="F437" s="4" t="inlineStr">
        <is>
          <t>BTG PACTUAL SERVICOS FINANCEIROS S.A. DISTRIBUIDOR</t>
        </is>
      </c>
      <c r="G437" s="4" t="inlineStr">
        <is>
          <t>Multimercado</t>
        </is>
      </c>
      <c r="H437" s="4" t="inlineStr">
        <is>
          <t>Multimercado</t>
        </is>
      </c>
      <c r="I437" s="7" t="n">
        <v>1000</v>
      </c>
      <c r="J437" s="8" t="n">
        <v>2</v>
      </c>
      <c r="K437" s="8" t="n"/>
      <c r="L437" s="4" t="inlineStr"/>
      <c r="M437" s="5" t="n">
        <v>1</v>
      </c>
      <c r="N437" s="5" t="n">
        <v>3</v>
      </c>
      <c r="O437" s="5" t="n"/>
      <c r="P437" s="4" t="inlineStr">
        <is>
          <t>Curto Prazo</t>
        </is>
      </c>
      <c r="Q437" s="4" t="inlineStr">
        <is>
          <t>Não</t>
        </is>
      </c>
      <c r="R437" s="4" t="inlineStr">
        <is>
          <t>API interna</t>
        </is>
      </c>
      <c r="S437" s="4" t="n">
        <v>1</v>
      </c>
      <c r="T437" s="4" t="inlineStr">
        <is>
          <t>Não</t>
        </is>
      </c>
      <c r="U437" s="4" t="inlineStr">
        <is>
          <t>Sim</t>
        </is>
      </c>
      <c r="V437" s="4" t="inlineStr">
        <is>
          <t>Não</t>
        </is>
      </c>
      <c r="W437" s="4" t="inlineStr"/>
    </row>
    <row r="438">
      <c r="A438" s="4" t="inlineStr">
        <is>
          <t>BTG Pactual</t>
        </is>
      </c>
      <c r="B438" s="4" t="inlineStr">
        <is>
          <t>Vinci Compass Prev FIE I D8 FIRF CrPr RL</t>
        </is>
      </c>
      <c r="C438" s="6" t="inlineStr">
        <is>
          <t>57.132.572/0001-41</t>
        </is>
      </c>
      <c r="D438" s="4" t="inlineStr">
        <is>
          <t>VINCI CG GESTORA DE RECURSOS LTDA</t>
        </is>
      </c>
      <c r="E438" s="4" t="inlineStr">
        <is>
          <t>31.982.447/0001-37</t>
        </is>
      </c>
      <c r="F438" s="4" t="inlineStr">
        <is>
          <t>BTG PACTUAL SERVICOS FINANCEIROS S.A. DISTRIBUIDOR</t>
        </is>
      </c>
      <c r="G438" s="4" t="inlineStr">
        <is>
          <t>Renda Fixa</t>
        </is>
      </c>
      <c r="H438" s="4" t="inlineStr">
        <is>
          <t>Renda Fixa</t>
        </is>
      </c>
      <c r="I438" s="7" t="n">
        <v>1000</v>
      </c>
      <c r="J438" s="8" t="n">
        <v>0.8</v>
      </c>
      <c r="K438" s="8" t="n"/>
      <c r="L438" s="4" t="inlineStr"/>
      <c r="M438" s="5" t="n">
        <v>8</v>
      </c>
      <c r="N438" s="5" t="n">
        <v>9</v>
      </c>
      <c r="O438" s="5" t="n"/>
      <c r="P438" s="4" t="inlineStr">
        <is>
          <t>Curto Prazo</t>
        </is>
      </c>
      <c r="Q438" s="4" t="inlineStr">
        <is>
          <t>Não</t>
        </is>
      </c>
      <c r="R438" s="4" t="inlineStr">
        <is>
          <t>API interna</t>
        </is>
      </c>
      <c r="S438" s="4" t="n">
        <v>1</v>
      </c>
      <c r="T438" s="4" t="inlineStr">
        <is>
          <t>Não</t>
        </is>
      </c>
      <c r="U438" s="4" t="inlineStr">
        <is>
          <t>Sim</t>
        </is>
      </c>
      <c r="V438" s="4" t="inlineStr">
        <is>
          <t>Não</t>
        </is>
      </c>
      <c r="W438" s="4" t="inlineStr"/>
    </row>
    <row r="439">
      <c r="A439" s="4" t="inlineStr">
        <is>
          <t>BTG Pactual</t>
        </is>
      </c>
      <c r="B439" s="4" t="inlineStr">
        <is>
          <t>Vinci Equilibrio Prev FIM RL</t>
        </is>
      </c>
      <c r="C439" s="6" t="inlineStr">
        <is>
          <t>21.312.800/0001-18</t>
        </is>
      </c>
      <c r="D439" s="4" t="inlineStr">
        <is>
          <t>VINCI SOLUÇÕES DE INVESTIMENTOS LTDA</t>
        </is>
      </c>
      <c r="E439" s="4" t="inlineStr">
        <is>
          <t>13.421.810/0001-63</t>
        </is>
      </c>
      <c r="F439" s="4" t="inlineStr">
        <is>
          <t>BEM DISTRIBUIDORA DE TITULOS E VALORES MOBILIARIOS</t>
        </is>
      </c>
      <c r="G439" s="4" t="inlineStr">
        <is>
          <t>Multimercado</t>
        </is>
      </c>
      <c r="H439" s="4" t="inlineStr">
        <is>
          <t>Alocação</t>
        </is>
      </c>
      <c r="I439" s="7" t="n">
        <v>0</v>
      </c>
      <c r="J439" s="8" t="n">
        <v>2</v>
      </c>
      <c r="K439" s="8" t="n"/>
      <c r="L439" s="4" t="inlineStr"/>
      <c r="M439" s="5" t="n">
        <v>1</v>
      </c>
      <c r="N439" s="5" t="n">
        <v>3</v>
      </c>
      <c r="O439" s="5" t="n"/>
      <c r="P439" s="4" t="inlineStr">
        <is>
          <t>Longo Prazo</t>
        </is>
      </c>
      <c r="Q439" s="4" t="inlineStr">
        <is>
          <t>Não</t>
        </is>
      </c>
      <c r="R439" s="4" t="inlineStr">
        <is>
          <t>API interna</t>
        </is>
      </c>
      <c r="S439" s="4" t="n">
        <v>1</v>
      </c>
      <c r="T439" s="4" t="inlineStr">
        <is>
          <t>Não</t>
        </is>
      </c>
      <c r="U439" s="4" t="inlineStr">
        <is>
          <t>Sim</t>
        </is>
      </c>
      <c r="V439" s="4" t="inlineStr">
        <is>
          <t>Não</t>
        </is>
      </c>
      <c r="W439" s="4" t="inlineStr"/>
    </row>
    <row r="440">
      <c r="A440" s="4" t="inlineStr">
        <is>
          <t>BTG Pactual</t>
        </is>
      </c>
      <c r="B440" s="4" t="inlineStr">
        <is>
          <t>Vinci Valorem Prev BP FIM RL</t>
        </is>
      </c>
      <c r="C440" s="6" t="inlineStr">
        <is>
          <t>47.564.846/0001-18</t>
        </is>
      </c>
      <c r="D440" s="4" t="inlineStr">
        <is>
          <t>VINCI SOLUÇÕES DE INVESTIMENTOS LTDA</t>
        </is>
      </c>
      <c r="E440" s="4" t="inlineStr">
        <is>
          <t>13.421.810/0001-63</t>
        </is>
      </c>
      <c r="F440" s="4" t="inlineStr">
        <is>
          <t>BTG PACTUAL SERVICOS FINANCEIROS S.A. DISTRIBUIDOR</t>
        </is>
      </c>
      <c r="G440" s="4" t="inlineStr">
        <is>
          <t>Multimercado</t>
        </is>
      </c>
      <c r="H440" s="4" t="inlineStr">
        <is>
          <t>Renda Fixa</t>
        </is>
      </c>
      <c r="I440" s="7" t="n">
        <v>1000</v>
      </c>
      <c r="J440" s="8" t="n">
        <v>1</v>
      </c>
      <c r="K440" s="8" t="n">
        <v>20</v>
      </c>
      <c r="L440" s="4" t="inlineStr">
        <is>
          <t>-</t>
        </is>
      </c>
      <c r="M440" s="5" t="n">
        <v>1</v>
      </c>
      <c r="N440" s="5" t="n">
        <v>2</v>
      </c>
      <c r="O440" s="5" t="n"/>
      <c r="P440" s="4" t="inlineStr">
        <is>
          <t>Curto Prazo</t>
        </is>
      </c>
      <c r="Q440" s="4" t="inlineStr">
        <is>
          <t>Não</t>
        </is>
      </c>
      <c r="R440" s="4" t="inlineStr">
        <is>
          <t>API interna</t>
        </is>
      </c>
      <c r="S440" s="4" t="n">
        <v>1</v>
      </c>
      <c r="T440" s="4" t="inlineStr">
        <is>
          <t>Não</t>
        </is>
      </c>
      <c r="U440" s="4" t="inlineStr">
        <is>
          <t>Sim</t>
        </is>
      </c>
      <c r="V440" s="4" t="inlineStr">
        <is>
          <t>Não</t>
        </is>
      </c>
      <c r="W440" s="4" t="inlineStr"/>
    </row>
    <row r="441">
      <c r="A441" s="4" t="inlineStr">
        <is>
          <t>BTG Pactual</t>
        </is>
      </c>
      <c r="B441" s="4" t="inlineStr">
        <is>
          <t>Vinland Credito P Prev T1 FICFIM CrPr RL</t>
        </is>
      </c>
      <c r="C441" s="6" t="inlineStr">
        <is>
          <t>51.154.059/0001-75</t>
        </is>
      </c>
      <c r="D441" s="4" t="inlineStr">
        <is>
          <t>VINLAND CAPITAL MANAGEMENT CRÉDITO PRIVADO GESTORA DE RECURSOS LTDA.</t>
        </is>
      </c>
      <c r="E441" s="4" t="inlineStr">
        <is>
          <t>31.846.872/0001-07</t>
        </is>
      </c>
      <c r="F441" s="4" t="inlineStr">
        <is>
          <t>BTG PACTUAL SERVICOS FINANCEIROS S.A. DISTRIBUIDOR</t>
        </is>
      </c>
      <c r="G441" s="4" t="inlineStr">
        <is>
          <t>Multimercado</t>
        </is>
      </c>
      <c r="H441" s="4" t="inlineStr">
        <is>
          <t>Renda Fixa</t>
        </is>
      </c>
      <c r="I441" s="7" t="n">
        <v>1000</v>
      </c>
      <c r="J441" s="8" t="n">
        <v>0.7000000000000001</v>
      </c>
      <c r="K441" s="8" t="n">
        <v>20</v>
      </c>
      <c r="L441" s="4" t="inlineStr">
        <is>
          <t>-</t>
        </is>
      </c>
      <c r="M441" s="5" t="n">
        <v>7</v>
      </c>
      <c r="N441" s="5" t="n">
        <v>9</v>
      </c>
      <c r="O441" s="5" t="n"/>
      <c r="P441" s="4" t="inlineStr">
        <is>
          <t>Curto Prazo</t>
        </is>
      </c>
      <c r="Q441" s="4" t="inlineStr">
        <is>
          <t>Não</t>
        </is>
      </c>
      <c r="R441" s="4" t="inlineStr">
        <is>
          <t>API interna</t>
        </is>
      </c>
      <c r="S441" s="4" t="n">
        <v>1</v>
      </c>
      <c r="T441" s="4" t="inlineStr">
        <is>
          <t>Não</t>
        </is>
      </c>
      <c r="U441" s="4" t="inlineStr">
        <is>
          <t>Sim</t>
        </is>
      </c>
      <c r="V441" s="4" t="inlineStr">
        <is>
          <t>Não</t>
        </is>
      </c>
      <c r="W441" s="4" t="inlineStr"/>
    </row>
    <row r="442">
      <c r="A442" s="4" t="inlineStr">
        <is>
          <t>BTG Pactual</t>
        </is>
      </c>
      <c r="B442" s="4" t="inlineStr">
        <is>
          <t>Vinland Macro P V Prev FICFIM RL</t>
        </is>
      </c>
      <c r="C442" s="6" t="inlineStr">
        <is>
          <t>43.794.322/0001-62</t>
        </is>
      </c>
      <c r="D442" s="4" t="inlineStr">
        <is>
          <t>VINLAND CAPITAL MANAGEMENT GESTORA DE RECURSOS LTDA.</t>
        </is>
      </c>
      <c r="E442" s="4" t="inlineStr">
        <is>
          <t>07.341.777/0001-69</t>
        </is>
      </c>
      <c r="F442" s="4" t="inlineStr">
        <is>
          <t>BTG PACTUAL SERVICOS FINANCEIROS S.A. DISTRIBUIDOR</t>
        </is>
      </c>
      <c r="G442" s="4" t="inlineStr">
        <is>
          <t>Multimercado</t>
        </is>
      </c>
      <c r="H442" s="4" t="inlineStr">
        <is>
          <t>Multimercado</t>
        </is>
      </c>
      <c r="I442" s="7" t="n">
        <v>1000</v>
      </c>
      <c r="J442" s="8" t="n">
        <v>2</v>
      </c>
      <c r="K442" s="8" t="n">
        <v>20</v>
      </c>
      <c r="L442" s="4" t="inlineStr">
        <is>
          <t>-</t>
        </is>
      </c>
      <c r="M442" s="5" t="n">
        <v>7</v>
      </c>
      <c r="N442" s="5" t="n">
        <v>10</v>
      </c>
      <c r="O442" s="5" t="n"/>
      <c r="P442" s="4" t="inlineStr">
        <is>
          <t>Curto Prazo</t>
        </is>
      </c>
      <c r="Q442" s="4" t="inlineStr">
        <is>
          <t>Não</t>
        </is>
      </c>
      <c r="R442" s="4" t="inlineStr">
        <is>
          <t>API interna</t>
        </is>
      </c>
      <c r="S442" s="4" t="n">
        <v>1</v>
      </c>
      <c r="T442" s="4" t="inlineStr">
        <is>
          <t>Não</t>
        </is>
      </c>
      <c r="U442" s="4" t="inlineStr">
        <is>
          <t>Sim</t>
        </is>
      </c>
      <c r="V442" s="4" t="inlineStr">
        <is>
          <t>Não</t>
        </is>
      </c>
      <c r="W442" s="4" t="inlineStr"/>
    </row>
    <row r="443">
      <c r="A443" s="4" t="inlineStr">
        <is>
          <t>BTG Pactual</t>
        </is>
      </c>
      <c r="B443" s="4" t="inlineStr">
        <is>
          <t>Vinland RF Ativo FICFIRF Prev RL</t>
        </is>
      </c>
      <c r="C443" s="6" t="inlineStr">
        <is>
          <t>45.599.105/0001-47</t>
        </is>
      </c>
      <c r="D443" s="4" t="inlineStr">
        <is>
          <t>VINLAND CAPITAL MANAGEMENT CRÉDITO PRIVADO GESTORA DE RECURSOS LTDA.</t>
        </is>
      </c>
      <c r="E443" s="4" t="inlineStr">
        <is>
          <t>31.846.872/0001-07</t>
        </is>
      </c>
      <c r="F443" s="4" t="inlineStr">
        <is>
          <t>BTG PACTUAL SERVICOS FINANCEIROS S.A. DISTRIBUIDOR</t>
        </is>
      </c>
      <c r="G443" s="4" t="inlineStr">
        <is>
          <t>Renda Fixa</t>
        </is>
      </c>
      <c r="H443" s="4" t="inlineStr">
        <is>
          <t>Renda Fixa</t>
        </is>
      </c>
      <c r="I443" s="7" t="n">
        <v>1000</v>
      </c>
      <c r="J443" s="8" t="n">
        <v>0.7000000000000001</v>
      </c>
      <c r="K443" s="8" t="n">
        <v>20</v>
      </c>
      <c r="L443" s="4" t="inlineStr">
        <is>
          <t>-</t>
        </is>
      </c>
      <c r="M443" s="5" t="n">
        <v>0</v>
      </c>
      <c r="N443" s="5" t="n">
        <v>1</v>
      </c>
      <c r="O443" s="5" t="n"/>
      <c r="P443" s="4" t="inlineStr">
        <is>
          <t>Curto Prazo</t>
        </is>
      </c>
      <c r="Q443" s="4" t="inlineStr">
        <is>
          <t>Não</t>
        </is>
      </c>
      <c r="R443" s="4" t="inlineStr">
        <is>
          <t>API interna</t>
        </is>
      </c>
      <c r="S443" s="4" t="n">
        <v>1</v>
      </c>
      <c r="T443" s="4" t="inlineStr">
        <is>
          <t>Não</t>
        </is>
      </c>
      <c r="U443" s="4" t="inlineStr">
        <is>
          <t>Sim</t>
        </is>
      </c>
      <c r="V443" s="4" t="inlineStr">
        <is>
          <t>Não</t>
        </is>
      </c>
      <c r="W443" s="4" t="inlineStr"/>
    </row>
    <row r="444">
      <c r="A444" s="4" t="inlineStr">
        <is>
          <t>BTG Pactual</t>
        </is>
      </c>
      <c r="B444" s="4" t="inlineStr">
        <is>
          <t>Western Asset Icatu RF Ativo Prev FIF RL</t>
        </is>
      </c>
      <c r="C444" s="6" t="inlineStr">
        <is>
          <t>23.872.787/0001-87</t>
        </is>
      </c>
      <c r="D444" s="4" t="inlineStr">
        <is>
          <t>Franklin Templeton Brasil Ltda.</t>
        </is>
      </c>
      <c r="E444" s="4" t="inlineStr">
        <is>
          <t>07.437.241/0001-41</t>
        </is>
      </c>
      <c r="F444" s="4" t="inlineStr">
        <is>
          <t>FRANKLIN TEMPLETON BRASIL LTDA</t>
        </is>
      </c>
      <c r="G444" s="4" t="inlineStr">
        <is>
          <t>Renda Fixa</t>
        </is>
      </c>
      <c r="H444" s="4" t="inlineStr">
        <is>
          <t>Renda Fixa</t>
        </is>
      </c>
      <c r="I444" s="7" t="n">
        <v>1500</v>
      </c>
      <c r="J444" s="8" t="n">
        <v>0.8</v>
      </c>
      <c r="K444" s="8" t="n"/>
      <c r="L444" s="4" t="inlineStr"/>
      <c r="M444" s="5" t="n">
        <v>0</v>
      </c>
      <c r="N444" s="5" t="n">
        <v>1</v>
      </c>
      <c r="O444" s="5" t="n"/>
      <c r="P444" s="4" t="inlineStr">
        <is>
          <t>Não Aplicável</t>
        </is>
      </c>
      <c r="Q444" s="4" t="inlineStr">
        <is>
          <t>Não</t>
        </is>
      </c>
      <c r="R444" s="4" t="inlineStr">
        <is>
          <t>API interna</t>
        </is>
      </c>
      <c r="S444" s="4" t="n">
        <v>1</v>
      </c>
      <c r="T444" s="4" t="inlineStr">
        <is>
          <t>Não</t>
        </is>
      </c>
      <c r="U444" s="4" t="inlineStr">
        <is>
          <t>Sim</t>
        </is>
      </c>
      <c r="V444" s="4" t="inlineStr">
        <is>
          <t>Não</t>
        </is>
      </c>
      <c r="W444" s="4" t="inlineStr"/>
    </row>
    <row r="445">
      <c r="A445" s="4" t="inlineStr">
        <is>
          <t>BTG Pactual</t>
        </is>
      </c>
      <c r="B445" s="4" t="inlineStr">
        <is>
          <t>Zermatt Prev FIM CrPr RL</t>
        </is>
      </c>
      <c r="C445" s="6" t="inlineStr">
        <is>
          <t>52.900.509/0001-94</t>
        </is>
      </c>
      <c r="D445" s="4" t="inlineStr">
        <is>
          <t>PATRIMONIAL GESTÃO DE RECURSOS LTDA.</t>
        </is>
      </c>
      <c r="E445" s="4" t="inlineStr">
        <is>
          <t>30.135.282/0001-03</t>
        </is>
      </c>
      <c r="F445" s="4" t="inlineStr">
        <is>
          <t>BTG PACTUAL SERVICOS FINANCEIROS S.A. DISTRIBUIDOR</t>
        </is>
      </c>
      <c r="G445" s="4" t="inlineStr">
        <is>
          <t>Multimercado</t>
        </is>
      </c>
      <c r="H445" s="4" t="inlineStr">
        <is>
          <t>Renda Fixa</t>
        </is>
      </c>
      <c r="I445" s="7" t="n">
        <v>1000</v>
      </c>
      <c r="J445" s="8" t="n">
        <v>1</v>
      </c>
      <c r="K445" s="8" t="n"/>
      <c r="L445" s="4" t="inlineStr"/>
      <c r="M445" s="5" t="n">
        <v>7</v>
      </c>
      <c r="N445" s="5" t="n">
        <v>9</v>
      </c>
      <c r="O445" s="5" t="n"/>
      <c r="P445" s="4" t="inlineStr">
        <is>
          <t>Longo Prazo</t>
        </is>
      </c>
      <c r="Q445" s="4" t="inlineStr">
        <is>
          <t>Não</t>
        </is>
      </c>
      <c r="R445" s="4" t="inlineStr">
        <is>
          <t>API interna</t>
        </is>
      </c>
      <c r="S445" s="4" t="n">
        <v>1</v>
      </c>
      <c r="T445" s="4" t="inlineStr">
        <is>
          <t>Não</t>
        </is>
      </c>
      <c r="U445" s="4" t="inlineStr">
        <is>
          <t>Sim</t>
        </is>
      </c>
      <c r="V445" s="4" t="inlineStr">
        <is>
          <t>Não</t>
        </is>
      </c>
      <c r="W445" s="4" t="inlineStr"/>
    </row>
    <row r="446">
      <c r="A446" s="4" t="inlineStr">
        <is>
          <t>Itaú Private</t>
        </is>
      </c>
      <c r="B446" s="4" t="inlineStr">
        <is>
          <t>Canvas Enduro Prev PVT MM</t>
        </is>
      </c>
      <c r="C446" s="6" t="inlineStr"/>
      <c r="D446" s="4" t="inlineStr">
        <is>
          <t>CANVAS CAPITAL S.A.</t>
        </is>
      </c>
      <c r="E446" s="4" t="inlineStr"/>
      <c r="F446" s="4" t="inlineStr"/>
      <c r="G446" s="4" t="inlineStr">
        <is>
          <t>Multimercado</t>
        </is>
      </c>
      <c r="H446" s="4" t="inlineStr">
        <is>
          <t>Multimercados</t>
        </is>
      </c>
      <c r="I446" s="7" t="n"/>
      <c r="J446" s="8" t="n">
        <v>2</v>
      </c>
      <c r="K446" s="8" t="n"/>
      <c r="L446" s="4" t="inlineStr"/>
      <c r="M446" s="5" t="n"/>
      <c r="N446" s="5" t="n"/>
      <c r="O446" s="5" t="n"/>
      <c r="P446" s="4" t="inlineStr"/>
      <c r="Q446" s="4" t="inlineStr">
        <is>
          <t>Não</t>
        </is>
      </c>
      <c r="R446" s="4" t="inlineStr">
        <is>
          <t>Site (HTML)</t>
        </is>
      </c>
      <c r="S446" s="4" t="n">
        <v>1</v>
      </c>
      <c r="T446" s="4" t="inlineStr">
        <is>
          <t>Não</t>
        </is>
      </c>
      <c r="U446" s="4" t="inlineStr">
        <is>
          <t>Sim</t>
        </is>
      </c>
      <c r="V446" s="4" t="inlineStr">
        <is>
          <t>Não</t>
        </is>
      </c>
      <c r="W446" s="4" t="inlineStr"/>
    </row>
    <row r="447">
      <c r="A447" s="4" t="inlineStr">
        <is>
          <t>Itaú Private</t>
        </is>
      </c>
      <c r="B447" s="4" t="inlineStr">
        <is>
          <t>Flexprev CP Ativo II</t>
        </is>
      </c>
      <c r="C447" s="6" t="inlineStr"/>
      <c r="D447" s="4" t="inlineStr"/>
      <c r="E447" s="4" t="inlineStr"/>
      <c r="F447" s="4" t="inlineStr"/>
      <c r="G447" s="4" t="inlineStr">
        <is>
          <t>Multimercado</t>
        </is>
      </c>
      <c r="H447" s="4" t="inlineStr">
        <is>
          <t>PREVIDÊNCIA - Renda Fixa</t>
        </is>
      </c>
      <c r="I447" s="7" t="n"/>
      <c r="J447" s="8" t="n"/>
      <c r="K447" s="8" t="n"/>
      <c r="L447" s="4" t="inlineStr"/>
      <c r="M447" s="5" t="n"/>
      <c r="N447" s="5" t="n"/>
      <c r="O447" s="5" t="n"/>
      <c r="P447" s="4" t="inlineStr"/>
      <c r="Q447" s="4" t="inlineStr">
        <is>
          <t>Sim</t>
        </is>
      </c>
      <c r="R447" s="4" t="inlineStr">
        <is>
          <t>Site (HTML)</t>
        </is>
      </c>
      <c r="S447" s="4" t="n">
        <v>1</v>
      </c>
      <c r="T447" s="4" t="inlineStr">
        <is>
          <t>Não</t>
        </is>
      </c>
      <c r="U447" s="4" t="inlineStr">
        <is>
          <t>Sim</t>
        </is>
      </c>
      <c r="V447" s="4" t="inlineStr">
        <is>
          <t>Não</t>
        </is>
      </c>
      <c r="W447" s="4" t="inlineStr"/>
    </row>
    <row r="448">
      <c r="A448" s="4" t="inlineStr">
        <is>
          <t>Itaú Private</t>
        </is>
      </c>
      <c r="B448" s="4" t="inlineStr">
        <is>
          <t>Flexprev Private DI</t>
        </is>
      </c>
      <c r="C448" s="6" t="inlineStr"/>
      <c r="D448" s="4" t="inlineStr"/>
      <c r="E448" s="4" t="inlineStr"/>
      <c r="F448" s="4" t="inlineStr"/>
      <c r="G448" s="4" t="inlineStr">
        <is>
          <t>Renda Fixa</t>
        </is>
      </c>
      <c r="H448" s="4" t="inlineStr">
        <is>
          <t>Juros Pós-Fixados</t>
        </is>
      </c>
      <c r="I448" s="7" t="n"/>
      <c r="J448" s="8" t="n">
        <v>1</v>
      </c>
      <c r="K448" s="8" t="n"/>
      <c r="L448" s="4" t="inlineStr"/>
      <c r="M448" s="5" t="n"/>
      <c r="N448" s="5" t="n"/>
      <c r="O448" s="5" t="n"/>
      <c r="P448" s="4" t="inlineStr"/>
      <c r="Q448" s="4" t="inlineStr">
        <is>
          <t>Sim</t>
        </is>
      </c>
      <c r="R448" s="4" t="inlineStr">
        <is>
          <t>Site (HTML)</t>
        </is>
      </c>
      <c r="S448" s="4" t="n">
        <v>1</v>
      </c>
      <c r="T448" s="4" t="inlineStr">
        <is>
          <t>Não</t>
        </is>
      </c>
      <c r="U448" s="4" t="inlineStr">
        <is>
          <t>Sim</t>
        </is>
      </c>
      <c r="V448" s="4" t="inlineStr">
        <is>
          <t>Não</t>
        </is>
      </c>
      <c r="W448" s="4" t="inlineStr"/>
    </row>
    <row r="449">
      <c r="A449" s="4" t="inlineStr">
        <is>
          <t>Itaú Private</t>
        </is>
      </c>
      <c r="B449" s="4" t="inlineStr">
        <is>
          <t>Itau Private Prev Kinea Rf</t>
        </is>
      </c>
      <c r="C449" s="6" t="inlineStr"/>
      <c r="D449" s="4" t="inlineStr">
        <is>
          <t>ITAU UNIBANCO S.A.</t>
        </is>
      </c>
      <c r="E449" s="4" t="inlineStr"/>
      <c r="F449" s="4" t="inlineStr"/>
      <c r="G449" s="4" t="inlineStr">
        <is>
          <t>Renda Fixa</t>
        </is>
      </c>
      <c r="H449" s="4" t="inlineStr">
        <is>
          <t>Juros Pós-Fixados</t>
        </is>
      </c>
      <c r="I449" s="7" t="n"/>
      <c r="J449" s="8" t="n">
        <v>0.8</v>
      </c>
      <c r="K449" s="8" t="n"/>
      <c r="L449" s="4" t="inlineStr"/>
      <c r="M449" s="5" t="n"/>
      <c r="N449" s="5" t="n"/>
      <c r="O449" s="5" t="n"/>
      <c r="P449" s="4" t="inlineStr"/>
      <c r="Q449" s="4" t="inlineStr">
        <is>
          <t>Não</t>
        </is>
      </c>
      <c r="R449" s="4" t="inlineStr">
        <is>
          <t>Site (HTML)</t>
        </is>
      </c>
      <c r="S449" s="4" t="n">
        <v>1</v>
      </c>
      <c r="T449" s="4" t="inlineStr">
        <is>
          <t>Não</t>
        </is>
      </c>
      <c r="U449" s="4" t="inlineStr">
        <is>
          <t>Sim</t>
        </is>
      </c>
      <c r="V449" s="4" t="inlineStr">
        <is>
          <t>Não</t>
        </is>
      </c>
      <c r="W449" s="4" t="inlineStr"/>
    </row>
    <row r="450">
      <c r="A450" s="4" t="inlineStr">
        <is>
          <t>Itaú Private</t>
        </is>
      </c>
      <c r="B450" s="4" t="inlineStr">
        <is>
          <t>Itau Private Prev Kinea XTR</t>
        </is>
      </c>
      <c r="C450" s="6" t="inlineStr"/>
      <c r="D450" s="4" t="inlineStr">
        <is>
          <t>ITAU UNIBANCO S.A.</t>
        </is>
      </c>
      <c r="E450" s="4" t="inlineStr"/>
      <c r="F450" s="4" t="inlineStr"/>
      <c r="G450" s="4" t="inlineStr">
        <is>
          <t>Renda Fixa</t>
        </is>
      </c>
      <c r="H450" s="4" t="inlineStr">
        <is>
          <t>Multimercados</t>
        </is>
      </c>
      <c r="I450" s="7" t="n"/>
      <c r="J450" s="8" t="n">
        <v>2</v>
      </c>
      <c r="K450" s="8" t="n"/>
      <c r="L450" s="4" t="inlineStr"/>
      <c r="M450" s="5" t="n"/>
      <c r="N450" s="5" t="n"/>
      <c r="O450" s="5" t="n"/>
      <c r="P450" s="4" t="inlineStr"/>
      <c r="Q450" s="4" t="inlineStr">
        <is>
          <t>Sim</t>
        </is>
      </c>
      <c r="R450" s="4" t="inlineStr">
        <is>
          <t>Site (HTML)</t>
        </is>
      </c>
      <c r="S450" s="4" t="n">
        <v>1</v>
      </c>
      <c r="T450" s="4" t="inlineStr">
        <is>
          <t>Não</t>
        </is>
      </c>
      <c r="U450" s="4" t="inlineStr">
        <is>
          <t>Sim</t>
        </is>
      </c>
      <c r="V450" s="4" t="inlineStr">
        <is>
          <t>Não</t>
        </is>
      </c>
      <c r="W450" s="4" t="inlineStr"/>
    </row>
    <row r="451">
      <c r="A451" s="4" t="inlineStr">
        <is>
          <t>Itaú Private</t>
        </is>
      </c>
      <c r="B451" s="4" t="inlineStr">
        <is>
          <t>Itaú Prev Verde MM</t>
        </is>
      </c>
      <c r="C451" s="6" t="inlineStr"/>
      <c r="D451" s="4" t="inlineStr">
        <is>
          <t>ITAU UNIBANCO S.A.</t>
        </is>
      </c>
      <c r="E451" s="4" t="inlineStr"/>
      <c r="F451" s="4" t="inlineStr"/>
      <c r="G451" s="4" t="inlineStr">
        <is>
          <t>Multimercado</t>
        </is>
      </c>
      <c r="H451" s="4" t="inlineStr">
        <is>
          <t>Multimercados</t>
        </is>
      </c>
      <c r="I451" s="7" t="n"/>
      <c r="J451" s="8" t="n">
        <v>2</v>
      </c>
      <c r="K451" s="8" t="n"/>
      <c r="L451" s="4" t="inlineStr"/>
      <c r="M451" s="5" t="n"/>
      <c r="N451" s="5" t="n"/>
      <c r="O451" s="5" t="n"/>
      <c r="P451" s="4" t="inlineStr"/>
      <c r="Q451" s="4" t="inlineStr">
        <is>
          <t>Sim</t>
        </is>
      </c>
      <c r="R451" s="4" t="inlineStr">
        <is>
          <t>Site (HTML)</t>
        </is>
      </c>
      <c r="S451" s="4" t="n">
        <v>1</v>
      </c>
      <c r="T451" s="4" t="inlineStr">
        <is>
          <t>Não</t>
        </is>
      </c>
      <c r="U451" s="4" t="inlineStr">
        <is>
          <t>Sim</t>
        </is>
      </c>
      <c r="V451" s="4" t="inlineStr">
        <is>
          <t>Não</t>
        </is>
      </c>
      <c r="W451" s="4" t="inlineStr"/>
    </row>
    <row r="452">
      <c r="A452" s="4" t="inlineStr">
        <is>
          <t>Itaú Private</t>
        </is>
      </c>
      <c r="B452" s="4" t="inlineStr">
        <is>
          <t>Kinea Prev Credito Privado</t>
        </is>
      </c>
      <c r="C452" s="6" t="inlineStr"/>
      <c r="D452" s="4" t="inlineStr"/>
      <c r="E452" s="4" t="inlineStr"/>
      <c r="F452" s="4" t="inlineStr"/>
      <c r="G452" s="4" t="inlineStr">
        <is>
          <t>Renda Fixa</t>
        </is>
      </c>
      <c r="H452" s="4" t="inlineStr">
        <is>
          <t>Juros Pós-Fixados</t>
        </is>
      </c>
      <c r="I452" s="7" t="n"/>
      <c r="J452" s="8" t="n">
        <v>0.6</v>
      </c>
      <c r="K452" s="8" t="n"/>
      <c r="L452" s="4" t="inlineStr"/>
      <c r="M452" s="5" t="n"/>
      <c r="N452" s="5" t="n"/>
      <c r="O452" s="5" t="n"/>
      <c r="P452" s="4" t="inlineStr"/>
      <c r="Q452" s="4" t="inlineStr">
        <is>
          <t>Sim</t>
        </is>
      </c>
      <c r="R452" s="4" t="inlineStr">
        <is>
          <t>Site (HTML)</t>
        </is>
      </c>
      <c r="S452" s="4" t="n">
        <v>1</v>
      </c>
      <c r="T452" s="4" t="inlineStr">
        <is>
          <t>Não</t>
        </is>
      </c>
      <c r="U452" s="4" t="inlineStr">
        <is>
          <t>Sim</t>
        </is>
      </c>
      <c r="V452" s="4" t="inlineStr">
        <is>
          <t>Não</t>
        </is>
      </c>
      <c r="W452" s="4" t="inlineStr"/>
    </row>
    <row r="453">
      <c r="A453" s="4" t="inlineStr">
        <is>
          <t>Itaú Private</t>
        </is>
      </c>
      <c r="B453" s="4" t="inlineStr">
        <is>
          <t>Kinea XTR II Prev PVT MM</t>
        </is>
      </c>
      <c r="C453" s="6" t="inlineStr"/>
      <c r="D453" s="4" t="inlineStr"/>
      <c r="E453" s="4" t="inlineStr"/>
      <c r="F453" s="4" t="inlineStr"/>
      <c r="G453" s="4" t="inlineStr">
        <is>
          <t>Multimercado</t>
        </is>
      </c>
      <c r="H453" s="4" t="inlineStr">
        <is>
          <t>Multimercados</t>
        </is>
      </c>
      <c r="I453" s="7" t="n"/>
      <c r="J453" s="8" t="n">
        <v>1.5</v>
      </c>
      <c r="K453" s="8" t="n"/>
      <c r="L453" s="4" t="inlineStr"/>
      <c r="M453" s="5" t="n"/>
      <c r="N453" s="5" t="n"/>
      <c r="O453" s="5" t="n"/>
      <c r="P453" s="4" t="inlineStr"/>
      <c r="Q453" s="4" t="inlineStr">
        <is>
          <t>Sim</t>
        </is>
      </c>
      <c r="R453" s="4" t="inlineStr">
        <is>
          <t>Site (HTML)</t>
        </is>
      </c>
      <c r="S453" s="4" t="n">
        <v>1</v>
      </c>
      <c r="T453" s="4" t="inlineStr">
        <is>
          <t>Não</t>
        </is>
      </c>
      <c r="U453" s="4" t="inlineStr">
        <is>
          <t>Sim</t>
        </is>
      </c>
      <c r="V453" s="4" t="inlineStr">
        <is>
          <t>Não</t>
        </is>
      </c>
      <c r="W453" s="4" t="inlineStr"/>
    </row>
    <row r="454">
      <c r="A454" s="4" t="inlineStr">
        <is>
          <t>Itaú Private</t>
        </is>
      </c>
      <c r="B454" s="4" t="inlineStr">
        <is>
          <t>PRIVATE PREV TRUXT ACOES</t>
        </is>
      </c>
      <c r="C454" s="6" t="inlineStr"/>
      <c r="D454" s="4" t="inlineStr"/>
      <c r="E454" s="4" t="inlineStr"/>
      <c r="F454" s="4" t="inlineStr"/>
      <c r="G454" s="4" t="inlineStr">
        <is>
          <t>Ações</t>
        </is>
      </c>
      <c r="H454" s="4" t="inlineStr">
        <is>
          <t>Multimercados</t>
        </is>
      </c>
      <c r="I454" s="7" t="n"/>
      <c r="J454" s="8" t="n">
        <v>3</v>
      </c>
      <c r="K454" s="8" t="n"/>
      <c r="L454" s="4" t="inlineStr"/>
      <c r="M454" s="5" t="n"/>
      <c r="N454" s="5" t="n"/>
      <c r="O454" s="5" t="n"/>
      <c r="P454" s="4" t="inlineStr"/>
      <c r="Q454" s="4" t="inlineStr">
        <is>
          <t>Não</t>
        </is>
      </c>
      <c r="R454" s="4" t="inlineStr">
        <is>
          <t>Site (HTML)</t>
        </is>
      </c>
      <c r="S454" s="4" t="n">
        <v>1</v>
      </c>
      <c r="T454" s="4" t="inlineStr">
        <is>
          <t>Não</t>
        </is>
      </c>
      <c r="U454" s="4" t="inlineStr">
        <is>
          <t>Sim</t>
        </is>
      </c>
      <c r="V454" s="4" t="inlineStr">
        <is>
          <t>Não</t>
        </is>
      </c>
      <c r="W454" s="4" t="inlineStr"/>
    </row>
    <row r="455">
      <c r="A455" s="4" t="inlineStr">
        <is>
          <t>Itaú Private</t>
        </is>
      </c>
      <c r="B455" s="4" t="inlineStr">
        <is>
          <t>Platinum III</t>
        </is>
      </c>
      <c r="C455" s="6" t="inlineStr"/>
      <c r="D455" s="4" t="inlineStr">
        <is>
          <t>PLATINUM CAPITAL GESTÃO DE RECURSOS LTDA.</t>
        </is>
      </c>
      <c r="E455" s="4" t="inlineStr"/>
      <c r="F455" s="4" t="inlineStr"/>
      <c r="G455" s="4" t="inlineStr">
        <is>
          <t>Renda Fixa</t>
        </is>
      </c>
      <c r="H455" s="4" t="inlineStr">
        <is>
          <t>Juros Prefixados</t>
        </is>
      </c>
      <c r="I455" s="7" t="n"/>
      <c r="J455" s="8" t="n">
        <v>0.6</v>
      </c>
      <c r="K455" s="8" t="n"/>
      <c r="L455" s="4" t="inlineStr"/>
      <c r="M455" s="5" t="n"/>
      <c r="N455" s="5" t="n"/>
      <c r="O455" s="5" t="n"/>
      <c r="P455" s="4" t="inlineStr"/>
      <c r="Q455" s="4" t="inlineStr">
        <is>
          <t>Não</t>
        </is>
      </c>
      <c r="R455" s="4" t="inlineStr">
        <is>
          <t>Site (HTML)</t>
        </is>
      </c>
      <c r="S455" s="4" t="n">
        <v>1</v>
      </c>
      <c r="T455" s="4" t="inlineStr">
        <is>
          <t>Não</t>
        </is>
      </c>
      <c r="U455" s="4" t="inlineStr">
        <is>
          <t>Sim</t>
        </is>
      </c>
      <c r="V455" s="4" t="inlineStr">
        <is>
          <t>Não</t>
        </is>
      </c>
      <c r="W455" s="4" t="inlineStr"/>
    </row>
    <row r="456">
      <c r="A456" s="4" t="inlineStr">
        <is>
          <t>Itaú Private</t>
        </is>
      </c>
      <c r="B456" s="4" t="inlineStr">
        <is>
          <t>Private Juro Real Target 2026 II</t>
        </is>
      </c>
      <c r="C456" s="6" t="inlineStr"/>
      <c r="D456" s="4" t="inlineStr"/>
      <c r="E456" s="4" t="inlineStr"/>
      <c r="F456" s="4" t="inlineStr"/>
      <c r="G456" s="4" t="inlineStr">
        <is>
          <t>Renda Fixa</t>
        </is>
      </c>
      <c r="H456" s="4" t="inlineStr">
        <is>
          <t>Inflação</t>
        </is>
      </c>
      <c r="I456" s="7" t="n"/>
      <c r="J456" s="8" t="n">
        <v>0.5</v>
      </c>
      <c r="K456" s="8" t="n"/>
      <c r="L456" s="4" t="inlineStr"/>
      <c r="M456" s="5" t="n"/>
      <c r="N456" s="5" t="n"/>
      <c r="O456" s="5" t="n"/>
      <c r="P456" s="4" t="inlineStr"/>
      <c r="Q456" s="4" t="inlineStr">
        <is>
          <t>Não</t>
        </is>
      </c>
      <c r="R456" s="4" t="inlineStr">
        <is>
          <t>Site (HTML)</t>
        </is>
      </c>
      <c r="S456" s="4" t="n">
        <v>1</v>
      </c>
      <c r="T456" s="4" t="inlineStr">
        <is>
          <t>Não</t>
        </is>
      </c>
      <c r="U456" s="4" t="inlineStr">
        <is>
          <t>Sim</t>
        </is>
      </c>
      <c r="V456" s="4" t="inlineStr">
        <is>
          <t>Não</t>
        </is>
      </c>
      <c r="W456" s="4" t="inlineStr"/>
    </row>
    <row r="457">
      <c r="A457" s="4" t="inlineStr">
        <is>
          <t>Itaú Private</t>
        </is>
      </c>
      <c r="B457" s="4" t="inlineStr">
        <is>
          <t>Private Juro Real Target 2030 II</t>
        </is>
      </c>
      <c r="C457" s="6" t="inlineStr"/>
      <c r="D457" s="4" t="inlineStr"/>
      <c r="E457" s="4" t="inlineStr"/>
      <c r="F457" s="4" t="inlineStr"/>
      <c r="G457" s="4" t="inlineStr">
        <is>
          <t>Renda Fixa</t>
        </is>
      </c>
      <c r="H457" s="4" t="inlineStr">
        <is>
          <t>Inflação</t>
        </is>
      </c>
      <c r="I457" s="7" t="n"/>
      <c r="J457" s="8" t="n">
        <v>0.5</v>
      </c>
      <c r="K457" s="8" t="n"/>
      <c r="L457" s="4" t="inlineStr"/>
      <c r="M457" s="5" t="n"/>
      <c r="N457" s="5" t="n"/>
      <c r="O457" s="5" t="n"/>
      <c r="P457" s="4" t="inlineStr"/>
      <c r="Q457" s="4" t="inlineStr">
        <is>
          <t>Não</t>
        </is>
      </c>
      <c r="R457" s="4" t="inlineStr">
        <is>
          <t>Site (HTML)</t>
        </is>
      </c>
      <c r="S457" s="4" t="n">
        <v>1</v>
      </c>
      <c r="T457" s="4" t="inlineStr">
        <is>
          <t>Não</t>
        </is>
      </c>
      <c r="U457" s="4" t="inlineStr">
        <is>
          <t>Sim</t>
        </is>
      </c>
      <c r="V457" s="4" t="inlineStr">
        <is>
          <t>Não</t>
        </is>
      </c>
      <c r="W457" s="4" t="inlineStr"/>
    </row>
    <row r="458">
      <c r="A458" s="4" t="inlineStr">
        <is>
          <t>Itaú Private</t>
        </is>
      </c>
      <c r="B458" s="4" t="inlineStr">
        <is>
          <t>Private Juro Real Target 2035 II</t>
        </is>
      </c>
      <c r="C458" s="6" t="inlineStr"/>
      <c r="D458" s="4" t="inlineStr"/>
      <c r="E458" s="4" t="inlineStr"/>
      <c r="F458" s="4" t="inlineStr"/>
      <c r="G458" s="4" t="inlineStr">
        <is>
          <t>Renda Fixa</t>
        </is>
      </c>
      <c r="H458" s="4" t="inlineStr">
        <is>
          <t>Inflação</t>
        </is>
      </c>
      <c r="I458" s="7" t="n"/>
      <c r="J458" s="8" t="n">
        <v>0.5</v>
      </c>
      <c r="K458" s="8" t="n"/>
      <c r="L458" s="4" t="inlineStr"/>
      <c r="M458" s="5" t="n"/>
      <c r="N458" s="5" t="n"/>
      <c r="O458" s="5" t="n"/>
      <c r="P458" s="4" t="inlineStr"/>
      <c r="Q458" s="4" t="inlineStr">
        <is>
          <t>Não</t>
        </is>
      </c>
      <c r="R458" s="4" t="inlineStr">
        <is>
          <t>Site (HTML)</t>
        </is>
      </c>
      <c r="S458" s="4" t="n">
        <v>1</v>
      </c>
      <c r="T458" s="4" t="inlineStr">
        <is>
          <t>Não</t>
        </is>
      </c>
      <c r="U458" s="4" t="inlineStr">
        <is>
          <t>Sim</t>
        </is>
      </c>
      <c r="V458" s="4" t="inlineStr">
        <is>
          <t>Não</t>
        </is>
      </c>
      <c r="W458" s="4" t="inlineStr"/>
    </row>
    <row r="459">
      <c r="A459" s="4" t="inlineStr">
        <is>
          <t>Itaú Private</t>
        </is>
      </c>
      <c r="B459" s="4" t="inlineStr">
        <is>
          <t>Private Juro Real Target II 2024</t>
        </is>
      </c>
      <c r="C459" s="6" t="inlineStr"/>
      <c r="D459" s="4" t="inlineStr"/>
      <c r="E459" s="4" t="inlineStr"/>
      <c r="F459" s="4" t="inlineStr"/>
      <c r="G459" s="4" t="inlineStr">
        <is>
          <t>Renda Fixa</t>
        </is>
      </c>
      <c r="H459" s="4" t="inlineStr">
        <is>
          <t>Inflação</t>
        </is>
      </c>
      <c r="I459" s="7" t="n"/>
      <c r="J459" s="8" t="n">
        <v>0.5</v>
      </c>
      <c r="K459" s="8" t="n"/>
      <c r="L459" s="4" t="inlineStr"/>
      <c r="M459" s="5" t="n"/>
      <c r="N459" s="5" t="n"/>
      <c r="O459" s="5" t="n"/>
      <c r="P459" s="4" t="inlineStr"/>
      <c r="Q459" s="4" t="inlineStr">
        <is>
          <t>Não</t>
        </is>
      </c>
      <c r="R459" s="4" t="inlineStr">
        <is>
          <t>Site (HTML)</t>
        </is>
      </c>
      <c r="S459" s="4" t="n">
        <v>1</v>
      </c>
      <c r="T459" s="4" t="inlineStr">
        <is>
          <t>Não</t>
        </is>
      </c>
      <c r="U459" s="4" t="inlineStr">
        <is>
          <t>Sim</t>
        </is>
      </c>
      <c r="V459" s="4" t="inlineStr">
        <is>
          <t>Não</t>
        </is>
      </c>
      <c r="W459" s="4" t="inlineStr"/>
    </row>
    <row r="460">
      <c r="A460" s="4" t="inlineStr">
        <is>
          <t>Itaú Private</t>
        </is>
      </c>
      <c r="B460" s="4" t="inlineStr">
        <is>
          <t>Private Kinea Multimercado</t>
        </is>
      </c>
      <c r="C460" s="6" t="inlineStr"/>
      <c r="D460" s="4" t="inlineStr"/>
      <c r="E460" s="4" t="inlineStr"/>
      <c r="F460" s="4" t="inlineStr"/>
      <c r="G460" s="4" t="inlineStr">
        <is>
          <t>Multimercado</t>
        </is>
      </c>
      <c r="H460" s="4" t="inlineStr">
        <is>
          <t>Multimercados</t>
        </is>
      </c>
      <c r="I460" s="7" t="n"/>
      <c r="J460" s="8" t="n">
        <v>1.5</v>
      </c>
      <c r="K460" s="8" t="n"/>
      <c r="L460" s="4" t="inlineStr"/>
      <c r="M460" s="5" t="n"/>
      <c r="N460" s="5" t="n"/>
      <c r="O460" s="5" t="n"/>
      <c r="P460" s="4" t="inlineStr"/>
      <c r="Q460" s="4" t="inlineStr">
        <is>
          <t>Sim</t>
        </is>
      </c>
      <c r="R460" s="4" t="inlineStr">
        <is>
          <t>Site (HTML)</t>
        </is>
      </c>
      <c r="S460" s="4" t="n">
        <v>1</v>
      </c>
      <c r="T460" s="4" t="inlineStr">
        <is>
          <t>Não</t>
        </is>
      </c>
      <c r="U460" s="4" t="inlineStr">
        <is>
          <t>Sim</t>
        </is>
      </c>
      <c r="V460" s="4" t="inlineStr">
        <is>
          <t>Não</t>
        </is>
      </c>
      <c r="W460" s="4" t="inlineStr"/>
    </row>
    <row r="461">
      <c r="A461" s="4" t="inlineStr">
        <is>
          <t>Itaú Private</t>
        </is>
      </c>
      <c r="B461" s="4" t="inlineStr">
        <is>
          <t>Private Prev Absolute MM</t>
        </is>
      </c>
      <c r="C461" s="6" t="inlineStr"/>
      <c r="D461" s="4" t="inlineStr"/>
      <c r="E461" s="4" t="inlineStr"/>
      <c r="F461" s="4" t="inlineStr"/>
      <c r="G461" s="4" t="inlineStr">
        <is>
          <t>Multimercado</t>
        </is>
      </c>
      <c r="H461" s="4" t="inlineStr">
        <is>
          <t>Multimercados</t>
        </is>
      </c>
      <c r="I461" s="7" t="n"/>
      <c r="J461" s="8" t="n">
        <v>2</v>
      </c>
      <c r="K461" s="8" t="n"/>
      <c r="L461" s="4" t="inlineStr"/>
      <c r="M461" s="5" t="n"/>
      <c r="N461" s="5" t="n"/>
      <c r="O461" s="5" t="n"/>
      <c r="P461" s="4" t="inlineStr"/>
      <c r="Q461" s="4" t="inlineStr">
        <is>
          <t>Não</t>
        </is>
      </c>
      <c r="R461" s="4" t="inlineStr">
        <is>
          <t>Site (HTML)</t>
        </is>
      </c>
      <c r="S461" s="4" t="n">
        <v>1</v>
      </c>
      <c r="T461" s="4" t="inlineStr">
        <is>
          <t>Não</t>
        </is>
      </c>
      <c r="U461" s="4" t="inlineStr">
        <is>
          <t>Sim</t>
        </is>
      </c>
      <c r="V461" s="4" t="inlineStr">
        <is>
          <t>Não</t>
        </is>
      </c>
      <c r="W461" s="4" t="inlineStr"/>
    </row>
    <row r="462">
      <c r="A462" s="4" t="inlineStr">
        <is>
          <t>Itaú Private</t>
        </is>
      </c>
      <c r="B462" s="4" t="inlineStr">
        <is>
          <t>Private Prev Active Fix</t>
        </is>
      </c>
      <c r="C462" s="6" t="inlineStr"/>
      <c r="D462" s="4" t="inlineStr"/>
      <c r="E462" s="4" t="inlineStr"/>
      <c r="F462" s="4" t="inlineStr"/>
      <c r="G462" s="4" t="inlineStr">
        <is>
          <t>Renda Fixa</t>
        </is>
      </c>
      <c r="H462" s="4" t="inlineStr">
        <is>
          <t>Juros Pós-Fixados</t>
        </is>
      </c>
      <c r="I462" s="7" t="n"/>
      <c r="J462" s="8" t="n">
        <v>0.5</v>
      </c>
      <c r="K462" s="8" t="n"/>
      <c r="L462" s="4" t="inlineStr"/>
      <c r="M462" s="5" t="n"/>
      <c r="N462" s="5" t="n"/>
      <c r="O462" s="5" t="n"/>
      <c r="P462" s="4" t="inlineStr"/>
      <c r="Q462" s="4" t="inlineStr">
        <is>
          <t>Não</t>
        </is>
      </c>
      <c r="R462" s="4" t="inlineStr">
        <is>
          <t>Site (HTML)</t>
        </is>
      </c>
      <c r="S462" s="4" t="n">
        <v>1</v>
      </c>
      <c r="T462" s="4" t="inlineStr">
        <is>
          <t>Não</t>
        </is>
      </c>
      <c r="U462" s="4" t="inlineStr">
        <is>
          <t>Sim</t>
        </is>
      </c>
      <c r="V462" s="4" t="inlineStr">
        <is>
          <t>Não</t>
        </is>
      </c>
      <c r="W462" s="4" t="inlineStr"/>
    </row>
    <row r="463">
      <c r="A463" s="4" t="inlineStr">
        <is>
          <t>Itaú Private</t>
        </is>
      </c>
      <c r="B463" s="4" t="inlineStr">
        <is>
          <t>Private Prev Adam MM VGBL</t>
        </is>
      </c>
      <c r="C463" s="6" t="inlineStr"/>
      <c r="D463" s="4" t="inlineStr"/>
      <c r="E463" s="4" t="inlineStr"/>
      <c r="F463" s="4" t="inlineStr"/>
      <c r="G463" s="4" t="inlineStr">
        <is>
          <t>Renda Fixa</t>
        </is>
      </c>
      <c r="H463" s="4" t="inlineStr">
        <is>
          <t>Multimercados</t>
        </is>
      </c>
      <c r="I463" s="7" t="n"/>
      <c r="J463" s="8" t="n">
        <v>2</v>
      </c>
      <c r="K463" s="8" t="n"/>
      <c r="L463" s="4" t="inlineStr"/>
      <c r="M463" s="5" t="n"/>
      <c r="N463" s="5" t="n"/>
      <c r="O463" s="5" t="n"/>
      <c r="P463" s="4" t="inlineStr"/>
      <c r="Q463" s="4" t="inlineStr">
        <is>
          <t>Não</t>
        </is>
      </c>
      <c r="R463" s="4" t="inlineStr">
        <is>
          <t>Site (HTML)</t>
        </is>
      </c>
      <c r="S463" s="4" t="n">
        <v>1</v>
      </c>
      <c r="T463" s="4" t="inlineStr">
        <is>
          <t>Não</t>
        </is>
      </c>
      <c r="U463" s="4" t="inlineStr">
        <is>
          <t>Sim</t>
        </is>
      </c>
      <c r="V463" s="4" t="inlineStr">
        <is>
          <t>Não</t>
        </is>
      </c>
      <c r="W463" s="4" t="inlineStr"/>
    </row>
    <row r="464">
      <c r="A464" s="4" t="inlineStr">
        <is>
          <t>Itaú Private</t>
        </is>
      </c>
      <c r="B464" s="4" t="inlineStr">
        <is>
          <t>Private Prev Ativo RF</t>
        </is>
      </c>
      <c r="C464" s="6" t="inlineStr"/>
      <c r="D464" s="4" t="inlineStr"/>
      <c r="E464" s="4" t="inlineStr"/>
      <c r="F464" s="4" t="inlineStr"/>
      <c r="G464" s="4" t="inlineStr">
        <is>
          <t>Renda Fixa</t>
        </is>
      </c>
      <c r="H464" s="4" t="inlineStr">
        <is>
          <t>PREVIDÊNCIA - Renda Fixa</t>
        </is>
      </c>
      <c r="I464" s="7" t="n"/>
      <c r="J464" s="8" t="n">
        <v>1.25</v>
      </c>
      <c r="K464" s="8" t="n"/>
      <c r="L464" s="4" t="inlineStr"/>
      <c r="M464" s="5" t="n"/>
      <c r="N464" s="5" t="n"/>
      <c r="O464" s="5" t="n"/>
      <c r="P464" s="4" t="inlineStr"/>
      <c r="Q464" s="4" t="inlineStr">
        <is>
          <t>Não</t>
        </is>
      </c>
      <c r="R464" s="4" t="inlineStr">
        <is>
          <t>Site (HTML)</t>
        </is>
      </c>
      <c r="S464" s="4" t="n">
        <v>1</v>
      </c>
      <c r="T464" s="4" t="inlineStr">
        <is>
          <t>Não</t>
        </is>
      </c>
      <c r="U464" s="4" t="inlineStr">
        <is>
          <t>Sim</t>
        </is>
      </c>
      <c r="V464" s="4" t="inlineStr">
        <is>
          <t>Não</t>
        </is>
      </c>
      <c r="W464" s="4" t="inlineStr"/>
    </row>
    <row r="465">
      <c r="A465" s="4" t="inlineStr">
        <is>
          <t>Itaú Private</t>
        </is>
      </c>
      <c r="B465" s="4" t="inlineStr">
        <is>
          <t>Private Prev Dinamico Crédito Privado</t>
        </is>
      </c>
      <c r="C465" s="6" t="inlineStr"/>
      <c r="D465" s="4" t="inlineStr"/>
      <c r="E465" s="4" t="inlineStr"/>
      <c r="F465" s="4" t="inlineStr"/>
      <c r="G465" s="4" t="inlineStr">
        <is>
          <t>Multimercado</t>
        </is>
      </c>
      <c r="H465" s="4" t="inlineStr">
        <is>
          <t>PREVIDÊNCIA - Renda Fixa</t>
        </is>
      </c>
      <c r="I465" s="7" t="n"/>
      <c r="J465" s="8" t="n">
        <v>1</v>
      </c>
      <c r="K465" s="8" t="n"/>
      <c r="L465" s="4" t="inlineStr"/>
      <c r="M465" s="5" t="n"/>
      <c r="N465" s="5" t="n"/>
      <c r="O465" s="5" t="n"/>
      <c r="P465" s="4" t="inlineStr"/>
      <c r="Q465" s="4" t="inlineStr">
        <is>
          <t>Sim</t>
        </is>
      </c>
      <c r="R465" s="4" t="inlineStr">
        <is>
          <t>Site (HTML)</t>
        </is>
      </c>
      <c r="S465" s="4" t="n">
        <v>1</v>
      </c>
      <c r="T465" s="4" t="inlineStr">
        <is>
          <t>Não</t>
        </is>
      </c>
      <c r="U465" s="4" t="inlineStr">
        <is>
          <t>Sim</t>
        </is>
      </c>
      <c r="V465" s="4" t="inlineStr">
        <is>
          <t>Não</t>
        </is>
      </c>
      <c r="W465" s="4" t="inlineStr"/>
    </row>
    <row r="466">
      <c r="A466" s="4" t="inlineStr">
        <is>
          <t>Itaú Private</t>
        </is>
      </c>
      <c r="B466" s="4" t="inlineStr">
        <is>
          <t>Private Prev Dunamis Ações</t>
        </is>
      </c>
      <c r="C466" s="6" t="inlineStr"/>
      <c r="D466" s="4" t="inlineStr"/>
      <c r="E466" s="4" t="inlineStr"/>
      <c r="F466" s="4" t="inlineStr"/>
      <c r="G466" s="4" t="inlineStr">
        <is>
          <t>Multimercado</t>
        </is>
      </c>
      <c r="H466" s="4" t="inlineStr">
        <is>
          <t>Ações</t>
        </is>
      </c>
      <c r="I466" s="7" t="n"/>
      <c r="J466" s="8" t="n">
        <v>2</v>
      </c>
      <c r="K466" s="8" t="n"/>
      <c r="L466" s="4" t="inlineStr"/>
      <c r="M466" s="5" t="n"/>
      <c r="N466" s="5" t="n"/>
      <c r="O466" s="5" t="n"/>
      <c r="P466" s="4" t="inlineStr"/>
      <c r="Q466" s="4" t="inlineStr">
        <is>
          <t>Sim</t>
        </is>
      </c>
      <c r="R466" s="4" t="inlineStr">
        <is>
          <t>Site (HTML)</t>
        </is>
      </c>
      <c r="S466" s="4" t="n">
        <v>1</v>
      </c>
      <c r="T466" s="4" t="inlineStr">
        <is>
          <t>Não</t>
        </is>
      </c>
      <c r="U466" s="4" t="inlineStr">
        <is>
          <t>Sim</t>
        </is>
      </c>
      <c r="V466" s="4" t="inlineStr">
        <is>
          <t>Não</t>
        </is>
      </c>
      <c r="W466" s="4" t="inlineStr"/>
    </row>
    <row r="467">
      <c r="A467" s="4" t="inlineStr">
        <is>
          <t>Itaú Private</t>
        </is>
      </c>
      <c r="B467" s="4" t="inlineStr">
        <is>
          <t>Private Prev High Yield</t>
        </is>
      </c>
      <c r="C467" s="6" t="inlineStr"/>
      <c r="D467" s="4" t="inlineStr"/>
      <c r="E467" s="4" t="inlineStr"/>
      <c r="F467" s="4" t="inlineStr"/>
      <c r="G467" s="4" t="inlineStr">
        <is>
          <t>Multimercado</t>
        </is>
      </c>
      <c r="H467" s="4" t="inlineStr">
        <is>
          <t>Juros Pós-Fixados</t>
        </is>
      </c>
      <c r="I467" s="7" t="n"/>
      <c r="J467" s="8" t="n">
        <v>0.6</v>
      </c>
      <c r="K467" s="8" t="n"/>
      <c r="L467" s="4" t="inlineStr"/>
      <c r="M467" s="5" t="n"/>
      <c r="N467" s="5" t="n"/>
      <c r="O467" s="5" t="n"/>
      <c r="P467" s="4" t="inlineStr"/>
      <c r="Q467" s="4" t="inlineStr">
        <is>
          <t>Sim</t>
        </is>
      </c>
      <c r="R467" s="4" t="inlineStr">
        <is>
          <t>Site (HTML)</t>
        </is>
      </c>
      <c r="S467" s="4" t="n">
        <v>1</v>
      </c>
      <c r="T467" s="4" t="inlineStr">
        <is>
          <t>Não</t>
        </is>
      </c>
      <c r="U467" s="4" t="inlineStr">
        <is>
          <t>Sim</t>
        </is>
      </c>
      <c r="V467" s="4" t="inlineStr">
        <is>
          <t>Não</t>
        </is>
      </c>
      <c r="W467" s="4" t="inlineStr"/>
    </row>
    <row r="468">
      <c r="A468" s="4" t="inlineStr">
        <is>
          <t>Itaú Private</t>
        </is>
      </c>
      <c r="B468" s="4" t="inlineStr">
        <is>
          <t>Private Prev IMA-B II</t>
        </is>
      </c>
      <c r="C468" s="6" t="inlineStr"/>
      <c r="D468" s="4" t="inlineStr"/>
      <c r="E468" s="4" t="inlineStr"/>
      <c r="F468" s="4" t="inlineStr"/>
      <c r="G468" s="4" t="inlineStr">
        <is>
          <t>Renda Fixa</t>
        </is>
      </c>
      <c r="H468" s="4" t="inlineStr">
        <is>
          <t>Inflação</t>
        </is>
      </c>
      <c r="I468" s="7" t="n"/>
      <c r="J468" s="8" t="n">
        <v>0.5</v>
      </c>
      <c r="K468" s="8" t="n"/>
      <c r="L468" s="4" t="inlineStr"/>
      <c r="M468" s="5" t="n"/>
      <c r="N468" s="5" t="n"/>
      <c r="O468" s="5" t="n"/>
      <c r="P468" s="4" t="inlineStr"/>
      <c r="Q468" s="4" t="inlineStr">
        <is>
          <t>Não</t>
        </is>
      </c>
      <c r="R468" s="4" t="inlineStr">
        <is>
          <t>Site (HTML)</t>
        </is>
      </c>
      <c r="S468" s="4" t="n">
        <v>1</v>
      </c>
      <c r="T468" s="4" t="inlineStr">
        <is>
          <t>Não</t>
        </is>
      </c>
      <c r="U468" s="4" t="inlineStr">
        <is>
          <t>Sim</t>
        </is>
      </c>
      <c r="V468" s="4" t="inlineStr">
        <is>
          <t>Não</t>
        </is>
      </c>
      <c r="W468" s="4" t="inlineStr"/>
    </row>
    <row r="469">
      <c r="A469" s="4" t="inlineStr">
        <is>
          <t>Itaú Private</t>
        </is>
      </c>
      <c r="B469" s="4" t="inlineStr">
        <is>
          <t>Private Prev IMP 3</t>
        </is>
      </c>
      <c r="C469" s="6" t="inlineStr"/>
      <c r="D469" s="4" t="inlineStr"/>
      <c r="E469" s="4" t="inlineStr"/>
      <c r="F469" s="4" t="inlineStr"/>
      <c r="G469" s="4" t="inlineStr">
        <is>
          <t>Multimercado</t>
        </is>
      </c>
      <c r="H469" s="4" t="inlineStr">
        <is>
          <t>Multimercados</t>
        </is>
      </c>
      <c r="I469" s="7" t="n"/>
      <c r="J469" s="8" t="n">
        <v>1</v>
      </c>
      <c r="K469" s="8" t="n"/>
      <c r="L469" s="4" t="inlineStr"/>
      <c r="M469" s="5" t="n"/>
      <c r="N469" s="5" t="n"/>
      <c r="O469" s="5" t="n"/>
      <c r="P469" s="4" t="inlineStr"/>
      <c r="Q469" s="4" t="inlineStr">
        <is>
          <t>Sim</t>
        </is>
      </c>
      <c r="R469" s="4" t="inlineStr">
        <is>
          <t>Site (HTML)</t>
        </is>
      </c>
      <c r="S469" s="4" t="n">
        <v>1</v>
      </c>
      <c r="T469" s="4" t="inlineStr">
        <is>
          <t>Não</t>
        </is>
      </c>
      <c r="U469" s="4" t="inlineStr">
        <is>
          <t>Sim</t>
        </is>
      </c>
      <c r="V469" s="4" t="inlineStr">
        <is>
          <t>Não</t>
        </is>
      </c>
      <c r="W469" s="4" t="inlineStr"/>
    </row>
    <row r="470">
      <c r="A470" s="4" t="inlineStr">
        <is>
          <t>Itaú Private</t>
        </is>
      </c>
      <c r="B470" s="4" t="inlineStr">
        <is>
          <t>Private Prev IMP 3 II</t>
        </is>
      </c>
      <c r="C470" s="6" t="inlineStr"/>
      <c r="D470" s="4" t="inlineStr"/>
      <c r="E470" s="4" t="inlineStr"/>
      <c r="F470" s="4" t="inlineStr"/>
      <c r="G470" s="4" t="inlineStr">
        <is>
          <t>Multimercado</t>
        </is>
      </c>
      <c r="H470" s="4" t="inlineStr">
        <is>
          <t>Multimercados</t>
        </is>
      </c>
      <c r="I470" s="7" t="n"/>
      <c r="J470" s="8" t="n">
        <v>0.8</v>
      </c>
      <c r="K470" s="8" t="n"/>
      <c r="L470" s="4" t="inlineStr"/>
      <c r="M470" s="5" t="n"/>
      <c r="N470" s="5" t="n"/>
      <c r="O470" s="5" t="n"/>
      <c r="P470" s="4" t="inlineStr"/>
      <c r="Q470" s="4" t="inlineStr">
        <is>
          <t>Sim</t>
        </is>
      </c>
      <c r="R470" s="4" t="inlineStr">
        <is>
          <t>Site (HTML)</t>
        </is>
      </c>
      <c r="S470" s="4" t="n">
        <v>1</v>
      </c>
      <c r="T470" s="4" t="inlineStr">
        <is>
          <t>Não</t>
        </is>
      </c>
      <c r="U470" s="4" t="inlineStr">
        <is>
          <t>Sim</t>
        </is>
      </c>
      <c r="V470" s="4" t="inlineStr">
        <is>
          <t>Não</t>
        </is>
      </c>
      <c r="W470" s="4" t="inlineStr"/>
    </row>
    <row r="471">
      <c r="A471" s="4" t="inlineStr">
        <is>
          <t>Itaú Private</t>
        </is>
      </c>
      <c r="B471" s="4" t="inlineStr">
        <is>
          <t>Private Prev Ibov Passivo</t>
        </is>
      </c>
      <c r="C471" s="6" t="inlineStr"/>
      <c r="D471" s="4" t="inlineStr"/>
      <c r="E471" s="4" t="inlineStr"/>
      <c r="F471" s="4" t="inlineStr"/>
      <c r="G471" s="4" t="inlineStr">
        <is>
          <t>Renda Fixa</t>
        </is>
      </c>
      <c r="H471" s="4" t="inlineStr">
        <is>
          <t>Ações</t>
        </is>
      </c>
      <c r="I471" s="7" t="n"/>
      <c r="J471" s="8" t="n">
        <v>0.6</v>
      </c>
      <c r="K471" s="8" t="n"/>
      <c r="L471" s="4" t="inlineStr"/>
      <c r="M471" s="5" t="n"/>
      <c r="N471" s="5" t="n"/>
      <c r="O471" s="5" t="n"/>
      <c r="P471" s="4" t="inlineStr"/>
      <c r="Q471" s="4" t="inlineStr">
        <is>
          <t>Não</t>
        </is>
      </c>
      <c r="R471" s="4" t="inlineStr">
        <is>
          <t>Site (HTML)</t>
        </is>
      </c>
      <c r="S471" s="4" t="n">
        <v>1</v>
      </c>
      <c r="T471" s="4" t="inlineStr">
        <is>
          <t>Não</t>
        </is>
      </c>
      <c r="U471" s="4" t="inlineStr">
        <is>
          <t>Sim</t>
        </is>
      </c>
      <c r="V471" s="4" t="inlineStr">
        <is>
          <t>Não</t>
        </is>
      </c>
      <c r="W471" s="4" t="inlineStr"/>
    </row>
    <row r="472">
      <c r="A472" s="4" t="inlineStr">
        <is>
          <t>Itaú Private</t>
        </is>
      </c>
      <c r="B472" s="4" t="inlineStr">
        <is>
          <t>Private Prev Multigestor</t>
        </is>
      </c>
      <c r="C472" s="6" t="inlineStr"/>
      <c r="D472" s="4" t="inlineStr"/>
      <c r="E472" s="4" t="inlineStr"/>
      <c r="F472" s="4" t="inlineStr"/>
      <c r="G472" s="4" t="inlineStr">
        <is>
          <t>Multimercado</t>
        </is>
      </c>
      <c r="H472" s="4" t="inlineStr">
        <is>
          <t>Multimercados</t>
        </is>
      </c>
      <c r="I472" s="7" t="n"/>
      <c r="J472" s="8" t="n">
        <v>0.75</v>
      </c>
      <c r="K472" s="8" t="n"/>
      <c r="L472" s="4" t="inlineStr"/>
      <c r="M472" s="5" t="n"/>
      <c r="N472" s="5" t="n"/>
      <c r="O472" s="5" t="n"/>
      <c r="P472" s="4" t="inlineStr"/>
      <c r="Q472" s="4" t="inlineStr">
        <is>
          <t>Não</t>
        </is>
      </c>
      <c r="R472" s="4" t="inlineStr">
        <is>
          <t>Site (HTML)</t>
        </is>
      </c>
      <c r="S472" s="4" t="n">
        <v>1</v>
      </c>
      <c r="T472" s="4" t="inlineStr">
        <is>
          <t>Não</t>
        </is>
      </c>
      <c r="U472" s="4" t="inlineStr">
        <is>
          <t>Sim</t>
        </is>
      </c>
      <c r="V472" s="4" t="inlineStr">
        <is>
          <t>Não</t>
        </is>
      </c>
      <c r="W472" s="4" t="inlineStr"/>
    </row>
    <row r="473">
      <c r="A473" s="4" t="inlineStr">
        <is>
          <t>Itaú Private</t>
        </is>
      </c>
      <c r="B473" s="4" t="inlineStr">
        <is>
          <t>Private Prev NTN-B 2024</t>
        </is>
      </c>
      <c r="C473" s="6" t="inlineStr"/>
      <c r="D473" s="4" t="inlineStr"/>
      <c r="E473" s="4" t="inlineStr"/>
      <c r="F473" s="4" t="inlineStr"/>
      <c r="G473" s="4" t="inlineStr">
        <is>
          <t>Renda Fixa</t>
        </is>
      </c>
      <c r="H473" s="4" t="inlineStr">
        <is>
          <t>PREVIDÊNCIA - Renda Fixa</t>
        </is>
      </c>
      <c r="I473" s="7" t="n"/>
      <c r="J473" s="8" t="n"/>
      <c r="K473" s="8" t="n"/>
      <c r="L473" s="4" t="inlineStr"/>
      <c r="M473" s="5" t="n"/>
      <c r="N473" s="5" t="n"/>
      <c r="O473" s="5" t="n"/>
      <c r="P473" s="4" t="inlineStr"/>
      <c r="Q473" s="4" t="inlineStr">
        <is>
          <t>Não</t>
        </is>
      </c>
      <c r="R473" s="4" t="inlineStr">
        <is>
          <t>Site (HTML)</t>
        </is>
      </c>
      <c r="S473" s="4" t="n">
        <v>1</v>
      </c>
      <c r="T473" s="4" t="inlineStr">
        <is>
          <t>Não</t>
        </is>
      </c>
      <c r="U473" s="4" t="inlineStr">
        <is>
          <t>Sim</t>
        </is>
      </c>
      <c r="V473" s="4" t="inlineStr">
        <is>
          <t>Não</t>
        </is>
      </c>
      <c r="W473" s="4" t="inlineStr"/>
    </row>
    <row r="474">
      <c r="A474" s="4" t="inlineStr">
        <is>
          <t>Itaú Private</t>
        </is>
      </c>
      <c r="B474" s="4" t="inlineStr">
        <is>
          <t>Private Prev NTN-B 2030</t>
        </is>
      </c>
      <c r="C474" s="6" t="inlineStr"/>
      <c r="D474" s="4" t="inlineStr"/>
      <c r="E474" s="4" t="inlineStr"/>
      <c r="F474" s="4" t="inlineStr"/>
      <c r="G474" s="4" t="inlineStr">
        <is>
          <t>Renda Fixa</t>
        </is>
      </c>
      <c r="H474" s="4" t="inlineStr">
        <is>
          <t>PREVIDÊNCIA - Renda Fixa</t>
        </is>
      </c>
      <c r="I474" s="7" t="n"/>
      <c r="J474" s="8" t="n"/>
      <c r="K474" s="8" t="n"/>
      <c r="L474" s="4" t="inlineStr"/>
      <c r="M474" s="5" t="n"/>
      <c r="N474" s="5" t="n"/>
      <c r="O474" s="5" t="n"/>
      <c r="P474" s="4" t="inlineStr"/>
      <c r="Q474" s="4" t="inlineStr">
        <is>
          <t>Não</t>
        </is>
      </c>
      <c r="R474" s="4" t="inlineStr">
        <is>
          <t>Site (HTML)</t>
        </is>
      </c>
      <c r="S474" s="4" t="n">
        <v>1</v>
      </c>
      <c r="T474" s="4" t="inlineStr">
        <is>
          <t>Não</t>
        </is>
      </c>
      <c r="U474" s="4" t="inlineStr">
        <is>
          <t>Sim</t>
        </is>
      </c>
      <c r="V474" s="4" t="inlineStr">
        <is>
          <t>Não</t>
        </is>
      </c>
      <c r="W474" s="4" t="inlineStr"/>
    </row>
    <row r="475">
      <c r="A475" s="4" t="inlineStr">
        <is>
          <t>Itaú Private</t>
        </is>
      </c>
      <c r="B475" s="4" t="inlineStr">
        <is>
          <t>Private Prev NTNB Ultra 2023</t>
        </is>
      </c>
      <c r="C475" s="6" t="inlineStr"/>
      <c r="D475" s="4" t="inlineStr"/>
      <c r="E475" s="4" t="inlineStr"/>
      <c r="F475" s="4" t="inlineStr"/>
      <c r="G475" s="4" t="inlineStr">
        <is>
          <t>Renda Fixa</t>
        </is>
      </c>
      <c r="H475" s="4" t="inlineStr">
        <is>
          <t>Inflação</t>
        </is>
      </c>
      <c r="I475" s="7" t="n"/>
      <c r="J475" s="8" t="n">
        <v>0.5</v>
      </c>
      <c r="K475" s="8" t="n"/>
      <c r="L475" s="4" t="inlineStr"/>
      <c r="M475" s="5" t="n"/>
      <c r="N475" s="5" t="n"/>
      <c r="O475" s="5" t="n"/>
      <c r="P475" s="4" t="inlineStr"/>
      <c r="Q475" s="4" t="inlineStr">
        <is>
          <t>Sim</t>
        </is>
      </c>
      <c r="R475" s="4" t="inlineStr">
        <is>
          <t>Site (HTML)</t>
        </is>
      </c>
      <c r="S475" s="4" t="n">
        <v>1</v>
      </c>
      <c r="T475" s="4" t="inlineStr">
        <is>
          <t>Não</t>
        </is>
      </c>
      <c r="U475" s="4" t="inlineStr">
        <is>
          <t>Sim</t>
        </is>
      </c>
      <c r="V475" s="4" t="inlineStr">
        <is>
          <t>Não</t>
        </is>
      </c>
      <c r="W475" s="4" t="inlineStr"/>
    </row>
    <row r="476">
      <c r="A476" s="4" t="inlineStr">
        <is>
          <t>Itaú Private</t>
        </is>
      </c>
      <c r="B476" s="4" t="inlineStr">
        <is>
          <t>Private Prev NTNB Ultra 2024</t>
        </is>
      </c>
      <c r="C476" s="6" t="inlineStr"/>
      <c r="D476" s="4" t="inlineStr"/>
      <c r="E476" s="4" t="inlineStr"/>
      <c r="F476" s="4" t="inlineStr"/>
      <c r="G476" s="4" t="inlineStr">
        <is>
          <t>Renda Fixa</t>
        </is>
      </c>
      <c r="H476" s="4" t="inlineStr">
        <is>
          <t>Inflação</t>
        </is>
      </c>
      <c r="I476" s="7" t="n"/>
      <c r="J476" s="8" t="n">
        <v>0.5</v>
      </c>
      <c r="K476" s="8" t="n"/>
      <c r="L476" s="4" t="inlineStr"/>
      <c r="M476" s="5" t="n"/>
      <c r="N476" s="5" t="n"/>
      <c r="O476" s="5" t="n"/>
      <c r="P476" s="4" t="inlineStr"/>
      <c r="Q476" s="4" t="inlineStr">
        <is>
          <t>Sim</t>
        </is>
      </c>
      <c r="R476" s="4" t="inlineStr">
        <is>
          <t>Site (HTML)</t>
        </is>
      </c>
      <c r="S476" s="4" t="n">
        <v>1</v>
      </c>
      <c r="T476" s="4" t="inlineStr">
        <is>
          <t>Não</t>
        </is>
      </c>
      <c r="U476" s="4" t="inlineStr">
        <is>
          <t>Sim</t>
        </is>
      </c>
      <c r="V476" s="4" t="inlineStr">
        <is>
          <t>Não</t>
        </is>
      </c>
      <c r="W476" s="4" t="inlineStr"/>
    </row>
    <row r="477">
      <c r="A477" s="4" t="inlineStr">
        <is>
          <t>Itaú Private</t>
        </is>
      </c>
      <c r="B477" s="4" t="inlineStr">
        <is>
          <t>Private Prev PERFIL 2 II</t>
        </is>
      </c>
      <c r="C477" s="6" t="inlineStr"/>
      <c r="D477" s="4" t="inlineStr"/>
      <c r="E477" s="4" t="inlineStr"/>
      <c r="F477" s="4" t="inlineStr"/>
      <c r="G477" s="4" t="inlineStr">
        <is>
          <t>Multimercado</t>
        </is>
      </c>
      <c r="H477" s="4" t="inlineStr">
        <is>
          <t>Multimercados</t>
        </is>
      </c>
      <c r="I477" s="7" t="n"/>
      <c r="J477" s="8" t="n">
        <v>0.6</v>
      </c>
      <c r="K477" s="8" t="n"/>
      <c r="L477" s="4" t="inlineStr"/>
      <c r="M477" s="5" t="n"/>
      <c r="N477" s="5" t="n"/>
      <c r="O477" s="5" t="n"/>
      <c r="P477" s="4" t="inlineStr"/>
      <c r="Q477" s="4" t="inlineStr">
        <is>
          <t>Sim</t>
        </is>
      </c>
      <c r="R477" s="4" t="inlineStr">
        <is>
          <t>Site (HTML)</t>
        </is>
      </c>
      <c r="S477" s="4" t="n">
        <v>1</v>
      </c>
      <c r="T477" s="4" t="inlineStr">
        <is>
          <t>Não</t>
        </is>
      </c>
      <c r="U477" s="4" t="inlineStr">
        <is>
          <t>Sim</t>
        </is>
      </c>
      <c r="V477" s="4" t="inlineStr">
        <is>
          <t>Não</t>
        </is>
      </c>
      <c r="W477" s="4" t="inlineStr"/>
    </row>
    <row r="478">
      <c r="A478" s="4" t="inlineStr">
        <is>
          <t>Itaú Private</t>
        </is>
      </c>
      <c r="B478" s="4" t="inlineStr">
        <is>
          <t>Private Prev Perfil 2</t>
        </is>
      </c>
      <c r="C478" s="6" t="inlineStr"/>
      <c r="D478" s="4" t="inlineStr"/>
      <c r="E478" s="4" t="inlineStr"/>
      <c r="F478" s="4" t="inlineStr"/>
      <c r="G478" s="4" t="inlineStr">
        <is>
          <t>Multimercado</t>
        </is>
      </c>
      <c r="H478" s="4" t="inlineStr">
        <is>
          <t>Multimercados</t>
        </is>
      </c>
      <c r="I478" s="7" t="n"/>
      <c r="J478" s="8" t="n">
        <v>0.8</v>
      </c>
      <c r="K478" s="8" t="n"/>
      <c r="L478" s="4" t="inlineStr"/>
      <c r="M478" s="5" t="n"/>
      <c r="N478" s="5" t="n"/>
      <c r="O478" s="5" t="n"/>
      <c r="P478" s="4" t="inlineStr"/>
      <c r="Q478" s="4" t="inlineStr">
        <is>
          <t>Sim</t>
        </is>
      </c>
      <c r="R478" s="4" t="inlineStr">
        <is>
          <t>Site (HTML)</t>
        </is>
      </c>
      <c r="S478" s="4" t="n">
        <v>1</v>
      </c>
      <c r="T478" s="4" t="inlineStr">
        <is>
          <t>Não</t>
        </is>
      </c>
      <c r="U478" s="4" t="inlineStr">
        <is>
          <t>Sim</t>
        </is>
      </c>
      <c r="V478" s="4" t="inlineStr">
        <is>
          <t>Não</t>
        </is>
      </c>
      <c r="W478" s="4" t="inlineStr"/>
    </row>
    <row r="479">
      <c r="A479" s="4" t="inlineStr">
        <is>
          <t>Itaú Private</t>
        </is>
      </c>
      <c r="B479" s="4" t="inlineStr">
        <is>
          <t>Private Prev Perfil 3</t>
        </is>
      </c>
      <c r="C479" s="6" t="inlineStr"/>
      <c r="D479" s="4" t="inlineStr"/>
      <c r="E479" s="4" t="inlineStr"/>
      <c r="F479" s="4" t="inlineStr"/>
      <c r="G479" s="4" t="inlineStr">
        <is>
          <t>Multimercado</t>
        </is>
      </c>
      <c r="H479" s="4" t="inlineStr">
        <is>
          <t>Multimercados</t>
        </is>
      </c>
      <c r="I479" s="7" t="n"/>
      <c r="J479" s="8" t="n">
        <v>1</v>
      </c>
      <c r="K479" s="8" t="n"/>
      <c r="L479" s="4" t="inlineStr"/>
      <c r="M479" s="5" t="n"/>
      <c r="N479" s="5" t="n"/>
      <c r="O479" s="5" t="n"/>
      <c r="P479" s="4" t="inlineStr"/>
      <c r="Q479" s="4" t="inlineStr">
        <is>
          <t>Sim</t>
        </is>
      </c>
      <c r="R479" s="4" t="inlineStr">
        <is>
          <t>Site (HTML)</t>
        </is>
      </c>
      <c r="S479" s="4" t="n">
        <v>1</v>
      </c>
      <c r="T479" s="4" t="inlineStr">
        <is>
          <t>Não</t>
        </is>
      </c>
      <c r="U479" s="4" t="inlineStr">
        <is>
          <t>Sim</t>
        </is>
      </c>
      <c r="V479" s="4" t="inlineStr">
        <is>
          <t>Não</t>
        </is>
      </c>
      <c r="W479" s="4" t="inlineStr"/>
    </row>
    <row r="480">
      <c r="A480" s="4" t="inlineStr">
        <is>
          <t>Itaú Private</t>
        </is>
      </c>
      <c r="B480" s="4" t="inlineStr">
        <is>
          <t>Private Prev Premium II</t>
        </is>
      </c>
      <c r="C480" s="6" t="inlineStr"/>
      <c r="D480" s="4" t="inlineStr"/>
      <c r="E480" s="4" t="inlineStr"/>
      <c r="F480" s="4" t="inlineStr"/>
      <c r="G480" s="4" t="inlineStr">
        <is>
          <t>Renda Fixa</t>
        </is>
      </c>
      <c r="H480" s="4" t="inlineStr">
        <is>
          <t>Juros Prefixados</t>
        </is>
      </c>
      <c r="I480" s="7" t="n"/>
      <c r="J480" s="8" t="n">
        <v>0.6</v>
      </c>
      <c r="K480" s="8" t="n"/>
      <c r="L480" s="4" t="inlineStr"/>
      <c r="M480" s="5" t="n"/>
      <c r="N480" s="5" t="n"/>
      <c r="O480" s="5" t="n"/>
      <c r="P480" s="4" t="inlineStr"/>
      <c r="Q480" s="4" t="inlineStr">
        <is>
          <t>Não</t>
        </is>
      </c>
      <c r="R480" s="4" t="inlineStr">
        <is>
          <t>Site (HTML)</t>
        </is>
      </c>
      <c r="S480" s="4" t="n">
        <v>1</v>
      </c>
      <c r="T480" s="4" t="inlineStr">
        <is>
          <t>Não</t>
        </is>
      </c>
      <c r="U480" s="4" t="inlineStr">
        <is>
          <t>Sim</t>
        </is>
      </c>
      <c r="V480" s="4" t="inlineStr">
        <is>
          <t>Não</t>
        </is>
      </c>
      <c r="W480" s="4" t="inlineStr"/>
    </row>
    <row r="481">
      <c r="A481" s="4" t="inlineStr">
        <is>
          <t>Itaú Private</t>
        </is>
      </c>
      <c r="B481" s="4" t="inlineStr">
        <is>
          <t>Private Prev Pré Fixado Ultra</t>
        </is>
      </c>
      <c r="C481" s="6" t="inlineStr"/>
      <c r="D481" s="4" t="inlineStr"/>
      <c r="E481" s="4" t="inlineStr"/>
      <c r="F481" s="4" t="inlineStr"/>
      <c r="G481" s="4" t="inlineStr">
        <is>
          <t>Renda Fixa</t>
        </is>
      </c>
      <c r="H481" s="4" t="inlineStr">
        <is>
          <t>Juros Prefixados</t>
        </is>
      </c>
      <c r="I481" s="7" t="n"/>
      <c r="J481" s="8" t="n">
        <v>0.6</v>
      </c>
      <c r="K481" s="8" t="n"/>
      <c r="L481" s="4" t="inlineStr"/>
      <c r="M481" s="5" t="n"/>
      <c r="N481" s="5" t="n"/>
      <c r="O481" s="5" t="n"/>
      <c r="P481" s="4" t="inlineStr"/>
      <c r="Q481" s="4" t="inlineStr">
        <is>
          <t>Não</t>
        </is>
      </c>
      <c r="R481" s="4" t="inlineStr">
        <is>
          <t>Site (HTML)</t>
        </is>
      </c>
      <c r="S481" s="4" t="n">
        <v>1</v>
      </c>
      <c r="T481" s="4" t="inlineStr">
        <is>
          <t>Não</t>
        </is>
      </c>
      <c r="U481" s="4" t="inlineStr">
        <is>
          <t>Sim</t>
        </is>
      </c>
      <c r="V481" s="4" t="inlineStr">
        <is>
          <t>Não</t>
        </is>
      </c>
      <c r="W481" s="4" t="inlineStr"/>
    </row>
    <row r="482">
      <c r="A482" s="4" t="inlineStr">
        <is>
          <t>Itaú Private</t>
        </is>
      </c>
      <c r="B482" s="4" t="inlineStr">
        <is>
          <t>Private Prev RF</t>
        </is>
      </c>
      <c r="C482" s="6" t="inlineStr"/>
      <c r="D482" s="4" t="inlineStr"/>
      <c r="E482" s="4" t="inlineStr"/>
      <c r="F482" s="4" t="inlineStr"/>
      <c r="G482" s="4" t="inlineStr">
        <is>
          <t>Renda Fixa</t>
        </is>
      </c>
      <c r="H482" s="4" t="inlineStr">
        <is>
          <t>PREVIDÊNCIA - Renda Fixa</t>
        </is>
      </c>
      <c r="I482" s="7" t="n"/>
      <c r="J482" s="8" t="n">
        <v>0.8</v>
      </c>
      <c r="K482" s="8" t="n"/>
      <c r="L482" s="4" t="inlineStr"/>
      <c r="M482" s="5" t="n"/>
      <c r="N482" s="5" t="n"/>
      <c r="O482" s="5" t="n"/>
      <c r="P482" s="4" t="inlineStr"/>
      <c r="Q482" s="4" t="inlineStr">
        <is>
          <t>Não</t>
        </is>
      </c>
      <c r="R482" s="4" t="inlineStr">
        <is>
          <t>Site (HTML)</t>
        </is>
      </c>
      <c r="S482" s="4" t="n">
        <v>1</v>
      </c>
      <c r="T482" s="4" t="inlineStr">
        <is>
          <t>Não</t>
        </is>
      </c>
      <c r="U482" s="4" t="inlineStr">
        <is>
          <t>Sim</t>
        </is>
      </c>
      <c r="V482" s="4" t="inlineStr">
        <is>
          <t>Não</t>
        </is>
      </c>
      <c r="W482" s="4" t="inlineStr"/>
    </row>
    <row r="483">
      <c r="A483" s="4" t="inlineStr">
        <is>
          <t>Itaú Private</t>
        </is>
      </c>
      <c r="B483" s="4" t="inlineStr">
        <is>
          <t>Private Prev Rf Vision Plus</t>
        </is>
      </c>
      <c r="C483" s="6" t="inlineStr"/>
      <c r="D483" s="4" t="inlineStr"/>
      <c r="E483" s="4" t="inlineStr"/>
      <c r="F483" s="4" t="inlineStr"/>
      <c r="G483" s="4" t="inlineStr">
        <is>
          <t>Multimercado</t>
        </is>
      </c>
      <c r="H483" s="4" t="inlineStr">
        <is>
          <t>Juros Prefixados</t>
        </is>
      </c>
      <c r="I483" s="7" t="n"/>
      <c r="J483" s="8" t="n">
        <v>0.6</v>
      </c>
      <c r="K483" s="8" t="n"/>
      <c r="L483" s="4" t="inlineStr"/>
      <c r="M483" s="5" t="n"/>
      <c r="N483" s="5" t="n"/>
      <c r="O483" s="5" t="n"/>
      <c r="P483" s="4" t="inlineStr"/>
      <c r="Q483" s="4" t="inlineStr">
        <is>
          <t>Não</t>
        </is>
      </c>
      <c r="R483" s="4" t="inlineStr">
        <is>
          <t>Site (HTML)</t>
        </is>
      </c>
      <c r="S483" s="4" t="n">
        <v>1</v>
      </c>
      <c r="T483" s="4" t="inlineStr">
        <is>
          <t>Não</t>
        </is>
      </c>
      <c r="U483" s="4" t="inlineStr">
        <is>
          <t>Sim</t>
        </is>
      </c>
      <c r="V483" s="4" t="inlineStr">
        <is>
          <t>Não</t>
        </is>
      </c>
      <c r="W483" s="4" t="inlineStr"/>
    </row>
    <row r="484">
      <c r="A484" s="4" t="inlineStr">
        <is>
          <t>Itaú Private</t>
        </is>
      </c>
      <c r="B484" s="4" t="inlineStr">
        <is>
          <t>Private Prev SPX Lancer MM</t>
        </is>
      </c>
      <c r="C484" s="6" t="inlineStr"/>
      <c r="D484" s="4" t="inlineStr"/>
      <c r="E484" s="4" t="inlineStr"/>
      <c r="F484" s="4" t="inlineStr"/>
      <c r="G484" s="4" t="inlineStr">
        <is>
          <t>Multimercado</t>
        </is>
      </c>
      <c r="H484" s="4" t="inlineStr">
        <is>
          <t>Multimercados</t>
        </is>
      </c>
      <c r="I484" s="7" t="n"/>
      <c r="J484" s="8" t="n">
        <v>2</v>
      </c>
      <c r="K484" s="8" t="n"/>
      <c r="L484" s="4" t="inlineStr"/>
      <c r="M484" s="5" t="n"/>
      <c r="N484" s="5" t="n"/>
      <c r="O484" s="5" t="n"/>
      <c r="P484" s="4" t="inlineStr"/>
      <c r="Q484" s="4" t="inlineStr">
        <is>
          <t>Não</t>
        </is>
      </c>
      <c r="R484" s="4" t="inlineStr">
        <is>
          <t>Site (HTML)</t>
        </is>
      </c>
      <c r="S484" s="4" t="n">
        <v>1</v>
      </c>
      <c r="T484" s="4" t="inlineStr">
        <is>
          <t>Não</t>
        </is>
      </c>
      <c r="U484" s="4" t="inlineStr">
        <is>
          <t>Sim</t>
        </is>
      </c>
      <c r="V484" s="4" t="inlineStr">
        <is>
          <t>Não</t>
        </is>
      </c>
      <c r="W484" s="4" t="inlineStr"/>
    </row>
    <row r="485">
      <c r="A485" s="4" t="inlineStr">
        <is>
          <t>Itaú Private</t>
        </is>
      </c>
      <c r="B485" s="4" t="inlineStr">
        <is>
          <t>Private Prev Ultra NTN-B 2030</t>
        </is>
      </c>
      <c r="C485" s="6" t="inlineStr"/>
      <c r="D485" s="4" t="inlineStr"/>
      <c r="E485" s="4" t="inlineStr"/>
      <c r="F485" s="4" t="inlineStr"/>
      <c r="G485" s="4" t="inlineStr">
        <is>
          <t>Renda Fixa</t>
        </is>
      </c>
      <c r="H485" s="4" t="inlineStr">
        <is>
          <t>PREVIDÊNCIA - Renda Fixa</t>
        </is>
      </c>
      <c r="I485" s="7" t="n"/>
      <c r="J485" s="8" t="n"/>
      <c r="K485" s="8" t="n"/>
      <c r="L485" s="4" t="inlineStr"/>
      <c r="M485" s="5" t="n"/>
      <c r="N485" s="5" t="n"/>
      <c r="O485" s="5" t="n"/>
      <c r="P485" s="4" t="inlineStr"/>
      <c r="Q485" s="4" t="inlineStr">
        <is>
          <t>Não</t>
        </is>
      </c>
      <c r="R485" s="4" t="inlineStr">
        <is>
          <t>Site (HTML)</t>
        </is>
      </c>
      <c r="S485" s="4" t="n">
        <v>1</v>
      </c>
      <c r="T485" s="4" t="inlineStr">
        <is>
          <t>Não</t>
        </is>
      </c>
      <c r="U485" s="4" t="inlineStr">
        <is>
          <t>Sim</t>
        </is>
      </c>
      <c r="V485" s="4" t="inlineStr">
        <is>
          <t>Não</t>
        </is>
      </c>
      <c r="W485" s="4" t="inlineStr"/>
    </row>
    <row r="486">
      <c r="A486" s="4" t="inlineStr">
        <is>
          <t>Itaú Private</t>
        </is>
      </c>
      <c r="B486" s="4" t="inlineStr">
        <is>
          <t>Private Prev Vision Plus MM</t>
        </is>
      </c>
      <c r="C486" s="6" t="inlineStr"/>
      <c r="D486" s="4" t="inlineStr"/>
      <c r="E486" s="4" t="inlineStr"/>
      <c r="F486" s="4" t="inlineStr"/>
      <c r="G486" s="4" t="inlineStr">
        <is>
          <t>Renda Fixa</t>
        </is>
      </c>
      <c r="H486" s="4" t="inlineStr">
        <is>
          <t>Multimercados</t>
        </is>
      </c>
      <c r="I486" s="7" t="n"/>
      <c r="J486" s="8" t="n">
        <v>2</v>
      </c>
      <c r="K486" s="8" t="n"/>
      <c r="L486" s="4" t="inlineStr"/>
      <c r="M486" s="5" t="n"/>
      <c r="N486" s="5" t="n"/>
      <c r="O486" s="5" t="n"/>
      <c r="P486" s="4" t="inlineStr"/>
      <c r="Q486" s="4" t="inlineStr">
        <is>
          <t>Não</t>
        </is>
      </c>
      <c r="R486" s="4" t="inlineStr">
        <is>
          <t>Site (HTML)</t>
        </is>
      </c>
      <c r="S486" s="4" t="n">
        <v>1</v>
      </c>
      <c r="T486" s="4" t="inlineStr">
        <is>
          <t>Não</t>
        </is>
      </c>
      <c r="U486" s="4" t="inlineStr">
        <is>
          <t>Sim</t>
        </is>
      </c>
      <c r="V486" s="4" t="inlineStr">
        <is>
          <t>Não</t>
        </is>
      </c>
      <c r="W486" s="4" t="inlineStr"/>
    </row>
  </sheetData>
  <autoFilter ref="A1:W4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34" customWidth="1" min="4" max="4"/>
    <col width="26" customWidth="1" min="5" max="5"/>
    <col width="34" customWidth="1" min="6" max="6"/>
    <col width="12" customWidth="1" min="7" max="7"/>
    <col width="13" customWidth="1" min="8" max="8"/>
    <col width="20" customWidth="1" min="9" max="9"/>
    <col width="21" customWidth="1" min="10" max="10"/>
    <col width="26" customWidth="1" min="11" max="11"/>
    <col width="26" customWidth="1" min="12" max="12"/>
  </cols>
  <sheetData>
    <row r="1" ht="30" customHeight="1">
      <c r="A1" s="3" t="inlineStr">
        <is>
          <t>Plataforma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Classe oficial (ANBIMA ou CVM)</t>
        </is>
      </c>
      <c r="E1" s="3" t="inlineStr">
        <is>
          <t>Categoria na origem</t>
        </is>
      </c>
      <c r="F1" s="3" t="inlineStr">
        <is>
          <t>Gestora</t>
        </is>
      </c>
      <c r="G1" s="3" t="inlineStr">
        <is>
          <t>Produto</t>
        </is>
      </c>
      <c r="H1" s="3" t="inlineStr">
        <is>
          <t>Taxa adm (%)</t>
        </is>
      </c>
      <c r="I1" s="3" t="inlineStr">
        <is>
          <t>Aplicação mínima (R$)</t>
        </is>
      </c>
      <c r="J1" s="3" t="inlineStr">
        <is>
          <t>Líquidação resgate (D+)</t>
        </is>
      </c>
      <c r="K1" s="3" t="inlineStr">
        <is>
          <t>Situação CVM</t>
        </is>
      </c>
      <c r="L1" s="3" t="inlineStr">
        <is>
          <t>Fontes</t>
        </is>
      </c>
    </row>
    <row r="2">
      <c r="A2" s="4" t="inlineStr">
        <is>
          <t>XP Investimentos</t>
        </is>
      </c>
      <c r="B2" s="4" t="inlineStr">
        <is>
          <t>XP Icatu Horizonte Prev FIC FIRF</t>
        </is>
      </c>
      <c r="C2" s="4" t="inlineStr">
        <is>
          <t>18.897.562/0001-45</t>
        </is>
      </c>
      <c r="D2" s="4" t="inlineStr">
        <is>
          <t>Previdência RF Duração Livre Grau de Inv</t>
        </is>
      </c>
      <c r="E2" s="4" t="inlineStr">
        <is>
          <t>Renda Fixa Ativo</t>
        </is>
      </c>
      <c r="F2" s="4" t="inlineStr">
        <is>
          <t>XP VISTA ASSET MANAGEMENT LTDA.</t>
        </is>
      </c>
      <c r="G2" s="4" t="inlineStr">
        <is>
          <t>Própria</t>
        </is>
      </c>
      <c r="H2" s="8" t="n">
        <v>0.8</v>
      </c>
      <c r="I2" s="7" t="n">
        <v>500</v>
      </c>
      <c r="J2" s="5" t="n">
        <v>3</v>
      </c>
      <c r="K2" s="4" t="inlineStr">
        <is>
          <t>Em Funcionamento Normal</t>
        </is>
      </c>
      <c r="L2" s="4" t="inlineStr">
        <is>
          <t>Site (navegador)</t>
        </is>
      </c>
    </row>
    <row r="3">
      <c r="A3" s="4" t="inlineStr">
        <is>
          <t>XP Investimentos</t>
        </is>
      </c>
      <c r="B3" s="4" t="inlineStr">
        <is>
          <t>XP Icatu Horizonte Macro Prev FIM</t>
        </is>
      </c>
      <c r="C3" s="4" t="inlineStr">
        <is>
          <t>18.927.174/0001-60</t>
        </is>
      </c>
      <c r="D3" s="4" t="inlineStr">
        <is>
          <t>Previdência Multimercado Livre</t>
        </is>
      </c>
      <c r="E3" s="4" t="inlineStr">
        <is>
          <t>Macro Baixa Vol</t>
        </is>
      </c>
      <c r="F3" s="4" t="inlineStr">
        <is>
          <t>XP GESTÃO DE RECURSOS LTDA</t>
        </is>
      </c>
      <c r="G3" s="4" t="inlineStr">
        <is>
          <t>Própria</t>
        </is>
      </c>
      <c r="H3" s="8" t="n">
        <v>2</v>
      </c>
      <c r="I3" s="7" t="n">
        <v>500</v>
      </c>
      <c r="J3" s="5" t="n">
        <v>1</v>
      </c>
      <c r="K3" s="4" t="inlineStr">
        <is>
          <t>Em Funcionamento Normal</t>
        </is>
      </c>
      <c r="L3" s="4" t="inlineStr">
        <is>
          <t>Site (navegador)</t>
        </is>
      </c>
    </row>
    <row r="4">
      <c r="A4" s="4" t="inlineStr">
        <is>
          <t>XP Investimentos</t>
        </is>
      </c>
      <c r="B4" s="4" t="inlineStr">
        <is>
          <t>Trend B26 Prev XP Seg FIC FIRF RL</t>
        </is>
      </c>
      <c r="C4" s="4" t="inlineStr">
        <is>
          <t>24.714.864/0001-33</t>
        </is>
      </c>
      <c r="D4" s="4" t="inlineStr">
        <is>
          <t>Previdência RF Indexados</t>
        </is>
      </c>
      <c r="E4" s="4" t="inlineStr">
        <is>
          <t>Renda Fixa Inflação</t>
        </is>
      </c>
      <c r="F4" s="4" t="inlineStr">
        <is>
          <t>XP VIDA E PREVIDÊNCIA S.A.</t>
        </is>
      </c>
      <c r="G4" s="4" t="inlineStr">
        <is>
          <t>Própria</t>
        </is>
      </c>
      <c r="H4" s="8" t="n">
        <v>0.3</v>
      </c>
      <c r="I4" s="7" t="n">
        <v>100</v>
      </c>
      <c r="J4" s="5" t="n">
        <v>1</v>
      </c>
      <c r="K4" s="4" t="inlineStr">
        <is>
          <t>Em Funcionamento Normal</t>
        </is>
      </c>
      <c r="L4" s="4" t="inlineStr">
        <is>
          <t>Site (navegador)</t>
        </is>
      </c>
    </row>
    <row r="5">
      <c r="A5" s="4" t="inlineStr">
        <is>
          <t>XP Investimentos</t>
        </is>
      </c>
      <c r="B5" s="4" t="inlineStr">
        <is>
          <t>Trend B35 Prev XP Seg FIC FIRF RL</t>
        </is>
      </c>
      <c r="C5" s="4" t="inlineStr">
        <is>
          <t>27.077.318/0001-27</t>
        </is>
      </c>
      <c r="D5" s="4" t="inlineStr">
        <is>
          <t>Previdência RF Duração Livre Soberano</t>
        </is>
      </c>
      <c r="E5" s="4" t="inlineStr">
        <is>
          <t>Renda Fixa Inflação</t>
        </is>
      </c>
      <c r="F5" s="4" t="inlineStr">
        <is>
          <t>XP ALLOCATION ASSET MANAGEMENT LTDA</t>
        </is>
      </c>
      <c r="G5" s="4" t="inlineStr">
        <is>
          <t>Própria</t>
        </is>
      </c>
      <c r="H5" s="8" t="n">
        <v>0.3</v>
      </c>
      <c r="I5" s="7" t="n">
        <v>100</v>
      </c>
      <c r="J5" s="5" t="n">
        <v>1</v>
      </c>
      <c r="K5" s="4" t="inlineStr">
        <is>
          <t>Em Funcionamento Normal</t>
        </is>
      </c>
      <c r="L5" s="4" t="inlineStr">
        <is>
          <t>Site (navegador)</t>
        </is>
      </c>
    </row>
    <row r="6">
      <c r="A6" s="4" t="inlineStr">
        <is>
          <t>XP Investimentos</t>
        </is>
      </c>
      <c r="B6" s="4" t="inlineStr">
        <is>
          <t>Leblon 70 XP Seg Prev FIM</t>
        </is>
      </c>
      <c r="C6" s="4" t="inlineStr">
        <is>
          <t>27.793.095/0001-02</t>
        </is>
      </c>
      <c r="D6" s="4" t="inlineStr">
        <is>
          <t>Previdência Multimercado Livre</t>
        </is>
      </c>
      <c r="E6" s="4" t="inlineStr">
        <is>
          <t>Renda Variável Long Only</t>
        </is>
      </c>
      <c r="F6" s="4" t="inlineStr">
        <is>
          <t>LEBLON EQUITIES GESTAO DE RECURSOS LTDA</t>
        </is>
      </c>
      <c r="G6" s="4" t="inlineStr">
        <is>
          <t>Terceiros</t>
        </is>
      </c>
      <c r="H6" s="8" t="n">
        <v>2</v>
      </c>
      <c r="I6" s="7" t="n">
        <v>100</v>
      </c>
      <c r="J6" s="5" t="n">
        <v>2</v>
      </c>
      <c r="K6" s="4" t="inlineStr">
        <is>
          <t>Em Funcionamento Normal</t>
        </is>
      </c>
      <c r="L6" s="4" t="inlineStr">
        <is>
          <t>Site (navegador)</t>
        </is>
      </c>
    </row>
    <row r="7">
      <c r="A7" s="4" t="inlineStr">
        <is>
          <t>XP Investimentos</t>
        </is>
      </c>
      <c r="B7" s="4" t="inlineStr">
        <is>
          <t>Verde Am Lb 70 Advisory Xp Seg Prev Fic Fim Rl</t>
        </is>
      </c>
      <c r="C7" s="4" t="inlineStr">
        <is>
          <t>30.830.240/0001-84</t>
        </is>
      </c>
      <c r="D7" s="4" t="inlineStr">
        <is>
          <t>Previdência Multimercado Livre</t>
        </is>
      </c>
      <c r="E7" s="4" t="inlineStr">
        <is>
          <t>Renda Variável Long Biased</t>
        </is>
      </c>
      <c r="F7" s="4" t="inlineStr">
        <is>
          <t>XP VIDA E PREVIDÊNCIA S.A.</t>
        </is>
      </c>
      <c r="G7" s="4" t="inlineStr">
        <is>
          <t>Própria</t>
        </is>
      </c>
      <c r="H7" s="8" t="n">
        <v>2.2</v>
      </c>
      <c r="I7" s="7" t="n">
        <v>100</v>
      </c>
      <c r="J7" s="5" t="n">
        <v>3</v>
      </c>
      <c r="K7" s="4" t="inlineStr">
        <is>
          <t>Em Funcionamento Normal</t>
        </is>
      </c>
      <c r="L7" s="4" t="inlineStr">
        <is>
          <t>Site (navegador)</t>
        </is>
      </c>
    </row>
    <row r="8">
      <c r="A8" s="4" t="inlineStr">
        <is>
          <t>XP Investimentos</t>
        </is>
      </c>
      <c r="B8" s="4" t="inlineStr">
        <is>
          <t>Kadima Xp Seg Prev Fie Fic Fim Rl</t>
        </is>
      </c>
      <c r="C8" s="4" t="inlineStr">
        <is>
          <t>30.898.110/0001-83</t>
        </is>
      </c>
      <c r="D8" s="4" t="inlineStr">
        <is>
          <t>Previdência Multimercado Livre</t>
        </is>
      </c>
      <c r="E8" s="4" t="inlineStr">
        <is>
          <t>Quantitativo</t>
        </is>
      </c>
      <c r="F8" s="4" t="inlineStr">
        <is>
          <t>XP VIDA E PREVIDÊNCIA S.A.</t>
        </is>
      </c>
      <c r="G8" s="4" t="inlineStr">
        <is>
          <t>Própria</t>
        </is>
      </c>
      <c r="H8" s="8" t="n">
        <v>2</v>
      </c>
      <c r="I8" s="7" t="n">
        <v>100</v>
      </c>
      <c r="J8" s="5" t="n">
        <v>1</v>
      </c>
      <c r="K8" s="4" t="inlineStr">
        <is>
          <t>Em Funcionamento Normal</t>
        </is>
      </c>
      <c r="L8" s="4" t="inlineStr">
        <is>
          <t>Site (navegador)</t>
        </is>
      </c>
    </row>
    <row r="9">
      <c r="A9" s="4" t="inlineStr">
        <is>
          <t>XP Investimentos</t>
        </is>
      </c>
      <c r="B9" s="4" t="inlineStr">
        <is>
          <t>Xp Corporate Light Cp Xp Seg Fic Rf Rl</t>
        </is>
      </c>
      <c r="C9" s="4" t="inlineStr">
        <is>
          <t>30.910.166/0001-06</t>
        </is>
      </c>
      <c r="D9" s="4" t="inlineStr">
        <is>
          <t>Previdência RF Duração Livre Crédito Liv</t>
        </is>
      </c>
      <c r="E9" s="4" t="inlineStr">
        <is>
          <t>Crédito High Grade</t>
        </is>
      </c>
      <c r="F9" s="4" t="inlineStr">
        <is>
          <t>XP VISTA ASSET MANAGEMENT LTDA.</t>
        </is>
      </c>
      <c r="G9" s="4" t="inlineStr">
        <is>
          <t>Própria</t>
        </is>
      </c>
      <c r="H9" s="8" t="n">
        <v>0.5</v>
      </c>
      <c r="I9" s="7" t="n">
        <v>100</v>
      </c>
      <c r="J9" s="5" t="n">
        <v>1</v>
      </c>
      <c r="K9" s="4" t="inlineStr">
        <is>
          <t>Em Funcionamento Normal</t>
        </is>
      </c>
      <c r="L9" s="4" t="inlineStr">
        <is>
          <t>Site (navegador)</t>
        </is>
      </c>
    </row>
    <row r="10">
      <c r="A10" s="4" t="inlineStr">
        <is>
          <t>XP Investimentos</t>
        </is>
      </c>
      <c r="B10" s="4" t="inlineStr">
        <is>
          <t>Verde Am Scena Advisory Xp Seg Fic Fim Rl</t>
        </is>
      </c>
      <c r="C10" s="4" t="inlineStr">
        <is>
          <t>30.994.931/0001-13</t>
        </is>
      </c>
      <c r="D10" s="4" t="inlineStr">
        <is>
          <t>Previdência Multimercado Livre</t>
        </is>
      </c>
      <c r="E10" s="4" t="inlineStr">
        <is>
          <t>Macro Alta Vol</t>
        </is>
      </c>
      <c r="F10" s="4" t="inlineStr">
        <is>
          <t>XP VIDA E PREVIDÊNCIA S.A.</t>
        </is>
      </c>
      <c r="G10" s="4" t="inlineStr">
        <is>
          <t>Própria</t>
        </is>
      </c>
      <c r="H10" s="8" t="n">
        <v>2</v>
      </c>
      <c r="I10" s="7" t="n">
        <v>100</v>
      </c>
      <c r="J10" s="5" t="n">
        <v>3</v>
      </c>
      <c r="K10" s="4" t="inlineStr">
        <is>
          <t>Em Funcionamento Normal</t>
        </is>
      </c>
      <c r="L10" s="4" t="inlineStr">
        <is>
          <t>Site (navegador)</t>
        </is>
      </c>
    </row>
    <row r="11">
      <c r="A11" s="4" t="inlineStr">
        <is>
          <t>XP Investimentos</t>
        </is>
      </c>
      <c r="B11" s="4" t="inlineStr">
        <is>
          <t>Adam Xp Seg Prev I Fic Fim Rl</t>
        </is>
      </c>
      <c r="C11" s="4" t="inlineStr">
        <is>
          <t>30.998.045/0001-68</t>
        </is>
      </c>
      <c r="D11" s="4" t="inlineStr">
        <is>
          <t>Previdência Multimercado Livre</t>
        </is>
      </c>
      <c r="E11" s="4" t="inlineStr">
        <is>
          <t>Macro Alta Vol</t>
        </is>
      </c>
      <c r="F11" s="4" t="inlineStr">
        <is>
          <t>XP VIDA E PREVIDÊNCIA S.A.</t>
        </is>
      </c>
      <c r="G11" s="4" t="inlineStr">
        <is>
          <t>Própria</t>
        </is>
      </c>
      <c r="H11" s="8" t="n">
        <v>2</v>
      </c>
      <c r="I11" s="7" t="n">
        <v>100</v>
      </c>
      <c r="J11" s="5" t="n">
        <v>2</v>
      </c>
      <c r="K11" s="4" t="inlineStr">
        <is>
          <t>Em Funcionamento Normal</t>
        </is>
      </c>
      <c r="L11" s="4" t="inlineStr">
        <is>
          <t>Site (navegador)</t>
        </is>
      </c>
    </row>
    <row r="12">
      <c r="A12" s="4" t="inlineStr">
        <is>
          <t>XP Investimentos</t>
        </is>
      </c>
      <c r="B12" s="4" t="inlineStr">
        <is>
          <t>RPS Prev Absoluto FIC FIM</t>
        </is>
      </c>
      <c r="C12" s="4" t="inlineStr">
        <is>
          <t>31.340.875/0001-66</t>
        </is>
      </c>
      <c r="D12" s="4" t="inlineStr">
        <is>
          <t>Previdência Multimercado Livre</t>
        </is>
      </c>
      <c r="E12" s="4" t="inlineStr">
        <is>
          <t>Long Short Direcional</t>
        </is>
      </c>
      <c r="F12" s="4" t="inlineStr">
        <is>
          <t>RPS CAPITAL ADMINISTRADORA DE RECURSOS LTDA</t>
        </is>
      </c>
      <c r="G12" s="4" t="inlineStr">
        <is>
          <t>Terceiros</t>
        </is>
      </c>
      <c r="H12" s="8" t="n">
        <v>2</v>
      </c>
      <c r="I12" s="7" t="n">
        <v>500</v>
      </c>
      <c r="J12" s="5" t="n">
        <v>3</v>
      </c>
      <c r="K12" s="4" t="inlineStr">
        <is>
          <t>Em Funcionamento Normal</t>
        </is>
      </c>
      <c r="L12" s="4" t="inlineStr">
        <is>
          <t>Site (navegador)</t>
        </is>
      </c>
    </row>
    <row r="13">
      <c r="A13" s="4" t="inlineStr">
        <is>
          <t>XP Investimentos</t>
        </is>
      </c>
      <c r="B13" s="4" t="inlineStr">
        <is>
          <t>Spx Lancer Xp Seg Prev I Fic Fim Rl</t>
        </is>
      </c>
      <c r="C13" s="4" t="inlineStr">
        <is>
          <t>31.569.954/0001-43</t>
        </is>
      </c>
      <c r="D13" s="4" t="inlineStr">
        <is>
          <t>Previdência Multimercado Livre</t>
        </is>
      </c>
      <c r="E13" s="4" t="inlineStr">
        <is>
          <t>Macro Alta Vol</t>
        </is>
      </c>
      <c r="F13" s="4" t="inlineStr">
        <is>
          <t>XP VIDA E PREVIDÊNCIA S.A.</t>
        </is>
      </c>
      <c r="G13" s="4" t="inlineStr">
        <is>
          <t>Própria</t>
        </is>
      </c>
      <c r="H13" s="8" t="n">
        <v>2</v>
      </c>
      <c r="I13" s="7" t="n">
        <v>100</v>
      </c>
      <c r="J13" s="5" t="n">
        <v>3</v>
      </c>
      <c r="K13" s="4" t="inlineStr">
        <is>
          <t>Em Funcionamento Normal</t>
        </is>
      </c>
      <c r="L13" s="4" t="inlineStr">
        <is>
          <t>Site (navegador)</t>
        </is>
      </c>
    </row>
    <row r="14">
      <c r="A14" s="4" t="inlineStr">
        <is>
          <t>XP Investimentos</t>
        </is>
      </c>
      <c r="B14" s="4" t="inlineStr">
        <is>
          <t>Vinland Long Biased Advisory Xp Seg Prev Fic Fim Rl</t>
        </is>
      </c>
      <c r="C14" s="4" t="inlineStr">
        <is>
          <t>31.846.641/0001-95</t>
        </is>
      </c>
      <c r="D14" s="4" t="inlineStr">
        <is>
          <t>Previdência Multimercado Livre</t>
        </is>
      </c>
      <c r="E14" s="4" t="inlineStr">
        <is>
          <t>Renda Variável Long Biased</t>
        </is>
      </c>
      <c r="F14" s="4" t="inlineStr">
        <is>
          <t>XP VIDA E PREVIDÊNCIA S.A.</t>
        </is>
      </c>
      <c r="G14" s="4" t="inlineStr">
        <is>
          <t>Própria</t>
        </is>
      </c>
      <c r="H14" s="8" t="n">
        <v>2</v>
      </c>
      <c r="I14" s="7" t="n">
        <v>100</v>
      </c>
      <c r="J14" s="5" t="n">
        <v>3</v>
      </c>
      <c r="K14" s="4" t="inlineStr">
        <is>
          <t>Em Funcionamento Normal</t>
        </is>
      </c>
      <c r="L14" s="4" t="inlineStr">
        <is>
          <t>Site (navegador)</t>
        </is>
      </c>
    </row>
    <row r="15">
      <c r="A15" s="4" t="inlineStr">
        <is>
          <t>XP Investimentos</t>
        </is>
      </c>
      <c r="B15" s="4" t="inlineStr">
        <is>
          <t>Vinland Macro Advisory XP Seg Prev FIC FIM</t>
        </is>
      </c>
      <c r="C15" s="4" t="inlineStr">
        <is>
          <t>31.846.723/0001-30</t>
        </is>
      </c>
      <c r="D15" s="4" t="inlineStr">
        <is>
          <t>Previdência Multimercado Livre</t>
        </is>
      </c>
      <c r="E15" s="4" t="inlineStr">
        <is>
          <t>Macro Alta Vol</t>
        </is>
      </c>
      <c r="F15" s="4" t="inlineStr">
        <is>
          <t>XP VIDA E PREVIDÊNCIA S.A.</t>
        </is>
      </c>
      <c r="G15" s="4" t="inlineStr">
        <is>
          <t>Própria</t>
        </is>
      </c>
      <c r="H15" s="8" t="n">
        <v>2</v>
      </c>
      <c r="I15" s="7" t="n">
        <v>100</v>
      </c>
      <c r="J15" s="5" t="n">
        <v>3</v>
      </c>
      <c r="K15" s="4" t="inlineStr">
        <is>
          <t>Em Funcionamento Normal</t>
        </is>
      </c>
      <c r="L15" s="4" t="inlineStr">
        <is>
          <t>Site (navegador)</t>
        </is>
      </c>
    </row>
    <row r="16">
      <c r="A16" s="4" t="inlineStr">
        <is>
          <t>XP Investimentos</t>
        </is>
      </c>
      <c r="B16" s="4" t="inlineStr">
        <is>
          <t>XP Horizonte XP Seg FIC FIRF Prev RL</t>
        </is>
      </c>
      <c r="C16" s="4" t="inlineStr">
        <is>
          <t>32.064.950/0001-76</t>
        </is>
      </c>
      <c r="D16" s="4" t="inlineStr">
        <is>
          <t>Previdência RF Duração Livre Crédito Liv</t>
        </is>
      </c>
      <c r="E16" s="4" t="inlineStr">
        <is>
          <t>Renda Fixa Ativo</t>
        </is>
      </c>
      <c r="F16" s="4" t="inlineStr">
        <is>
          <t>XP VISTA ASSET MANAGEMENT LTDA.</t>
        </is>
      </c>
      <c r="G16" s="4" t="inlineStr">
        <is>
          <t>Própria</t>
        </is>
      </c>
      <c r="H16" s="8" t="n">
        <v>0.7</v>
      </c>
      <c r="I16" s="7" t="n">
        <v>100</v>
      </c>
      <c r="J16" s="5" t="n">
        <v>1</v>
      </c>
      <c r="K16" s="4" t="inlineStr">
        <is>
          <t>Em Funcionamento Normal</t>
        </is>
      </c>
      <c r="L16" s="4" t="inlineStr">
        <is>
          <t>Site (navegador)</t>
        </is>
      </c>
    </row>
    <row r="17">
      <c r="A17" s="4" t="inlineStr">
        <is>
          <t>XP Investimentos</t>
        </is>
      </c>
      <c r="B17" s="4" t="inlineStr">
        <is>
          <t>Trend Inflação Curta XP Seg Prev FICFI RF</t>
        </is>
      </c>
      <c r="C17" s="4" t="inlineStr">
        <is>
          <t>32.065.041/0001-52</t>
        </is>
      </c>
      <c r="D17" s="4" t="inlineStr">
        <is>
          <t>Previdência RF Indexados</t>
        </is>
      </c>
      <c r="E17" s="4" t="inlineStr">
        <is>
          <t>Renda Fixa Inflação</t>
        </is>
      </c>
      <c r="F17" s="4" t="inlineStr">
        <is>
          <t>XP ALLOCATION ASSET MANAGEMENT LTDA</t>
        </is>
      </c>
      <c r="G17" s="4" t="inlineStr">
        <is>
          <t>Própria</t>
        </is>
      </c>
      <c r="H17" s="8" t="n">
        <v>0.4</v>
      </c>
      <c r="I17" s="7" t="n">
        <v>100</v>
      </c>
      <c r="J17" s="5" t="n">
        <v>1</v>
      </c>
      <c r="K17" s="4" t="inlineStr">
        <is>
          <t>Em Funcionamento Normal</t>
        </is>
      </c>
      <c r="L17" s="4" t="inlineStr">
        <is>
          <t>Site (navegador)</t>
        </is>
      </c>
    </row>
    <row r="18">
      <c r="A18" s="4" t="inlineStr">
        <is>
          <t>XP Investimentos</t>
        </is>
      </c>
      <c r="B18" s="4" t="inlineStr">
        <is>
          <t>Sparta Prev Advisory Xp Seg Fic Rf Cp Rl</t>
        </is>
      </c>
      <c r="C18" s="4" t="inlineStr">
        <is>
          <t>32.239.012/0001-60</t>
        </is>
      </c>
      <c r="D18" s="4" t="inlineStr">
        <is>
          <t>Previdência RF Duração Média Crédito Liv</t>
        </is>
      </c>
      <c r="E18" s="4" t="inlineStr">
        <is>
          <t>Crédito High Grade</t>
        </is>
      </c>
      <c r="F18" s="4" t="inlineStr">
        <is>
          <t>XP VIDA E PREVIDÊNCIA S.A.</t>
        </is>
      </c>
      <c r="G18" s="4" t="inlineStr">
        <is>
          <t>Própria</t>
        </is>
      </c>
      <c r="H18" s="8" t="n">
        <v>0.8</v>
      </c>
      <c r="I18" s="7" t="n">
        <v>100</v>
      </c>
      <c r="J18" s="5" t="n">
        <v>1</v>
      </c>
      <c r="K18" s="4" t="inlineStr">
        <is>
          <t>Em Funcionamento Normal</t>
        </is>
      </c>
      <c r="L18" s="4" t="inlineStr">
        <is>
          <t>Site (navegador)</t>
        </is>
      </c>
    </row>
    <row r="19">
      <c r="A19" s="4" t="inlineStr">
        <is>
          <t>XP Investimentos</t>
        </is>
      </c>
      <c r="B19" s="4" t="inlineStr">
        <is>
          <t>Occam Xp Seg Prev Fic Fim Rl</t>
        </is>
      </c>
      <c r="C19" s="4" t="inlineStr">
        <is>
          <t>32.312.361/0001-60</t>
        </is>
      </c>
      <c r="D19" s="4" t="inlineStr">
        <is>
          <t>Previdência Multimercado Livre</t>
        </is>
      </c>
      <c r="E19" s="4" t="inlineStr">
        <is>
          <t>Long Short Direcional</t>
        </is>
      </c>
      <c r="F19" s="4" t="inlineStr">
        <is>
          <t>XP VIDA E PREVIDÊNCIA S.A.</t>
        </is>
      </c>
      <c r="G19" s="4" t="inlineStr">
        <is>
          <t>Própria</t>
        </is>
      </c>
      <c r="H19" s="8" t="n">
        <v>2</v>
      </c>
      <c r="I19" s="7" t="n">
        <v>100</v>
      </c>
      <c r="J19" s="5" t="n">
        <v>2</v>
      </c>
      <c r="K19" s="4" t="inlineStr">
        <is>
          <t>Em Funcionamento Normal</t>
        </is>
      </c>
      <c r="L19" s="4" t="inlineStr">
        <is>
          <t>Site (navegador)</t>
        </is>
      </c>
    </row>
    <row r="20">
      <c r="A20" s="4" t="inlineStr">
        <is>
          <t>XP Investimentos</t>
        </is>
      </c>
      <c r="B20" s="4" t="inlineStr">
        <is>
          <t>Franklin Valor e Liquidez 70 XP Seg FIM</t>
        </is>
      </c>
      <c r="C20" s="4" t="inlineStr">
        <is>
          <t>32.319.047/0001-09</t>
        </is>
      </c>
      <c r="D20" s="4" t="inlineStr">
        <is>
          <t>Previdência Multimercado Livre</t>
        </is>
      </c>
      <c r="E20" s="4" t="inlineStr">
        <is>
          <t>Renda Variável Long Only</t>
        </is>
      </c>
      <c r="F20" s="4" t="inlineStr">
        <is>
          <t>Franklin Templeton Brasil Ltda.</t>
        </is>
      </c>
      <c r="G20" s="4" t="inlineStr">
        <is>
          <t>Terceiros</t>
        </is>
      </c>
      <c r="H20" s="8" t="n">
        <v>2</v>
      </c>
      <c r="I20" s="7" t="n">
        <v>100</v>
      </c>
      <c r="J20" s="5" t="n">
        <v>2</v>
      </c>
      <c r="K20" s="4" t="inlineStr">
        <is>
          <t>Em Funcionamento Normal</t>
        </is>
      </c>
      <c r="L20" s="4" t="inlineStr">
        <is>
          <t>Site (navegador)</t>
        </is>
      </c>
    </row>
    <row r="21">
      <c r="A21" s="4" t="inlineStr">
        <is>
          <t>XP Investimentos</t>
        </is>
      </c>
      <c r="B21" s="4" t="inlineStr">
        <is>
          <t>JGP Crédito Prev Advisory XP Seg FIC RF CP</t>
        </is>
      </c>
      <c r="C21" s="4" t="inlineStr">
        <is>
          <t>32.319.225/0001-00</t>
        </is>
      </c>
      <c r="D21" s="4" t="inlineStr">
        <is>
          <t>Previdência RF Duração Livre Crédito Liv</t>
        </is>
      </c>
      <c r="E21" s="4" t="inlineStr">
        <is>
          <t>Crédito High Grade</t>
        </is>
      </c>
      <c r="F21" s="4" t="inlineStr">
        <is>
          <t>LETO ASSET MANAGEMENT LTDA</t>
        </is>
      </c>
      <c r="G21" s="4" t="inlineStr">
        <is>
          <t>Terceiros</t>
        </is>
      </c>
      <c r="H21" s="8" t="n">
        <v>1.1</v>
      </c>
      <c r="I21" s="7" t="n">
        <v>100</v>
      </c>
      <c r="J21" s="5" t="n">
        <v>2</v>
      </c>
      <c r="K21" s="4" t="inlineStr">
        <is>
          <t>Em Funcionamento Normal</t>
        </is>
      </c>
      <c r="L21" s="4" t="inlineStr">
        <is>
          <t>Site (navegador)</t>
        </is>
      </c>
    </row>
    <row r="22">
      <c r="A22" s="4" t="inlineStr">
        <is>
          <t>XP Investimentos</t>
        </is>
      </c>
      <c r="B22" s="4" t="inlineStr">
        <is>
          <t>Capitânia Prev Advisory Xp Seg Ficfirf Cp Rl</t>
        </is>
      </c>
      <c r="C22" s="4" t="inlineStr">
        <is>
          <t>32.319.658/0001-57</t>
        </is>
      </c>
      <c r="D22" s="4" t="inlineStr">
        <is>
          <t>Previdência RF Duração Livre Crédito Liv</t>
        </is>
      </c>
      <c r="E22" s="4" t="inlineStr">
        <is>
          <t>Crédito High Grade</t>
        </is>
      </c>
      <c r="F22" s="4" t="inlineStr">
        <is>
          <t>XP VIDA E PREVIDÊNCIA S.A.</t>
        </is>
      </c>
      <c r="G22" s="4" t="inlineStr">
        <is>
          <t>Própria</t>
        </is>
      </c>
      <c r="H22" s="8" t="n">
        <v>1.25</v>
      </c>
      <c r="I22" s="7" t="n">
        <v>100</v>
      </c>
      <c r="J22" s="5" t="n">
        <v>1</v>
      </c>
      <c r="K22" s="4" t="inlineStr">
        <is>
          <t>Em Funcionamento Normal</t>
        </is>
      </c>
      <c r="L22" s="4" t="inlineStr">
        <is>
          <t>Site (navegador)</t>
        </is>
      </c>
    </row>
    <row r="23">
      <c r="A23" s="4" t="inlineStr">
        <is>
          <t>XP Investimentos</t>
        </is>
      </c>
      <c r="B23" s="4" t="inlineStr">
        <is>
          <t>Vinci Equilibrio Advisory XP Seg Prev FIM</t>
        </is>
      </c>
      <c r="C23" s="4" t="inlineStr">
        <is>
          <t>32.319.702/0001-29</t>
        </is>
      </c>
      <c r="D23" s="4" t="inlineStr">
        <is>
          <t>Previdência Multimercado Livre</t>
        </is>
      </c>
      <c r="E23" s="4" t="inlineStr">
        <is>
          <t>Macro Baixa Vol</t>
        </is>
      </c>
      <c r="F23" s="4" t="inlineStr">
        <is>
          <t>VINCI SOLUÇÕES DE INVESTIMENTOS LTDA</t>
        </is>
      </c>
      <c r="G23" s="4" t="inlineStr">
        <is>
          <t>Terceiros</t>
        </is>
      </c>
      <c r="H23" s="8" t="n">
        <v>2</v>
      </c>
      <c r="I23" s="7" t="n">
        <v>100</v>
      </c>
      <c r="J23" s="5" t="n">
        <v>2</v>
      </c>
      <c r="K23" s="4" t="inlineStr">
        <is>
          <t>Em Funcionamento Normal</t>
        </is>
      </c>
      <c r="L23" s="4" t="inlineStr">
        <is>
          <t>Site (navegador)</t>
        </is>
      </c>
    </row>
    <row r="24">
      <c r="A24" s="4" t="inlineStr">
        <is>
          <t>XP Investimentos</t>
        </is>
      </c>
      <c r="B24" s="4" t="inlineStr">
        <is>
          <t>Western Asset Advisory XP Seg RF Ativo FI Prev</t>
        </is>
      </c>
      <c r="C24" s="4" t="inlineStr">
        <is>
          <t>32.346.713/0001-06</t>
        </is>
      </c>
      <c r="D24" s="4" t="inlineStr">
        <is>
          <t>Previdência RF Duração Livre Crédito Liv</t>
        </is>
      </c>
      <c r="E24" s="4" t="inlineStr">
        <is>
          <t>Renda Fixa Ativo</t>
        </is>
      </c>
      <c r="F24" s="4" t="inlineStr">
        <is>
          <t>Franklin Templeton Brasil Ltda.</t>
        </is>
      </c>
      <c r="G24" s="4" t="inlineStr">
        <is>
          <t>Terceiros</t>
        </is>
      </c>
      <c r="H24" s="8" t="n">
        <v>0.8</v>
      </c>
      <c r="I24" s="7" t="n">
        <v>100</v>
      </c>
      <c r="J24" s="5" t="n">
        <v>1</v>
      </c>
      <c r="K24" s="4" t="inlineStr">
        <is>
          <t>Em Funcionamento Normal</t>
        </is>
      </c>
      <c r="L24" s="4" t="inlineStr">
        <is>
          <t>Site (navegador)</t>
        </is>
      </c>
    </row>
    <row r="25">
      <c r="A25" s="4" t="inlineStr">
        <is>
          <t>XP Investimentos</t>
        </is>
      </c>
      <c r="B25" s="4" t="inlineStr">
        <is>
          <t>MAG Prev XP Seg Advisory FIRF CP</t>
        </is>
      </c>
      <c r="C25" s="4" t="inlineStr">
        <is>
          <t>32.385.140/0001-11</t>
        </is>
      </c>
      <c r="D25" s="4" t="inlineStr">
        <is>
          <t>Previdência RF Duração Livre Crédito Liv</t>
        </is>
      </c>
      <c r="E25" s="4" t="inlineStr">
        <is>
          <t>Crédito High Grade</t>
        </is>
      </c>
      <c r="F25" s="4" t="inlineStr">
        <is>
          <t>MONGERAL AEGON INVESTIMENTOS LTDA</t>
        </is>
      </c>
      <c r="G25" s="4" t="inlineStr">
        <is>
          <t>Terceiros</t>
        </is>
      </c>
      <c r="H25" s="8" t="n">
        <v>0.95</v>
      </c>
      <c r="I25" s="7" t="n">
        <v>100</v>
      </c>
      <c r="J25" s="5" t="n">
        <v>1</v>
      </c>
      <c r="K25" s="4" t="inlineStr">
        <is>
          <t>Em Funcionamento Normal</t>
        </is>
      </c>
      <c r="L25" s="4" t="inlineStr">
        <is>
          <t>Site (navegador)</t>
        </is>
      </c>
    </row>
    <row r="26">
      <c r="A26" s="4" t="inlineStr">
        <is>
          <t>XP Investimentos</t>
        </is>
      </c>
      <c r="B26" s="4" t="inlineStr">
        <is>
          <t>AZ Quest Luce Advisory Prev XP Seg FICFIRF CP</t>
        </is>
      </c>
      <c r="C26" s="4" t="inlineStr">
        <is>
          <t>32.847.001/0001-62</t>
        </is>
      </c>
      <c r="D26" s="4" t="inlineStr">
        <is>
          <t>Previdência RF Duração Livre Crédito Liv</t>
        </is>
      </c>
      <c r="E26" s="4" t="inlineStr">
        <is>
          <t>Crédito Liquidez</t>
        </is>
      </c>
      <c r="F26" s="4" t="inlineStr">
        <is>
          <t>XP VIDA E PREVIDÊNCIA S.A.</t>
        </is>
      </c>
      <c r="G26" s="4" t="inlineStr">
        <is>
          <t>Própria</t>
        </is>
      </c>
      <c r="H26" s="8" t="n">
        <v>1</v>
      </c>
      <c r="I26" s="7" t="n">
        <v>100</v>
      </c>
      <c r="J26" s="5" t="n">
        <v>2</v>
      </c>
      <c r="K26" s="4" t="inlineStr">
        <is>
          <t>Em Funcionamento Normal</t>
        </is>
      </c>
      <c r="L26" s="4" t="inlineStr">
        <is>
          <t>Site (navegador)</t>
        </is>
      </c>
    </row>
    <row r="27">
      <c r="A27" s="4" t="inlineStr">
        <is>
          <t>XP Investimentos</t>
        </is>
      </c>
      <c r="B27" s="4" t="inlineStr">
        <is>
          <t>Giant Prev FIE FIC FIM</t>
        </is>
      </c>
      <c r="C27" s="4" t="inlineStr">
        <is>
          <t>32.847.791/0001-86</t>
        </is>
      </c>
      <c r="D27" s="4" t="inlineStr">
        <is>
          <t>Previdência Multimercado Livre</t>
        </is>
      </c>
      <c r="E27" s="4" t="inlineStr">
        <is>
          <t>Quantitativo</t>
        </is>
      </c>
      <c r="F27" s="4" t="inlineStr">
        <is>
          <t>XP VIDA E PREVIDÊNCIA S.A.</t>
        </is>
      </c>
      <c r="G27" s="4" t="inlineStr">
        <is>
          <t>Própria</t>
        </is>
      </c>
      <c r="H27" s="8" t="n">
        <v>1.5</v>
      </c>
      <c r="I27" s="7" t="n">
        <v>100</v>
      </c>
      <c r="J27" s="5" t="n">
        <v>1</v>
      </c>
      <c r="K27" s="4" t="inlineStr">
        <is>
          <t>Em Funcionamento Normal</t>
        </is>
      </c>
      <c r="L27" s="4" t="inlineStr">
        <is>
          <t>Site (navegador)</t>
        </is>
      </c>
    </row>
    <row r="28">
      <c r="A28" s="4" t="inlineStr">
        <is>
          <t>XP Investimentos</t>
        </is>
      </c>
      <c r="B28" s="4" t="inlineStr">
        <is>
          <t>Iridium Apollo Advisory Xp Seg Fic Firf Cp Rl</t>
        </is>
      </c>
      <c r="C28" s="4" t="inlineStr">
        <is>
          <t>32.849.785/0001-68</t>
        </is>
      </c>
      <c r="D28" s="4" t="inlineStr">
        <is>
          <t>Previdência RF Duração Livre Grau de Inv</t>
        </is>
      </c>
      <c r="E28" s="4" t="inlineStr">
        <is>
          <t>Crédito Liquidez</t>
        </is>
      </c>
      <c r="F28" s="4" t="inlineStr">
        <is>
          <t>XP VIDA E PREVIDÊNCIA S.A.</t>
        </is>
      </c>
      <c r="G28" s="4" t="inlineStr">
        <is>
          <t>Própria</t>
        </is>
      </c>
      <c r="H28" s="8" t="n">
        <v>0.7</v>
      </c>
      <c r="I28" s="7" t="n">
        <v>100</v>
      </c>
      <c r="J28" s="5" t="n">
        <v>1</v>
      </c>
      <c r="K28" s="4" t="inlineStr">
        <is>
          <t>Em Funcionamento Normal</t>
        </is>
      </c>
      <c r="L28" s="4" t="inlineStr">
        <is>
          <t>Site (navegador)</t>
        </is>
      </c>
    </row>
    <row r="29">
      <c r="A29" s="4" t="inlineStr">
        <is>
          <t>XP Investimentos</t>
        </is>
      </c>
      <c r="B29" s="4" t="inlineStr">
        <is>
          <t>Kinea Xtr Xp Seg Prev Fic Fim</t>
        </is>
      </c>
      <c r="C29" s="4" t="inlineStr">
        <is>
          <t>32.864.403/0001-75</t>
        </is>
      </c>
      <c r="D29" s="4" t="inlineStr">
        <is>
          <t>Previdência Multimercado Livre</t>
        </is>
      </c>
      <c r="E29" s="4" t="inlineStr">
        <is>
          <t>Macro Média Vol</t>
        </is>
      </c>
      <c r="F29" s="4" t="inlineStr">
        <is>
          <t>XP VIDA E PREVIDÊNCIA S.A.</t>
        </is>
      </c>
      <c r="G29" s="4" t="inlineStr">
        <is>
          <t>Própria</t>
        </is>
      </c>
      <c r="H29" s="8" t="n">
        <v>1.5</v>
      </c>
      <c r="I29" s="7" t="n">
        <v>100</v>
      </c>
      <c r="J29" s="5" t="n">
        <v>1</v>
      </c>
      <c r="K29" s="4" t="inlineStr">
        <is>
          <t>Em Funcionamento Normal</t>
        </is>
      </c>
      <c r="L29" s="4" t="inlineStr">
        <is>
          <t>Site (navegador)</t>
        </is>
      </c>
    </row>
    <row r="30">
      <c r="A30" s="4" t="inlineStr">
        <is>
          <t>XP Investimentos</t>
        </is>
      </c>
      <c r="B30" s="4" t="inlineStr">
        <is>
          <t>Brasil Capital 70 XP Seg Advisory Prev FIM RL</t>
        </is>
      </c>
      <c r="C30" s="4" t="inlineStr">
        <is>
          <t>32.892.517/0001-29</t>
        </is>
      </c>
      <c r="D30" s="4" t="inlineStr">
        <is>
          <t>Previdência Multimercado Livre</t>
        </is>
      </c>
      <c r="E30" s="4" t="inlineStr">
        <is>
          <t>Renda Variável Long Only</t>
        </is>
      </c>
      <c r="F30" s="4" t="inlineStr">
        <is>
          <t>BC GESTÃO DE RECURSOS LTDA</t>
        </is>
      </c>
      <c r="G30" s="4" t="inlineStr">
        <is>
          <t>Terceiros</t>
        </is>
      </c>
      <c r="H30" s="8" t="n">
        <v>1.6</v>
      </c>
      <c r="I30" s="7" t="n">
        <v>100</v>
      </c>
      <c r="J30" s="5" t="n">
        <v>3</v>
      </c>
      <c r="K30" s="4" t="inlineStr">
        <is>
          <t>Em Funcionamento Normal</t>
        </is>
      </c>
      <c r="L30" s="4" t="inlineStr">
        <is>
          <t>Site (navegador)</t>
        </is>
      </c>
    </row>
    <row r="31">
      <c r="A31" s="4" t="inlineStr">
        <is>
          <t>XP Investimentos</t>
        </is>
      </c>
      <c r="B31" s="4" t="inlineStr">
        <is>
          <t>Kinea Ações Advisory Xp Seg Prev Fic Fim Rl</t>
        </is>
      </c>
      <c r="C31" s="4" t="inlineStr">
        <is>
          <t>32.973.280/0001-00</t>
        </is>
      </c>
      <c r="D31" s="4" t="inlineStr">
        <is>
          <t>Previdência Ações Ativo</t>
        </is>
      </c>
      <c r="E31" s="4" t="inlineStr">
        <is>
          <t>Renda Variável Long Only</t>
        </is>
      </c>
      <c r="F31" s="4" t="inlineStr">
        <is>
          <t>XP VIDA E PREVIDÊNCIA S.A.</t>
        </is>
      </c>
      <c r="G31" s="4" t="inlineStr">
        <is>
          <t>Própria</t>
        </is>
      </c>
      <c r="H31" s="8" t="n">
        <v>2</v>
      </c>
      <c r="I31" s="7" t="n">
        <v>100</v>
      </c>
      <c r="J31" s="5" t="n">
        <v>2</v>
      </c>
      <c r="K31" s="4" t="inlineStr">
        <is>
          <t>Em Funcionamento Normal</t>
        </is>
      </c>
      <c r="L31" s="4" t="inlineStr">
        <is>
          <t>Site (navegador)</t>
        </is>
      </c>
    </row>
    <row r="32">
      <c r="A32" s="4" t="inlineStr">
        <is>
          <t>XP Investimentos</t>
        </is>
      </c>
      <c r="B32" s="4" t="inlineStr">
        <is>
          <t>Xp Equity Hedge Seguros Prev I Fic Fim Rl</t>
        </is>
      </c>
      <c r="C32" s="4" t="inlineStr">
        <is>
          <t>32.990.465/0001-23</t>
        </is>
      </c>
      <c r="D32" s="4" t="inlineStr">
        <is>
          <t>Previdência Multimercado Livre</t>
        </is>
      </c>
      <c r="E32" s="4" t="inlineStr">
        <is>
          <t>Long Short Direcional</t>
        </is>
      </c>
      <c r="F32" s="4" t="inlineStr">
        <is>
          <t>XP VIDA E PREVIDÊNCIA S.A.</t>
        </is>
      </c>
      <c r="G32" s="4" t="inlineStr">
        <is>
          <t>Própria</t>
        </is>
      </c>
      <c r="H32" s="8" t="n">
        <v>2</v>
      </c>
      <c r="I32" s="7" t="n">
        <v>100</v>
      </c>
      <c r="J32" s="5" t="n">
        <v>2</v>
      </c>
      <c r="K32" s="4" t="inlineStr">
        <is>
          <t>Em Funcionamento Normal</t>
        </is>
      </c>
      <c r="L32" s="4" t="inlineStr">
        <is>
          <t>Site (navegador)</t>
        </is>
      </c>
    </row>
    <row r="33">
      <c r="A33" s="4" t="inlineStr">
        <is>
          <t>XP Investimentos</t>
        </is>
      </c>
      <c r="B33" s="4" t="inlineStr">
        <is>
          <t>Safari Prev 100 XP Seg FIM FIE</t>
        </is>
      </c>
      <c r="C33" s="4" t="inlineStr">
        <is>
          <t>33.378.232/0001-37</t>
        </is>
      </c>
      <c r="D33" s="4" t="inlineStr">
        <is>
          <t>Previdência Multimercado Livre</t>
        </is>
      </c>
      <c r="E33" s="4" t="inlineStr">
        <is>
          <t>Renda Variável Long Biased</t>
        </is>
      </c>
      <c r="F33" s="4" t="inlineStr">
        <is>
          <t>SAFARI CAPITAL GESTÃO DE RECURSOS LTDA.</t>
        </is>
      </c>
      <c r="G33" s="4" t="inlineStr">
        <is>
          <t>Terceiros</t>
        </is>
      </c>
      <c r="H33" s="8" t="n">
        <v>2</v>
      </c>
      <c r="I33" s="7" t="n">
        <v>100</v>
      </c>
      <c r="J33" s="5" t="n">
        <v>2</v>
      </c>
      <c r="K33" s="4" t="inlineStr">
        <is>
          <t>Em Funcionamento Normal</t>
        </is>
      </c>
      <c r="L33" s="4" t="inlineStr">
        <is>
          <t>Site (navegador)</t>
        </is>
      </c>
    </row>
    <row r="34">
      <c r="A34" s="4" t="inlineStr">
        <is>
          <t>XP Investimentos</t>
        </is>
      </c>
      <c r="B34" s="4" t="inlineStr">
        <is>
          <t>Pacifico Macro Prev Advisory Xp Seg Fic Fim</t>
        </is>
      </c>
      <c r="C34" s="4" t="inlineStr">
        <is>
          <t>33.755.685/0001-35</t>
        </is>
      </c>
      <c r="D34" s="4" t="inlineStr">
        <is>
          <t>Previdência Multimercado Livre</t>
        </is>
      </c>
      <c r="E34" s="4" t="inlineStr">
        <is>
          <t>Macro Alta Vol</t>
        </is>
      </c>
      <c r="F34" s="4" t="inlineStr">
        <is>
          <t>BTG PACTUAL ASSET MANAGEMENT S/A DTVM</t>
        </is>
      </c>
      <c r="G34" s="4" t="inlineStr">
        <is>
          <t>Terceiros</t>
        </is>
      </c>
      <c r="H34" s="8" t="n">
        <v>2</v>
      </c>
      <c r="I34" s="7" t="n">
        <v>100</v>
      </c>
      <c r="J34" s="5" t="n">
        <v>2</v>
      </c>
      <c r="K34" s="4" t="inlineStr">
        <is>
          <t>Em Funcionamento Normal</t>
        </is>
      </c>
      <c r="L34" s="4" t="inlineStr">
        <is>
          <t>Site (navegador)</t>
        </is>
      </c>
    </row>
    <row r="35">
      <c r="A35" s="4" t="inlineStr">
        <is>
          <t>XP Investimentos</t>
        </is>
      </c>
      <c r="B35" s="4" t="inlineStr">
        <is>
          <t>Trend Pré-Fixado XP Seg Prev FIC FIRF RL</t>
        </is>
      </c>
      <c r="C35" s="4" t="inlineStr">
        <is>
          <t>33.755.733/0001-95</t>
        </is>
      </c>
      <c r="D35" s="4" t="inlineStr">
        <is>
          <t>Previdência RF Indexados</t>
        </is>
      </c>
      <c r="E35" s="4" t="inlineStr">
        <is>
          <t>Renda Fixa Pré</t>
        </is>
      </c>
      <c r="F35" s="4" t="inlineStr">
        <is>
          <t>XP ALLOCATION ASSET MANAGEMENT LTDA</t>
        </is>
      </c>
      <c r="G35" s="4" t="inlineStr">
        <is>
          <t>Própria</t>
        </is>
      </c>
      <c r="H35" s="8" t="n">
        <v>0.4</v>
      </c>
      <c r="I35" s="7" t="n">
        <v>100</v>
      </c>
      <c r="J35" s="5" t="n">
        <v>1</v>
      </c>
      <c r="K35" s="4" t="inlineStr">
        <is>
          <t>Em Funcionamento Normal</t>
        </is>
      </c>
      <c r="L35" s="4" t="inlineStr">
        <is>
          <t>Site (navegador)</t>
        </is>
      </c>
    </row>
    <row r="36">
      <c r="A36" s="4" t="inlineStr">
        <is>
          <t>XP Investimentos</t>
        </is>
      </c>
      <c r="B36" s="4" t="inlineStr">
        <is>
          <t>Trend Ibovespa 70 XP Seg Prev FIC FIM RL</t>
        </is>
      </c>
      <c r="C36" s="4" t="inlineStr">
        <is>
          <t>33.784.183/0001-32</t>
        </is>
      </c>
      <c r="D36" s="4" t="inlineStr">
        <is>
          <t>Previdência Balanceados acima de 49</t>
        </is>
      </c>
      <c r="E36" s="4" t="inlineStr">
        <is>
          <t>Renda Variável Indexado</t>
        </is>
      </c>
      <c r="F36" s="4" t="inlineStr">
        <is>
          <t>XP ALLOCATION ASSET MANAGEMENT LTDA</t>
        </is>
      </c>
      <c r="G36" s="4" t="inlineStr">
        <is>
          <t>Própria</t>
        </is>
      </c>
      <c r="H36" s="8" t="n">
        <v>0.35</v>
      </c>
      <c r="I36" s="7" t="n">
        <v>100</v>
      </c>
      <c r="J36" s="5" t="n">
        <v>2</v>
      </c>
      <c r="K36" s="4" t="inlineStr">
        <is>
          <t>Em Funcionamento Normal</t>
        </is>
      </c>
      <c r="L36" s="4" t="inlineStr">
        <is>
          <t>Site (navegador)</t>
        </is>
      </c>
    </row>
    <row r="37">
      <c r="A37" s="4" t="inlineStr">
        <is>
          <t>XP Investimentos</t>
        </is>
      </c>
      <c r="B37" s="4" t="inlineStr">
        <is>
          <t>Trend Pós-Fixado XP Seg Prev FIC FIRF</t>
        </is>
      </c>
      <c r="C37" s="4" t="inlineStr">
        <is>
          <t>33.784.231/0001-92</t>
        </is>
      </c>
      <c r="D37" s="4" t="inlineStr">
        <is>
          <t>Previdência RF Duração Livre Grau de Inv</t>
        </is>
      </c>
      <c r="E37" s="4" t="inlineStr">
        <is>
          <t>Referenciado DI Soberano</t>
        </is>
      </c>
      <c r="F37" s="4" t="inlineStr">
        <is>
          <t>XP VISTA ASSET MANAGEMENT LTDA.</t>
        </is>
      </c>
      <c r="G37" s="4" t="inlineStr">
        <is>
          <t>Própria</t>
        </is>
      </c>
      <c r="H37" s="8" t="n">
        <v>0.25</v>
      </c>
      <c r="I37" s="7" t="n">
        <v>100</v>
      </c>
      <c r="J37" s="5" t="n">
        <v>1</v>
      </c>
      <c r="K37" s="4" t="inlineStr">
        <is>
          <t>Em Funcionamento Normal</t>
        </is>
      </c>
      <c r="L37" s="4" t="inlineStr">
        <is>
          <t>Site (navegador)</t>
        </is>
      </c>
    </row>
    <row r="38">
      <c r="A38" s="4" t="inlineStr">
        <is>
          <t>XP Investimentos</t>
        </is>
      </c>
      <c r="B38" s="4" t="inlineStr">
        <is>
          <t>Trend Ibovespa 100 XP Seg Prev FIC FIA RL</t>
        </is>
      </c>
      <c r="C38" s="4" t="inlineStr">
        <is>
          <t>33.795.343/0001-49</t>
        </is>
      </c>
      <c r="D38" s="4" t="inlineStr">
        <is>
          <t>Previdência Ações Ativo</t>
        </is>
      </c>
      <c r="E38" s="4" t="inlineStr">
        <is>
          <t>Renda Variável Indexado</t>
        </is>
      </c>
      <c r="F38" s="4" t="inlineStr">
        <is>
          <t>XP ALLOCATION ASSET MANAGEMENT LTDA</t>
        </is>
      </c>
      <c r="G38" s="4" t="inlineStr">
        <is>
          <t>Própria</t>
        </is>
      </c>
      <c r="H38" s="8" t="n">
        <v>0.4</v>
      </c>
      <c r="I38" s="7" t="n">
        <v>100</v>
      </c>
      <c r="J38" s="5" t="n">
        <v>2</v>
      </c>
      <c r="K38" s="4" t="inlineStr">
        <is>
          <t>Em Funcionamento Normal</t>
        </is>
      </c>
      <c r="L38" s="4" t="inlineStr">
        <is>
          <t>Site (navegador)</t>
        </is>
      </c>
    </row>
    <row r="39">
      <c r="A39" s="4" t="inlineStr">
        <is>
          <t>XP Investimentos</t>
        </is>
      </c>
      <c r="B39" s="4" t="inlineStr">
        <is>
          <t>Vinci Valorem Advisory XP Seg Prev FIM</t>
        </is>
      </c>
      <c r="C39" s="4" t="inlineStr">
        <is>
          <t>33.796.273/0001-43</t>
        </is>
      </c>
      <c r="D39" s="4" t="inlineStr">
        <is>
          <t>Previdência Multimercado Livre</t>
        </is>
      </c>
      <c r="E39" s="4" t="inlineStr">
        <is>
          <t>Renda Fixa Inflação</t>
        </is>
      </c>
      <c r="F39" s="4" t="inlineStr">
        <is>
          <t>VINCI SOLUÇÕES DE INVESTIMENTOS LTDA</t>
        </is>
      </c>
      <c r="G39" s="4" t="inlineStr">
        <is>
          <t>Terceiros</t>
        </is>
      </c>
      <c r="H39" s="8" t="n">
        <v>1</v>
      </c>
      <c r="I39" s="7" t="n">
        <v>100</v>
      </c>
      <c r="J39" s="5" t="n">
        <v>1</v>
      </c>
      <c r="K39" s="4" t="inlineStr">
        <is>
          <t>Em Funcionamento Normal</t>
        </is>
      </c>
      <c r="L39" s="4" t="inlineStr">
        <is>
          <t>Site (navegador)</t>
        </is>
      </c>
    </row>
    <row r="40">
      <c r="A40" s="4" t="inlineStr">
        <is>
          <t>XP Investimentos</t>
        </is>
      </c>
      <c r="B40" s="4" t="inlineStr">
        <is>
          <t>Brasil Capital 100 XP Seg Advisory FIC FIA RL</t>
        </is>
      </c>
      <c r="C40" s="4" t="inlineStr">
        <is>
          <t>34.187.279/0001-86</t>
        </is>
      </c>
      <c r="D40" s="4" t="inlineStr">
        <is>
          <t>Previdência Ações Ativo</t>
        </is>
      </c>
      <c r="E40" s="4" t="inlineStr">
        <is>
          <t>Renda Variável Long Only</t>
        </is>
      </c>
      <c r="F40" s="4" t="inlineStr">
        <is>
          <t>XP VIDA E PREVIDÊNCIA S.A.</t>
        </is>
      </c>
      <c r="G40" s="4" t="inlineStr">
        <is>
          <t>Própria</t>
        </is>
      </c>
      <c r="H40" s="8" t="n">
        <v>2</v>
      </c>
      <c r="I40" s="7" t="n">
        <v>100</v>
      </c>
      <c r="J40" s="5" t="n">
        <v>2</v>
      </c>
      <c r="K40" s="4" t="inlineStr">
        <is>
          <t>Em Funcionamento Normal</t>
        </is>
      </c>
      <c r="L40" s="4" t="inlineStr">
        <is>
          <t>Site (navegador)</t>
        </is>
      </c>
    </row>
    <row r="41">
      <c r="A41" s="4" t="inlineStr">
        <is>
          <t>XP Investimentos</t>
        </is>
      </c>
      <c r="B41" s="4" t="inlineStr">
        <is>
          <t>XP Macro XP Seg Prev FIC FIM RL</t>
        </is>
      </c>
      <c r="C41" s="4" t="inlineStr">
        <is>
          <t>34.309.549/0001-84</t>
        </is>
      </c>
      <c r="D41" s="4" t="inlineStr">
        <is>
          <t>Previdência Multimercado Livre</t>
        </is>
      </c>
      <c r="E41" s="4" t="inlineStr">
        <is>
          <t>Macro Média Vol</t>
        </is>
      </c>
      <c r="F41" s="4" t="inlineStr">
        <is>
          <t>XP GESTÃO DE RECURSOS LTDA</t>
        </is>
      </c>
      <c r="G41" s="4" t="inlineStr">
        <is>
          <t>Própria</t>
        </is>
      </c>
      <c r="H41" s="8" t="n">
        <v>2</v>
      </c>
      <c r="I41" s="7" t="n">
        <v>100</v>
      </c>
      <c r="J41" s="5" t="n">
        <v>1</v>
      </c>
      <c r="K41" s="4" t="inlineStr">
        <is>
          <t>Em Funcionamento Normal</t>
        </is>
      </c>
      <c r="L41" s="4" t="inlineStr">
        <is>
          <t>Site (navegador)</t>
        </is>
      </c>
    </row>
    <row r="42">
      <c r="A42" s="4" t="inlineStr">
        <is>
          <t>XP Investimentos</t>
        </is>
      </c>
      <c r="B42" s="4" t="inlineStr">
        <is>
          <t>Tork Long Only XP Seg Prev FIC FIA FIE</t>
        </is>
      </c>
      <c r="C42" s="4" t="inlineStr">
        <is>
          <t>34.432.014/0001-04</t>
        </is>
      </c>
      <c r="D42" s="4" t="inlineStr">
        <is>
          <t>Previdência Multimercado Livre</t>
        </is>
      </c>
      <c r="E42" s="4" t="inlineStr">
        <is>
          <t>Renda Variável Long Biased</t>
        </is>
      </c>
      <c r="F42" s="4" t="inlineStr">
        <is>
          <t>XP GESTÃO DE RECURSOS LTDA</t>
        </is>
      </c>
      <c r="G42" s="4" t="inlineStr">
        <is>
          <t>Própria</t>
        </is>
      </c>
      <c r="H42" s="8" t="n">
        <v>2</v>
      </c>
      <c r="I42" s="7" t="n">
        <v>100</v>
      </c>
      <c r="J42" s="5" t="n">
        <v>2</v>
      </c>
      <c r="K42" s="4" t="inlineStr">
        <is>
          <t>Em Funcionamento Normal</t>
        </is>
      </c>
      <c r="L42" s="4" t="inlineStr">
        <is>
          <t>Site (navegador)</t>
        </is>
      </c>
    </row>
    <row r="43">
      <c r="A43" s="4" t="inlineStr">
        <is>
          <t>XP Investimentos</t>
        </is>
      </c>
      <c r="B43" s="4" t="inlineStr">
        <is>
          <t>AZ Quest Inflação Ativo Prev FIE FIRF</t>
        </is>
      </c>
      <c r="C43" s="4" t="inlineStr">
        <is>
          <t>34.442.059/0001-51</t>
        </is>
      </c>
      <c r="D43" s="4" t="inlineStr">
        <is>
          <t>Previdência RF Duração Alta Soberano</t>
        </is>
      </c>
      <c r="E43" s="4" t="inlineStr">
        <is>
          <t>Renda Fixa Inflação</t>
        </is>
      </c>
      <c r="F43" s="4" t="inlineStr">
        <is>
          <t>AZ Quest Prev Ltda.</t>
        </is>
      </c>
      <c r="G43" s="4" t="inlineStr">
        <is>
          <t>Terceiros</t>
        </is>
      </c>
      <c r="H43" s="8" t="n">
        <v>1.1</v>
      </c>
      <c r="I43" s="7" t="n">
        <v>500</v>
      </c>
      <c r="J43" s="5" t="n">
        <v>1</v>
      </c>
      <c r="K43" s="4" t="inlineStr">
        <is>
          <t>Em Funcionamento Normal</t>
        </is>
      </c>
      <c r="L43" s="4" t="inlineStr">
        <is>
          <t>Site (navegador)</t>
        </is>
      </c>
    </row>
    <row r="44">
      <c r="A44" s="4" t="inlineStr">
        <is>
          <t>XP Investimentos</t>
        </is>
      </c>
      <c r="B44" s="4" t="inlineStr">
        <is>
          <t>XP Income FIE Seg FIE FIC FIRF RL</t>
        </is>
      </c>
      <c r="C44" s="4" t="inlineStr">
        <is>
          <t>34.461.635/0001-08</t>
        </is>
      </c>
      <c r="D44" s="4" t="inlineStr">
        <is>
          <t>Previdência RF Duração Livre Crédito Liv</t>
        </is>
      </c>
      <c r="E44" s="4" t="inlineStr">
        <is>
          <t>Renda Fixa Ativo</t>
        </is>
      </c>
      <c r="F44" s="4" t="inlineStr">
        <is>
          <t>XP GESTÃO DE RECURSOS LTDA</t>
        </is>
      </c>
      <c r="G44" s="4" t="inlineStr">
        <is>
          <t>Própria</t>
        </is>
      </c>
      <c r="H44" s="8" t="n">
        <v>0.9</v>
      </c>
      <c r="I44" s="7" t="n">
        <v>100</v>
      </c>
      <c r="J44" s="5" t="n">
        <v>1</v>
      </c>
      <c r="K44" s="4" t="inlineStr">
        <is>
          <t>Em Funcionamento Normal</t>
        </is>
      </c>
      <c r="L44" s="4" t="inlineStr">
        <is>
          <t>Site (navegador)</t>
        </is>
      </c>
    </row>
    <row r="45">
      <c r="A45" s="4" t="inlineStr">
        <is>
          <t>XP Investimentos</t>
        </is>
      </c>
      <c r="B45" s="4" t="inlineStr">
        <is>
          <t>ARX Income 100 XP Seg Prev FIC FIA</t>
        </is>
      </c>
      <c r="C45" s="4" t="inlineStr">
        <is>
          <t>34.461.754/0001-60</t>
        </is>
      </c>
      <c r="D45" s="4" t="inlineStr">
        <is>
          <t>Previdência Ações Ativo</t>
        </is>
      </c>
      <c r="E45" s="4" t="inlineStr">
        <is>
          <t>Renda Variável Dividendos</t>
        </is>
      </c>
      <c r="F45" s="4" t="inlineStr">
        <is>
          <t>XP VIDA E PREVIDÊNCIA S.A.</t>
        </is>
      </c>
      <c r="G45" s="4" t="inlineStr">
        <is>
          <t>Própria</t>
        </is>
      </c>
      <c r="H45" s="8" t="n">
        <v>2</v>
      </c>
      <c r="I45" s="7" t="n">
        <v>100</v>
      </c>
      <c r="J45" s="5" t="n">
        <v>2</v>
      </c>
      <c r="K45" s="4" t="inlineStr">
        <is>
          <t>Em Funcionamento Normal</t>
        </is>
      </c>
      <c r="L45" s="4" t="inlineStr">
        <is>
          <t>Site (navegador)</t>
        </is>
      </c>
    </row>
    <row r="46">
      <c r="A46" s="4" t="inlineStr">
        <is>
          <t>XP Investimentos</t>
        </is>
      </c>
      <c r="B46" s="4" t="inlineStr">
        <is>
          <t>Leblon 100 XP Seg Prev FIM</t>
        </is>
      </c>
      <c r="C46" s="4" t="inlineStr">
        <is>
          <t>34.462.068/0001-04</t>
        </is>
      </c>
      <c r="D46" s="4" t="inlineStr">
        <is>
          <t>Previdência Multimercado Livre</t>
        </is>
      </c>
      <c r="E46" s="4" t="inlineStr">
        <is>
          <t>Renda Variável Long Only</t>
        </is>
      </c>
      <c r="F46" s="4" t="inlineStr">
        <is>
          <t>LEBLON EQUITIES GESTAO DE RECURSOS LTDA</t>
        </is>
      </c>
      <c r="G46" s="4" t="inlineStr">
        <is>
          <t>Terceiros</t>
        </is>
      </c>
      <c r="H46" s="8" t="n">
        <v>2</v>
      </c>
      <c r="I46" s="7" t="n">
        <v>100</v>
      </c>
      <c r="J46" s="5" t="n">
        <v>2</v>
      </c>
      <c r="K46" s="4" t="inlineStr">
        <is>
          <t>Em Funcionamento Normal</t>
        </is>
      </c>
      <c r="L46" s="4" t="inlineStr">
        <is>
          <t>Site (navegador)</t>
        </is>
      </c>
    </row>
    <row r="47">
      <c r="A47" s="4" t="inlineStr">
        <is>
          <t>XP Investimentos</t>
        </is>
      </c>
      <c r="B47" s="4" t="inlineStr">
        <is>
          <t>JGP Multimercado Prev Advisory XP Seg FICFI</t>
        </is>
      </c>
      <c r="C47" s="4" t="inlineStr">
        <is>
          <t>34.474.500/0001-87</t>
        </is>
      </c>
      <c r="D47" s="4" t="inlineStr">
        <is>
          <t>Previdência Multimercado Livre</t>
        </is>
      </c>
      <c r="E47" s="4" t="inlineStr">
        <is>
          <t>Macro Média Vol</t>
        </is>
      </c>
      <c r="F47" s="4" t="inlineStr">
        <is>
          <t>JGP GESTÃO DE RECURSOS LTDA</t>
        </is>
      </c>
      <c r="G47" s="4" t="inlineStr">
        <is>
          <t>Terceiros</t>
        </is>
      </c>
      <c r="H47" s="8" t="n">
        <v>2</v>
      </c>
      <c r="I47" s="7" t="n">
        <v>100</v>
      </c>
      <c r="J47" s="5" t="n">
        <v>2</v>
      </c>
      <c r="K47" s="4" t="inlineStr">
        <is>
          <t>Em Funcionamento Normal</t>
        </is>
      </c>
      <c r="L47" s="4" t="inlineStr">
        <is>
          <t>Site (navegador)</t>
        </is>
      </c>
    </row>
    <row r="48">
      <c r="A48" s="4" t="inlineStr">
        <is>
          <t>XP Investimentos</t>
        </is>
      </c>
      <c r="B48" s="4" t="inlineStr">
        <is>
          <t>Miles Virtus Advisory XP Seg Prev FIC FIA</t>
        </is>
      </c>
      <c r="C48" s="4" t="inlineStr">
        <is>
          <t>34.475.121/0001-01</t>
        </is>
      </c>
      <c r="D48" s="4" t="inlineStr"/>
      <c r="E48" s="4" t="inlineStr">
        <is>
          <t>Renda Variável Long Only</t>
        </is>
      </c>
      <c r="F48" s="4" t="inlineStr">
        <is>
          <t>Miles Capital</t>
        </is>
      </c>
      <c r="G48" s="4" t="inlineStr">
        <is>
          <t>Terceiros</t>
        </is>
      </c>
      <c r="H48" s="8" t="n">
        <v>2</v>
      </c>
      <c r="I48" s="7" t="n">
        <v>100</v>
      </c>
      <c r="J48" s="5" t="n">
        <v>2</v>
      </c>
      <c r="K48" s="4" t="inlineStr"/>
      <c r="L48" s="4" t="inlineStr">
        <is>
          <t>Site (navegador)</t>
        </is>
      </c>
    </row>
    <row r="49">
      <c r="A49" s="4" t="inlineStr">
        <is>
          <t>XP Investimentos</t>
        </is>
      </c>
      <c r="B49" s="4" t="inlineStr">
        <is>
          <t>XP Advisory Portfolio Private II Prev FIM CP</t>
        </is>
      </c>
      <c r="C49" s="4" t="inlineStr">
        <is>
          <t>34.475.199/0001-26</t>
        </is>
      </c>
      <c r="D49" s="4" t="inlineStr">
        <is>
          <t>Previdência Multimercado Livre</t>
        </is>
      </c>
      <c r="E49" s="4" t="inlineStr">
        <is>
          <t>Multiestratégia</t>
        </is>
      </c>
      <c r="F49" s="4" t="inlineStr">
        <is>
          <t>XP ADVISORY GESTAO DE RECURSOS LTDA</t>
        </is>
      </c>
      <c r="G49" s="4" t="inlineStr">
        <is>
          <t>Própria</t>
        </is>
      </c>
      <c r="H49" s="8" t="n">
        <v>0.55</v>
      </c>
      <c r="I49" s="7" t="n">
        <v>300000</v>
      </c>
      <c r="J49" s="5" t="n">
        <v>2</v>
      </c>
      <c r="K49" s="4" t="inlineStr">
        <is>
          <t>Em Funcionamento Normal</t>
        </is>
      </c>
      <c r="L49" s="4" t="inlineStr">
        <is>
          <t>Site (navegador)</t>
        </is>
      </c>
    </row>
    <row r="50">
      <c r="A50" s="4" t="inlineStr">
        <is>
          <t>XP Investimentos</t>
        </is>
      </c>
      <c r="B50" s="4" t="inlineStr">
        <is>
          <t>XP Advisory Portfolio Private III Prev FIM CP</t>
        </is>
      </c>
      <c r="C50" s="4" t="inlineStr">
        <is>
          <t>34.475.378/0001-63</t>
        </is>
      </c>
      <c r="D50" s="4" t="inlineStr">
        <is>
          <t>Previdência Multimercado Livre</t>
        </is>
      </c>
      <c r="E50" s="4" t="inlineStr">
        <is>
          <t>Multiestratégia</t>
        </is>
      </c>
      <c r="F50" s="4" t="inlineStr">
        <is>
          <t>XP ADVISORY GESTAO DE RECURSOS LTDA</t>
        </is>
      </c>
      <c r="G50" s="4" t="inlineStr">
        <is>
          <t>Própria</t>
        </is>
      </c>
      <c r="H50" s="8" t="n">
        <v>0.6</v>
      </c>
      <c r="I50" s="7" t="n">
        <v>300000</v>
      </c>
      <c r="J50" s="5" t="n">
        <v>2</v>
      </c>
      <c r="K50" s="4" t="inlineStr">
        <is>
          <t>Em Funcionamento Normal</t>
        </is>
      </c>
      <c r="L50" s="4" t="inlineStr">
        <is>
          <t>Site (navegador)</t>
        </is>
      </c>
    </row>
    <row r="51">
      <c r="A51" s="4" t="inlineStr">
        <is>
          <t>XP Investimentos</t>
        </is>
      </c>
      <c r="B51" s="4" t="inlineStr">
        <is>
          <t>Vrb Advisory Prev Fundo De Investimento Multimercado</t>
        </is>
      </c>
      <c r="C51" s="4" t="inlineStr">
        <is>
          <t>34.507.447/0001-73</t>
        </is>
      </c>
      <c r="D51" s="4" t="inlineStr">
        <is>
          <t>Previdência Multimercado Livre</t>
        </is>
      </c>
      <c r="E51" s="4" t="inlineStr">
        <is>
          <t>Multiestratégia</t>
        </is>
      </c>
      <c r="F51" s="4" t="inlineStr">
        <is>
          <t>XP ADVISORY GESTAO DE RECURSOS LTDA</t>
        </is>
      </c>
      <c r="G51" s="4" t="inlineStr">
        <is>
          <t>Própria</t>
        </is>
      </c>
      <c r="H51" s="8" t="n">
        <v>1</v>
      </c>
      <c r="I51" s="7" t="n">
        <v>100</v>
      </c>
      <c r="J51" s="5" t="n">
        <v>3</v>
      </c>
      <c r="K51" s="4" t="inlineStr">
        <is>
          <t>Em Funcionamento Normal</t>
        </is>
      </c>
      <c r="L51" s="4" t="inlineStr">
        <is>
          <t>Site (navegador)</t>
        </is>
      </c>
    </row>
    <row r="52">
      <c r="A52" s="4" t="inlineStr">
        <is>
          <t>XP Investimentos</t>
        </is>
      </c>
      <c r="B52" s="4" t="inlineStr">
        <is>
          <t>Kinea Apolo Advisory Xp Seg Prev Fic Fim Rl</t>
        </is>
      </c>
      <c r="C52" s="4" t="inlineStr">
        <is>
          <t>35.162.484/0001-50</t>
        </is>
      </c>
      <c r="D52" s="4" t="inlineStr">
        <is>
          <t>Previdência Multimercado Livre</t>
        </is>
      </c>
      <c r="E52" s="4" t="inlineStr">
        <is>
          <t>Macro Baixa Vol</t>
        </is>
      </c>
      <c r="F52" s="4" t="inlineStr">
        <is>
          <t>XP VIDA E PREVIDÊNCIA S.A.</t>
        </is>
      </c>
      <c r="G52" s="4" t="inlineStr">
        <is>
          <t>Própria</t>
        </is>
      </c>
      <c r="H52" s="8" t="n">
        <v>0.8</v>
      </c>
      <c r="I52" s="7" t="n">
        <v>100</v>
      </c>
      <c r="J52" s="5" t="n">
        <v>1</v>
      </c>
      <c r="K52" s="4" t="inlineStr">
        <is>
          <t>Em Funcionamento Normal</t>
        </is>
      </c>
      <c r="L52" s="4" t="inlineStr">
        <is>
          <t>Site (navegador)</t>
        </is>
      </c>
    </row>
    <row r="53">
      <c r="A53" s="4" t="inlineStr">
        <is>
          <t>XP Investimentos</t>
        </is>
      </c>
      <c r="B53" s="4" t="inlineStr">
        <is>
          <t>Selection Multimercado XP Seg FIC FIM</t>
        </is>
      </c>
      <c r="C53" s="4" t="inlineStr">
        <is>
          <t>35.386.842/0001-08</t>
        </is>
      </c>
      <c r="D53" s="4" t="inlineStr">
        <is>
          <t>Previdência Multimercado Livre</t>
        </is>
      </c>
      <c r="E53" s="4" t="inlineStr">
        <is>
          <t>Multiestratégia</t>
        </is>
      </c>
      <c r="F53" s="4" t="inlineStr">
        <is>
          <t>XP ADVISORY GESTAO DE RECURSOS LTDA</t>
        </is>
      </c>
      <c r="G53" s="4" t="inlineStr">
        <is>
          <t>Própria</t>
        </is>
      </c>
      <c r="H53" s="8" t="n">
        <v>0.8</v>
      </c>
      <c r="I53" s="7" t="n">
        <v>100</v>
      </c>
      <c r="J53" s="5" t="n">
        <v>2</v>
      </c>
      <c r="K53" s="4" t="inlineStr">
        <is>
          <t>Em Funcionamento Normal</t>
        </is>
      </c>
      <c r="L53" s="4" t="inlineStr">
        <is>
          <t>Site (navegador)</t>
        </is>
      </c>
    </row>
    <row r="54">
      <c r="A54" s="4" t="inlineStr">
        <is>
          <t>XP Investimentos</t>
        </is>
      </c>
      <c r="B54" s="4" t="inlineStr">
        <is>
          <t>XP Seg Superprev FIM</t>
        </is>
      </c>
      <c r="C54" s="4" t="inlineStr">
        <is>
          <t>35.420.569/0001-90</t>
        </is>
      </c>
      <c r="D54" s="4" t="inlineStr">
        <is>
          <t>Previdência Multimercado Livre</t>
        </is>
      </c>
      <c r="E54" s="4" t="inlineStr">
        <is>
          <t>Multiestratégia</t>
        </is>
      </c>
      <c r="F54" s="4" t="inlineStr">
        <is>
          <t>XP VIDA E PREVIDÊNCIA S.A.</t>
        </is>
      </c>
      <c r="G54" s="4" t="inlineStr">
        <is>
          <t>Própria</t>
        </is>
      </c>
      <c r="H54" s="8" t="n">
        <v>0.6</v>
      </c>
      <c r="I54" s="7" t="n">
        <v>100</v>
      </c>
      <c r="J54" s="5" t="n">
        <v>2</v>
      </c>
      <c r="K54" s="4" t="inlineStr">
        <is>
          <t>Em Funcionamento Normal</t>
        </is>
      </c>
      <c r="L54" s="4" t="inlineStr">
        <is>
          <t>Site (navegador)</t>
        </is>
      </c>
    </row>
    <row r="55">
      <c r="A55" s="4" t="inlineStr">
        <is>
          <t>XP Investimentos</t>
        </is>
      </c>
      <c r="B55" s="4" t="inlineStr">
        <is>
          <t>DNA Energy Prev XP Seg FIM</t>
        </is>
      </c>
      <c r="C55" s="4" t="inlineStr">
        <is>
          <t>35.420.731/0001-70</t>
        </is>
      </c>
      <c r="D55" s="4" t="inlineStr">
        <is>
          <t>Previdência Multimercado Livre</t>
        </is>
      </c>
      <c r="E55" s="4" t="inlineStr">
        <is>
          <t>Multiestratégia</t>
        </is>
      </c>
      <c r="F55" s="4" t="inlineStr">
        <is>
          <t>XP ADVISORY GESTAO DE RECURSOS LTDA</t>
        </is>
      </c>
      <c r="G55" s="4" t="inlineStr">
        <is>
          <t>Própria</t>
        </is>
      </c>
      <c r="H55" s="8" t="n">
        <v>0.8</v>
      </c>
      <c r="I55" s="7" t="n">
        <v>100</v>
      </c>
      <c r="J55" s="5" t="n">
        <v>3</v>
      </c>
      <c r="K55" s="4" t="inlineStr">
        <is>
          <t>Em Funcionamento Normal</t>
        </is>
      </c>
      <c r="L55" s="4" t="inlineStr">
        <is>
          <t>Site (navegador)</t>
        </is>
      </c>
    </row>
    <row r="56">
      <c r="A56" s="4" t="inlineStr">
        <is>
          <t>XP Investimentos</t>
        </is>
      </c>
      <c r="B56" s="4" t="inlineStr">
        <is>
          <t>Constellation XP Seg 100 Prev FIC FIM</t>
        </is>
      </c>
      <c r="C56" s="4" t="inlineStr">
        <is>
          <t>35.651.477/0001-11</t>
        </is>
      </c>
      <c r="D56" s="4" t="inlineStr">
        <is>
          <t>Previdência Multimercado Livre</t>
        </is>
      </c>
      <c r="E56" s="4" t="inlineStr">
        <is>
          <t>Renda Variável Long Only</t>
        </is>
      </c>
      <c r="F56" s="4" t="inlineStr">
        <is>
          <t>CONSTELLATION INVESTIMENTOS E PARTICIPAÇÕES LTDA</t>
        </is>
      </c>
      <c r="G56" s="4" t="inlineStr">
        <is>
          <t>Terceiros</t>
        </is>
      </c>
      <c r="H56" s="8" t="n">
        <v>2</v>
      </c>
      <c r="I56" s="7" t="n">
        <v>1000</v>
      </c>
      <c r="J56" s="5" t="n">
        <v>2</v>
      </c>
      <c r="K56" s="4" t="inlineStr">
        <is>
          <t>Em Funcionamento Normal</t>
        </is>
      </c>
      <c r="L56" s="4" t="inlineStr">
        <is>
          <t>Site (navegador)</t>
        </is>
      </c>
    </row>
    <row r="57">
      <c r="A57" s="4" t="inlineStr">
        <is>
          <t>XP Investimentos</t>
        </is>
      </c>
      <c r="B57" s="4" t="inlineStr">
        <is>
          <t>JGP Ações 100 Prev XP Seg FIC FIA</t>
        </is>
      </c>
      <c r="C57" s="4" t="inlineStr">
        <is>
          <t>35.704.530/0001-03</t>
        </is>
      </c>
      <c r="D57" s="4" t="inlineStr">
        <is>
          <t>Previdência Ações Ativo</t>
        </is>
      </c>
      <c r="E57" s="4" t="inlineStr">
        <is>
          <t>Renda Variável Long Only</t>
        </is>
      </c>
      <c r="F57" s="4" t="inlineStr">
        <is>
          <t>JGP GESTÃO DE RECURSOS LTDA</t>
        </is>
      </c>
      <c r="G57" s="4" t="inlineStr">
        <is>
          <t>Terceiros</t>
        </is>
      </c>
      <c r="H57" s="8" t="n">
        <v>2</v>
      </c>
      <c r="I57" s="7" t="n">
        <v>100</v>
      </c>
      <c r="J57" s="5" t="n">
        <v>2</v>
      </c>
      <c r="K57" s="4" t="inlineStr">
        <is>
          <t>Em Funcionamento Normal</t>
        </is>
      </c>
      <c r="L57" s="4" t="inlineStr">
        <is>
          <t>Site (navegador)</t>
        </is>
      </c>
    </row>
    <row r="58">
      <c r="A58" s="4" t="inlineStr">
        <is>
          <t>XP Investimentos</t>
        </is>
      </c>
      <c r="B58" s="4" t="inlineStr">
        <is>
          <t>Xp Long Biased Advisory Xp Seg Fic Fim</t>
        </is>
      </c>
      <c r="C58" s="4" t="inlineStr">
        <is>
          <t>35.744.196/0001-03</t>
        </is>
      </c>
      <c r="D58" s="4" t="inlineStr">
        <is>
          <t>Previdência Multimercado Livre</t>
        </is>
      </c>
      <c r="E58" s="4" t="inlineStr">
        <is>
          <t>Renda Variável Long Biased</t>
        </is>
      </c>
      <c r="F58" s="4" t="inlineStr">
        <is>
          <t>XP GESTÃO DE RECURSOS LTDA</t>
        </is>
      </c>
      <c r="G58" s="4" t="inlineStr">
        <is>
          <t>Própria</t>
        </is>
      </c>
      <c r="H58" s="8" t="n">
        <v>2</v>
      </c>
      <c r="I58" s="7" t="n">
        <v>100</v>
      </c>
      <c r="J58" s="5" t="n">
        <v>2</v>
      </c>
      <c r="K58" s="4" t="inlineStr">
        <is>
          <t>Em Funcionamento Normal</t>
        </is>
      </c>
      <c r="L58" s="4" t="inlineStr">
        <is>
          <t>Site (navegador)</t>
        </is>
      </c>
    </row>
    <row r="59">
      <c r="A59" s="4" t="inlineStr">
        <is>
          <t>XP Investimentos</t>
        </is>
      </c>
      <c r="B59" s="4" t="inlineStr">
        <is>
          <t>Alaska Black 70 Advisory XP Seg Prev FIC FIM</t>
        </is>
      </c>
      <c r="C59" s="4" t="inlineStr">
        <is>
          <t>35.939.700/0001-20</t>
        </is>
      </c>
      <c r="D59" s="4" t="inlineStr">
        <is>
          <t>Previdência Multimercado Livre</t>
        </is>
      </c>
      <c r="E59" s="4" t="inlineStr">
        <is>
          <t>Renda Variável Long Only</t>
        </is>
      </c>
      <c r="F59" s="4" t="inlineStr">
        <is>
          <t>ALASKA INVESTIMENTOS LTDA.</t>
        </is>
      </c>
      <c r="G59" s="4" t="inlineStr">
        <is>
          <t>Terceiros</t>
        </is>
      </c>
      <c r="H59" s="8" t="n">
        <v>1.5</v>
      </c>
      <c r="I59" s="7" t="n">
        <v>100</v>
      </c>
      <c r="J59" s="5" t="n">
        <v>2</v>
      </c>
      <c r="K59" s="4" t="inlineStr">
        <is>
          <t>Em Funcionamento Normal</t>
        </is>
      </c>
      <c r="L59" s="4" t="inlineStr">
        <is>
          <t>Site (navegador)</t>
        </is>
      </c>
    </row>
    <row r="60">
      <c r="A60" s="4" t="inlineStr">
        <is>
          <t>XP Investimentos</t>
        </is>
      </c>
      <c r="B60" s="4" t="inlineStr">
        <is>
          <t>Alaska Black 100 Advisory XP Seg Prev FIC FIM</t>
        </is>
      </c>
      <c r="C60" s="4" t="inlineStr">
        <is>
          <t>35.939.857/0001-56</t>
        </is>
      </c>
      <c r="D60" s="4" t="inlineStr">
        <is>
          <t>Previdência Multimercado Livre</t>
        </is>
      </c>
      <c r="E60" s="4" t="inlineStr">
        <is>
          <t>Renda Variável Long Only</t>
        </is>
      </c>
      <c r="F60" s="4" t="inlineStr">
        <is>
          <t>ALASKA INVESTIMENTOS LTDA.</t>
        </is>
      </c>
      <c r="G60" s="4" t="inlineStr">
        <is>
          <t>Terceiros</t>
        </is>
      </c>
      <c r="H60" s="8" t="n">
        <v>1.5</v>
      </c>
      <c r="I60" s="7" t="n">
        <v>100</v>
      </c>
      <c r="J60" s="5" t="n">
        <v>2</v>
      </c>
      <c r="K60" s="4" t="inlineStr">
        <is>
          <t>Em Funcionamento Normal</t>
        </is>
      </c>
      <c r="L60" s="4" t="inlineStr">
        <is>
          <t>Site (navegador)</t>
        </is>
      </c>
    </row>
    <row r="61">
      <c r="A61" s="4" t="inlineStr">
        <is>
          <t>XP Investimentos</t>
        </is>
      </c>
      <c r="B61" s="4" t="inlineStr">
        <is>
          <t>Capitânia Reit Prev Adv XP Seg FIE I FIC FIM CP</t>
        </is>
      </c>
      <c r="C61" s="4" t="inlineStr">
        <is>
          <t>35.955.948/0001-85</t>
        </is>
      </c>
      <c r="D61" s="4" t="inlineStr">
        <is>
          <t>Previdência Multimercado Livre</t>
        </is>
      </c>
      <c r="E61" s="4" t="inlineStr">
        <is>
          <t>Crédito Híbrido</t>
        </is>
      </c>
      <c r="F61" s="4" t="inlineStr">
        <is>
          <t>CAPITANIA PREV S.A.</t>
        </is>
      </c>
      <c r="G61" s="4" t="inlineStr">
        <is>
          <t>Terceiros</t>
        </is>
      </c>
      <c r="H61" s="8" t="n">
        <v>1.25</v>
      </c>
      <c r="I61" s="7" t="n">
        <v>100</v>
      </c>
      <c r="J61" s="5" t="n">
        <v>1</v>
      </c>
      <c r="K61" s="4" t="inlineStr">
        <is>
          <t>Em Funcionamento Normal</t>
        </is>
      </c>
      <c r="L61" s="4" t="inlineStr">
        <is>
          <t>Site (navegador)</t>
        </is>
      </c>
    </row>
    <row r="62">
      <c r="A62" s="4" t="inlineStr">
        <is>
          <t>XP Investimentos</t>
        </is>
      </c>
      <c r="B62" s="4" t="inlineStr">
        <is>
          <t>IP Prev XP Seg IQ FIC FIM</t>
        </is>
      </c>
      <c r="C62" s="4" t="inlineStr">
        <is>
          <t>35.955.960/0001-90</t>
        </is>
      </c>
      <c r="D62" s="4" t="inlineStr">
        <is>
          <t>Previdência Multimercado Livre</t>
        </is>
      </c>
      <c r="E62" s="4" t="inlineStr">
        <is>
          <t>Renda Variável Long Only</t>
        </is>
      </c>
      <c r="F62" s="4" t="inlineStr">
        <is>
          <t>INVESTIDOR PROFISSIONAL GESTÃO DE RECURSOS LTDA</t>
        </is>
      </c>
      <c r="G62" s="4" t="inlineStr">
        <is>
          <t>Terceiros</t>
        </is>
      </c>
      <c r="H62" s="8" t="n">
        <v>2</v>
      </c>
      <c r="I62" s="7" t="n">
        <v>100</v>
      </c>
      <c r="J62" s="5" t="n">
        <v>2</v>
      </c>
      <c r="K62" s="4" t="inlineStr">
        <is>
          <t>Em Funcionamento Normal</t>
        </is>
      </c>
      <c r="L62" s="4" t="inlineStr">
        <is>
          <t>Site (navegador)</t>
        </is>
      </c>
    </row>
    <row r="63">
      <c r="A63" s="4" t="inlineStr">
        <is>
          <t>XP Investimentos</t>
        </is>
      </c>
      <c r="B63" s="4" t="inlineStr">
        <is>
          <t>Athena XP Seg Prev 100 FIE FIA</t>
        </is>
      </c>
      <c r="C63" s="4" t="inlineStr">
        <is>
          <t>35.956.270/0001-55</t>
        </is>
      </c>
      <c r="D63" s="4" t="inlineStr">
        <is>
          <t>Previdência Ações Ativo</t>
        </is>
      </c>
      <c r="E63" s="4" t="inlineStr">
        <is>
          <t>Renda Variável Long Only</t>
        </is>
      </c>
      <c r="F63" s="4" t="inlineStr">
        <is>
          <t>SUL AMÉRICA INVESTIMENTOS GESTORA DE RECURSOS S.A.</t>
        </is>
      </c>
      <c r="G63" s="4" t="inlineStr">
        <is>
          <t>Terceiros</t>
        </is>
      </c>
      <c r="H63" s="8" t="n">
        <v>2</v>
      </c>
      <c r="I63" s="7" t="n">
        <v>100</v>
      </c>
      <c r="J63" s="5" t="n">
        <v>2</v>
      </c>
      <c r="K63" s="4" t="inlineStr">
        <is>
          <t>Em Funcionamento Normal</t>
        </is>
      </c>
      <c r="L63" s="4" t="inlineStr">
        <is>
          <t>Site (navegador)</t>
        </is>
      </c>
    </row>
    <row r="64">
      <c r="A64" s="4" t="inlineStr">
        <is>
          <t>XP Investimentos</t>
        </is>
      </c>
      <c r="B64" s="4" t="inlineStr">
        <is>
          <t>Gap Absoluto XP Seg IQ FIC FIM</t>
        </is>
      </c>
      <c r="C64" s="4" t="inlineStr">
        <is>
          <t>35.956.326/0001-71</t>
        </is>
      </c>
      <c r="D64" s="4" t="inlineStr">
        <is>
          <t>Previdência Multimercado Livre</t>
        </is>
      </c>
      <c r="E64" s="4" t="inlineStr">
        <is>
          <t>Macro Alta Vol</t>
        </is>
      </c>
      <c r="F64" s="4" t="inlineStr">
        <is>
          <t>LEGACY CAPITAL GESTORA DE RECURSOS LTDA.</t>
        </is>
      </c>
      <c r="G64" s="4" t="inlineStr">
        <is>
          <t>Terceiros</t>
        </is>
      </c>
      <c r="H64" s="8" t="n">
        <v>2</v>
      </c>
      <c r="I64" s="7" t="n">
        <v>100</v>
      </c>
      <c r="J64" s="5" t="n">
        <v>1</v>
      </c>
      <c r="K64" s="4" t="inlineStr">
        <is>
          <t>Em Funcionamento Normal</t>
        </is>
      </c>
      <c r="L64" s="4" t="inlineStr">
        <is>
          <t>Site (navegador)</t>
        </is>
      </c>
    </row>
    <row r="65">
      <c r="A65" s="4" t="inlineStr">
        <is>
          <t>XP Investimentos</t>
        </is>
      </c>
      <c r="B65" s="4" t="inlineStr">
        <is>
          <t>Guepardo XP Seg Prev FIC FIM</t>
        </is>
      </c>
      <c r="C65" s="4" t="inlineStr">
        <is>
          <t>35.956.641/0001-07</t>
        </is>
      </c>
      <c r="D65" s="4" t="inlineStr">
        <is>
          <t>Previdência Multimercado Livre</t>
        </is>
      </c>
      <c r="E65" s="4" t="inlineStr">
        <is>
          <t>Renda Variável Long Only</t>
        </is>
      </c>
      <c r="F65" s="4" t="inlineStr">
        <is>
          <t>XP VIDA E PREVIDÊNCIA S.A.</t>
        </is>
      </c>
      <c r="G65" s="4" t="inlineStr">
        <is>
          <t>Própria</t>
        </is>
      </c>
      <c r="H65" s="8" t="n">
        <v>2</v>
      </c>
      <c r="I65" s="7" t="n">
        <v>100</v>
      </c>
      <c r="J65" s="5" t="n">
        <v>2</v>
      </c>
      <c r="K65" s="4" t="inlineStr">
        <is>
          <t>Em Funcionamento Normal</t>
        </is>
      </c>
      <c r="L65" s="4" t="inlineStr">
        <is>
          <t>Site (navegador)</t>
        </is>
      </c>
    </row>
    <row r="66">
      <c r="A66" s="4" t="inlineStr">
        <is>
          <t>XP Investimentos</t>
        </is>
      </c>
      <c r="B66" s="4" t="inlineStr">
        <is>
          <t>Sharp Equity Value 100 XP Seg Prev FIC FIM</t>
        </is>
      </c>
      <c r="C66" s="4" t="inlineStr">
        <is>
          <t>35.957.156/0001-40</t>
        </is>
      </c>
      <c r="D66" s="4" t="inlineStr">
        <is>
          <t>Previdência Multimercado Livre</t>
        </is>
      </c>
      <c r="E66" s="4" t="inlineStr">
        <is>
          <t>Renda Variável Long Biased</t>
        </is>
      </c>
      <c r="F66" s="4" t="inlineStr">
        <is>
          <t>XP VIDA E PREVIDÊNCIA S.A.</t>
        </is>
      </c>
      <c r="G66" s="4" t="inlineStr">
        <is>
          <t>Própria</t>
        </is>
      </c>
      <c r="H66" s="8" t="n">
        <v>2</v>
      </c>
      <c r="I66" s="7" t="n">
        <v>100</v>
      </c>
      <c r="J66" s="5" t="n">
        <v>2</v>
      </c>
      <c r="K66" s="4" t="inlineStr">
        <is>
          <t>Em Funcionamento Normal</t>
        </is>
      </c>
      <c r="L66" s="4" t="inlineStr">
        <is>
          <t>Site (navegador)</t>
        </is>
      </c>
    </row>
    <row r="67">
      <c r="A67" s="4" t="inlineStr">
        <is>
          <t>XP Investimentos</t>
        </is>
      </c>
      <c r="B67" s="4" t="inlineStr">
        <is>
          <t>Dahlia 100 Advisory XP Seg Prev FIC FIM</t>
        </is>
      </c>
      <c r="C67" s="4" t="inlineStr">
        <is>
          <t>36.327.214/0001-14</t>
        </is>
      </c>
      <c r="D67" s="4" t="inlineStr">
        <is>
          <t>Previdência Multimercado Livre</t>
        </is>
      </c>
      <c r="E67" s="4" t="inlineStr">
        <is>
          <t>Renda Variável Long Only</t>
        </is>
      </c>
      <c r="F67" s="4" t="inlineStr">
        <is>
          <t>DAHLIA CAPITAL GESTÃO DE RECURSOS LTDA.</t>
        </is>
      </c>
      <c r="G67" s="4" t="inlineStr">
        <is>
          <t>Terceiros</t>
        </is>
      </c>
      <c r="H67" s="8" t="n">
        <v>2</v>
      </c>
      <c r="I67" s="7" t="n">
        <v>100</v>
      </c>
      <c r="J67" s="5" t="n">
        <v>2</v>
      </c>
      <c r="K67" s="4" t="inlineStr">
        <is>
          <t>Em Funcionamento Normal</t>
        </is>
      </c>
      <c r="L67" s="4" t="inlineStr">
        <is>
          <t>Site (navegador)</t>
        </is>
      </c>
    </row>
    <row r="68">
      <c r="A68" s="4" t="inlineStr">
        <is>
          <t>XP Investimentos</t>
        </is>
      </c>
      <c r="B68" s="4" t="inlineStr">
        <is>
          <t>Mantaro LB Prev Advisory XP Seg FIC FIM</t>
        </is>
      </c>
      <c r="C68" s="4" t="inlineStr">
        <is>
          <t>36.327.253/0001-11</t>
        </is>
      </c>
      <c r="D68" s="4" t="inlineStr">
        <is>
          <t>Previdência Multimercado Livre</t>
        </is>
      </c>
      <c r="E68" s="4" t="inlineStr">
        <is>
          <t>Renda Variável Long Biased</t>
        </is>
      </c>
      <c r="F68" s="4" t="inlineStr">
        <is>
          <t>MANTARO CAPITAL LTDA</t>
        </is>
      </c>
      <c r="G68" s="4" t="inlineStr">
        <is>
          <t>Terceiros</t>
        </is>
      </c>
      <c r="H68" s="8" t="n">
        <v>2</v>
      </c>
      <c r="I68" s="7" t="n">
        <v>100</v>
      </c>
      <c r="J68" s="5" t="n">
        <v>2</v>
      </c>
      <c r="K68" s="4" t="inlineStr">
        <is>
          <t>Em Funcionamento Normal</t>
        </is>
      </c>
      <c r="L68" s="4" t="inlineStr">
        <is>
          <t>Site (navegador)</t>
        </is>
      </c>
    </row>
    <row r="69">
      <c r="A69" s="4" t="inlineStr">
        <is>
          <t>XP Investimentos</t>
        </is>
      </c>
      <c r="B69" s="4" t="inlineStr">
        <is>
          <t>Kiron Prev XP Seg FIE FIA</t>
        </is>
      </c>
      <c r="C69" s="4" t="inlineStr">
        <is>
          <t>36.352.287/0001-66</t>
        </is>
      </c>
      <c r="D69" s="4" t="inlineStr">
        <is>
          <t>Previdência Ações Ativo</t>
        </is>
      </c>
      <c r="E69" s="4" t="inlineStr">
        <is>
          <t>Renda Variável Long Only</t>
        </is>
      </c>
      <c r="F69" s="4" t="inlineStr">
        <is>
          <t>KIRON CAPITAL GESTÃO DE RECURSOS LTDA.</t>
        </is>
      </c>
      <c r="G69" s="4" t="inlineStr">
        <is>
          <t>Terceiros</t>
        </is>
      </c>
      <c r="H69" s="8" t="n">
        <v>2</v>
      </c>
      <c r="I69" s="7" t="n">
        <v>100</v>
      </c>
      <c r="J69" s="5" t="n">
        <v>2</v>
      </c>
      <c r="K69" s="4" t="inlineStr">
        <is>
          <t>Em Funcionamento Normal</t>
        </is>
      </c>
      <c r="L69" s="4" t="inlineStr">
        <is>
          <t>Site (navegador)</t>
        </is>
      </c>
    </row>
    <row r="70">
      <c r="A70" s="4" t="inlineStr">
        <is>
          <t>XP Investimentos</t>
        </is>
      </c>
      <c r="B70" s="4" t="inlineStr">
        <is>
          <t>XP Crédito Estruturado XP Seg Prev FIC FIRF</t>
        </is>
      </c>
      <c r="C70" s="4" t="inlineStr">
        <is>
          <t>36.352.610/0001-00</t>
        </is>
      </c>
      <c r="D70" s="4" t="inlineStr">
        <is>
          <t>Previdência RF Duração Livre Crédito Liv</t>
        </is>
      </c>
      <c r="E70" s="4" t="inlineStr">
        <is>
          <t>Crédito High Yield</t>
        </is>
      </c>
      <c r="F70" s="4" t="inlineStr">
        <is>
          <t>XP VIDA E PREVIDÊNCIA S.A.</t>
        </is>
      </c>
      <c r="G70" s="4" t="inlineStr">
        <is>
          <t>Própria</t>
        </is>
      </c>
      <c r="H70" s="8" t="n">
        <v>0.5</v>
      </c>
      <c r="I70" s="7" t="n">
        <v>100</v>
      </c>
      <c r="J70" s="5" t="n">
        <v>2</v>
      </c>
      <c r="K70" s="4" t="inlineStr">
        <is>
          <t>Em Funcionamento Normal</t>
        </is>
      </c>
      <c r="L70" s="4" t="inlineStr">
        <is>
          <t>Site (navegador)</t>
        </is>
      </c>
    </row>
    <row r="71">
      <c r="A71" s="4" t="inlineStr">
        <is>
          <t>XP Investimentos</t>
        </is>
      </c>
      <c r="B71" s="4" t="inlineStr">
        <is>
          <t>Ibiuna Prev Xp Seg Ficfim</t>
        </is>
      </c>
      <c r="C71" s="4" t="inlineStr">
        <is>
          <t>36.620.088/0001-91</t>
        </is>
      </c>
      <c r="D71" s="4" t="inlineStr">
        <is>
          <t>Previdência Multimercado Livre</t>
        </is>
      </c>
      <c r="E71" s="4" t="inlineStr">
        <is>
          <t>Macro Média Vol</t>
        </is>
      </c>
      <c r="F71" s="4" t="inlineStr">
        <is>
          <t>XP VIDA E PREVIDÊNCIA S.A.</t>
        </is>
      </c>
      <c r="G71" s="4" t="inlineStr">
        <is>
          <t>Própria</t>
        </is>
      </c>
      <c r="H71" s="8" t="n">
        <v>1.96</v>
      </c>
      <c r="I71" s="7" t="n">
        <v>100</v>
      </c>
      <c r="J71" s="5" t="n">
        <v>2</v>
      </c>
      <c r="K71" s="4" t="inlineStr">
        <is>
          <t>Em Funcionamento Normal</t>
        </is>
      </c>
      <c r="L71" s="4" t="inlineStr">
        <is>
          <t>Site (navegador)</t>
        </is>
      </c>
    </row>
    <row r="72">
      <c r="A72" s="4" t="inlineStr">
        <is>
          <t>XP Investimentos</t>
        </is>
      </c>
      <c r="B72" s="4" t="inlineStr">
        <is>
          <t>Moat Prev XP Seg FICFIA</t>
        </is>
      </c>
      <c r="C72" s="4" t="inlineStr">
        <is>
          <t>37.037.432/0001-87</t>
        </is>
      </c>
      <c r="D72" s="4" t="inlineStr">
        <is>
          <t>Previdência Ações Ativo</t>
        </is>
      </c>
      <c r="E72" s="4" t="inlineStr">
        <is>
          <t>Renda Variável Long Only</t>
        </is>
      </c>
      <c r="F72" s="4" t="inlineStr">
        <is>
          <t>MOAT CAPITAL GESTÃO DE RECURSOS LTDA</t>
        </is>
      </c>
      <c r="G72" s="4" t="inlineStr">
        <is>
          <t>Terceiros</t>
        </is>
      </c>
      <c r="H72" s="8" t="n">
        <v>2</v>
      </c>
      <c r="I72" s="7" t="n">
        <v>100</v>
      </c>
      <c r="J72" s="5" t="n">
        <v>2</v>
      </c>
      <c r="K72" s="4" t="inlineStr">
        <is>
          <t>Em Funcionamento Normal</t>
        </is>
      </c>
      <c r="L72" s="4" t="inlineStr">
        <is>
          <t>Site (navegador)</t>
        </is>
      </c>
    </row>
    <row r="73">
      <c r="A73" s="4" t="inlineStr">
        <is>
          <t>XP Investimentos</t>
        </is>
      </c>
      <c r="B73" s="4" t="inlineStr">
        <is>
          <t>Kinea Prev XP Seg IPCA Dinâmico FICFI RF</t>
        </is>
      </c>
      <c r="C73" s="4" t="inlineStr">
        <is>
          <t>37.053.502/0001-90</t>
        </is>
      </c>
      <c r="D73" s="4" t="inlineStr">
        <is>
          <t>Previdência RF Duração Livre Crédito Liv</t>
        </is>
      </c>
      <c r="E73" s="4" t="inlineStr">
        <is>
          <t>Renda Fixa Ativo</t>
        </is>
      </c>
      <c r="F73" s="4" t="inlineStr">
        <is>
          <t>XP VIDA E PREVIDÊNCIA S.A.</t>
        </is>
      </c>
      <c r="G73" s="4" t="inlineStr">
        <is>
          <t>Própria</t>
        </is>
      </c>
      <c r="H73" s="8" t="n">
        <v>1</v>
      </c>
      <c r="I73" s="7" t="n">
        <v>100</v>
      </c>
      <c r="J73" s="5" t="n">
        <v>1</v>
      </c>
      <c r="K73" s="4" t="inlineStr">
        <is>
          <t>Em Funcionamento Normal</t>
        </is>
      </c>
      <c r="L73" s="4" t="inlineStr">
        <is>
          <t>Site (navegador)</t>
        </is>
      </c>
    </row>
    <row r="74">
      <c r="A74" s="4" t="inlineStr">
        <is>
          <t>XP Investimentos</t>
        </is>
      </c>
      <c r="B74" s="4" t="inlineStr">
        <is>
          <t>Apex Long Biased XP Seg Advisory Prev FIC FIM RL</t>
        </is>
      </c>
      <c r="C74" s="4" t="inlineStr">
        <is>
          <t>37.124.157/0001-39</t>
        </is>
      </c>
      <c r="D74" s="4" t="inlineStr">
        <is>
          <t>Previdência Multimercado Livre</t>
        </is>
      </c>
      <c r="E74" s="4" t="inlineStr">
        <is>
          <t>Renda Variável Long Biased</t>
        </is>
      </c>
      <c r="F74" s="4" t="inlineStr">
        <is>
          <t>XP VIDA E PREVIDÊNCIA S.A.</t>
        </is>
      </c>
      <c r="G74" s="4" t="inlineStr">
        <is>
          <t>Própria</t>
        </is>
      </c>
      <c r="H74" s="8" t="n">
        <v>2</v>
      </c>
      <c r="I74" s="7" t="n">
        <v>100</v>
      </c>
      <c r="J74" s="5" t="n">
        <v>2</v>
      </c>
      <c r="K74" s="4" t="inlineStr">
        <is>
          <t>Em Funcionamento Normal</t>
        </is>
      </c>
      <c r="L74" s="4" t="inlineStr">
        <is>
          <t>Site (navegador)</t>
        </is>
      </c>
    </row>
    <row r="75">
      <c r="A75" s="4" t="inlineStr">
        <is>
          <t>XP Investimentos</t>
        </is>
      </c>
      <c r="B75" s="4" t="inlineStr">
        <is>
          <t>Absolute Endurance XP Seg FICFIA Prev</t>
        </is>
      </c>
      <c r="C75" s="4" t="inlineStr">
        <is>
          <t>37.355.605/0001-05</t>
        </is>
      </c>
      <c r="D75" s="4" t="inlineStr">
        <is>
          <t>Previdência Ações Ativo</t>
        </is>
      </c>
      <c r="E75" s="4" t="inlineStr">
        <is>
          <t>Renda Variável Long Only</t>
        </is>
      </c>
      <c r="F75" s="4" t="inlineStr">
        <is>
          <t>ABSOLUTE GESTAO DE INVESTIMENTOS LTDA</t>
        </is>
      </c>
      <c r="G75" s="4" t="inlineStr">
        <is>
          <t>Terceiros</t>
        </is>
      </c>
      <c r="H75" s="8" t="n">
        <v>2</v>
      </c>
      <c r="I75" s="7" t="n">
        <v>100</v>
      </c>
      <c r="J75" s="5" t="n">
        <v>2</v>
      </c>
      <c r="K75" s="4" t="inlineStr">
        <is>
          <t>Em Funcionamento Normal</t>
        </is>
      </c>
      <c r="L75" s="4" t="inlineStr">
        <is>
          <t>Site (navegador)</t>
        </is>
      </c>
    </row>
    <row r="76">
      <c r="A76" s="4" t="inlineStr">
        <is>
          <t>XP Investimentos</t>
        </is>
      </c>
      <c r="B76" s="4" t="inlineStr">
        <is>
          <t>Claritas Total Return XP Seg Prev FIE FIC FIM</t>
        </is>
      </c>
      <c r="C76" s="4" t="inlineStr">
        <is>
          <t>37.396.828/0001-10</t>
        </is>
      </c>
      <c r="D76" s="4" t="inlineStr"/>
      <c r="E76" s="4" t="inlineStr">
        <is>
          <t>Macro Alta Vol</t>
        </is>
      </c>
      <c r="F76" s="4" t="inlineStr">
        <is>
          <t>Claritas Investimentos (OLD)</t>
        </is>
      </c>
      <c r="G76" s="4" t="inlineStr">
        <is>
          <t>Terceiros</t>
        </is>
      </c>
      <c r="H76" s="8" t="n">
        <v>2</v>
      </c>
      <c r="I76" s="7" t="n">
        <v>100</v>
      </c>
      <c r="J76" s="5" t="n">
        <v>2</v>
      </c>
      <c r="K76" s="4" t="inlineStr"/>
      <c r="L76" s="4" t="inlineStr">
        <is>
          <t>Site (navegador)</t>
        </is>
      </c>
    </row>
    <row r="77">
      <c r="A77" s="4" t="inlineStr">
        <is>
          <t>XP Investimentos</t>
        </is>
      </c>
      <c r="B77" s="4" t="inlineStr">
        <is>
          <t>Ace Capital Prev Iq Xp Seg Fic Fim</t>
        </is>
      </c>
      <c r="C77" s="4" t="inlineStr">
        <is>
          <t>37.541.379/0001-57</t>
        </is>
      </c>
      <c r="D77" s="4" t="inlineStr">
        <is>
          <t>Previdência Multimercado Livre</t>
        </is>
      </c>
      <c r="E77" s="4" t="inlineStr">
        <is>
          <t>Macro Média Vol</t>
        </is>
      </c>
      <c r="F77" s="4" t="inlineStr">
        <is>
          <t>ACE CAPITAL GESTORA DE RECURSOS LTDA.</t>
        </is>
      </c>
      <c r="G77" s="4" t="inlineStr">
        <is>
          <t>Terceiros</t>
        </is>
      </c>
      <c r="H77" s="8" t="n">
        <v>2</v>
      </c>
      <c r="I77" s="7" t="n">
        <v>100</v>
      </c>
      <c r="J77" s="5" t="n">
        <v>1</v>
      </c>
      <c r="K77" s="4" t="inlineStr">
        <is>
          <t>Em Funcionamento Normal</t>
        </is>
      </c>
      <c r="L77" s="4" t="inlineStr">
        <is>
          <t>Site (navegador)</t>
        </is>
      </c>
    </row>
    <row r="78">
      <c r="A78" s="4" t="inlineStr">
        <is>
          <t>XP Investimentos</t>
        </is>
      </c>
      <c r="B78" s="4" t="inlineStr">
        <is>
          <t>RPS Prev Ações XP Seg FICFI</t>
        </is>
      </c>
      <c r="C78" s="4" t="inlineStr">
        <is>
          <t>37.567.399/0001-05</t>
        </is>
      </c>
      <c r="D78" s="4" t="inlineStr">
        <is>
          <t>Previdência Ações Ativo</t>
        </is>
      </c>
      <c r="E78" s="4" t="inlineStr">
        <is>
          <t>Renda Variável Long Only</t>
        </is>
      </c>
      <c r="F78" s="4" t="inlineStr">
        <is>
          <t>RPS CAPITAL ADMINISTRADORA DE RECURSOS LTDA</t>
        </is>
      </c>
      <c r="G78" s="4" t="inlineStr">
        <is>
          <t>Terceiros</t>
        </is>
      </c>
      <c r="H78" s="8" t="n">
        <v>2</v>
      </c>
      <c r="I78" s="7" t="n">
        <v>100</v>
      </c>
      <c r="J78" s="5" t="n">
        <v>2</v>
      </c>
      <c r="K78" s="4" t="inlineStr">
        <is>
          <t>Em Funcionamento Normal</t>
        </is>
      </c>
      <c r="L78" s="4" t="inlineStr">
        <is>
          <t>Site (navegador)</t>
        </is>
      </c>
    </row>
    <row r="79">
      <c r="A79" s="4" t="inlineStr">
        <is>
          <t>XP Investimentos</t>
        </is>
      </c>
      <c r="B79" s="4" t="inlineStr">
        <is>
          <t>Dahlia Global 50 Advisory XP Seg Prev FIC FIM</t>
        </is>
      </c>
      <c r="C79" s="4" t="inlineStr">
        <is>
          <t>37.645.515/0001-59</t>
        </is>
      </c>
      <c r="D79" s="4" t="inlineStr">
        <is>
          <t>Previdência Multimercado Livre</t>
        </is>
      </c>
      <c r="E79" s="4" t="inlineStr">
        <is>
          <t>Internacional Multimercado Não Hedgeado</t>
        </is>
      </c>
      <c r="F79" s="4" t="inlineStr">
        <is>
          <t>DAHLIA CAPITAL GESTÃO DE RECURSOS LTDA.</t>
        </is>
      </c>
      <c r="G79" s="4" t="inlineStr">
        <is>
          <t>Terceiros</t>
        </is>
      </c>
      <c r="H79" s="8" t="n">
        <v>1.25</v>
      </c>
      <c r="I79" s="7" t="n">
        <v>100</v>
      </c>
      <c r="J79" s="5" t="n">
        <v>2</v>
      </c>
      <c r="K79" s="4" t="inlineStr">
        <is>
          <t>Em Funcionamento Normal</t>
        </is>
      </c>
      <c r="L79" s="4" t="inlineStr">
        <is>
          <t>Site (navegador)</t>
        </is>
      </c>
    </row>
    <row r="80">
      <c r="A80" s="4" t="inlineStr">
        <is>
          <t>XP Investimentos</t>
        </is>
      </c>
      <c r="B80" s="4" t="inlineStr">
        <is>
          <t>Kinea Prev Atlas XP Seg FIC FIM</t>
        </is>
      </c>
      <c r="C80" s="4" t="inlineStr">
        <is>
          <t>37.728.799/0001-47</t>
        </is>
      </c>
      <c r="D80" s="4" t="inlineStr">
        <is>
          <t>Previdência Multimercado Livre</t>
        </is>
      </c>
      <c r="E80" s="4" t="inlineStr">
        <is>
          <t>Macro Alta Vol</t>
        </is>
      </c>
      <c r="F80" s="4" t="inlineStr">
        <is>
          <t>XP VIDA E PREVIDÊNCIA S.A.</t>
        </is>
      </c>
      <c r="G80" s="4" t="inlineStr">
        <is>
          <t>Própria</t>
        </is>
      </c>
      <c r="H80" s="8" t="n">
        <v>2</v>
      </c>
      <c r="I80" s="7" t="n">
        <v>100</v>
      </c>
      <c r="J80" s="5" t="n">
        <v>1</v>
      </c>
      <c r="K80" s="4" t="inlineStr">
        <is>
          <t>Em Funcionamento Normal</t>
        </is>
      </c>
      <c r="L80" s="4" t="inlineStr">
        <is>
          <t>Site (navegador)</t>
        </is>
      </c>
    </row>
    <row r="81">
      <c r="A81" s="4" t="inlineStr">
        <is>
          <t>XP Investimentos</t>
        </is>
      </c>
      <c r="B81" s="4" t="inlineStr">
        <is>
          <t>Truxt Valor XP Seguros Prev FICFIA</t>
        </is>
      </c>
      <c r="C81" s="4" t="inlineStr">
        <is>
          <t>37.893.248/0001-39</t>
        </is>
      </c>
      <c r="D81" s="4" t="inlineStr">
        <is>
          <t>Previdência Ações Ativo</t>
        </is>
      </c>
      <c r="E81" s="4" t="inlineStr">
        <is>
          <t>Renda Variável Long Only</t>
        </is>
      </c>
      <c r="F81" s="4" t="inlineStr">
        <is>
          <t>TRUXT INVESTIMENTOS LTDA.</t>
        </is>
      </c>
      <c r="G81" s="4" t="inlineStr">
        <is>
          <t>Terceiros</t>
        </is>
      </c>
      <c r="H81" s="8" t="n">
        <v>3</v>
      </c>
      <c r="I81" s="7" t="n">
        <v>100</v>
      </c>
      <c r="J81" s="5" t="n">
        <v>2</v>
      </c>
      <c r="K81" s="4" t="inlineStr">
        <is>
          <t>Em Funcionamento Normal</t>
        </is>
      </c>
      <c r="L81" s="4" t="inlineStr">
        <is>
          <t>Site (navegador)</t>
        </is>
      </c>
    </row>
    <row r="82">
      <c r="A82" s="4" t="inlineStr">
        <is>
          <t>XP Investimentos</t>
        </is>
      </c>
      <c r="B82" s="4" t="inlineStr">
        <is>
          <t>Vista Long Biased Xp Seg Prev 1 Ficfim</t>
        </is>
      </c>
      <c r="C82" s="4" t="inlineStr">
        <is>
          <t>37.900.124/0001-33</t>
        </is>
      </c>
      <c r="D82" s="4" t="inlineStr">
        <is>
          <t>Previdência Multimercado Livre</t>
        </is>
      </c>
      <c r="E82" s="4" t="inlineStr">
        <is>
          <t>Renda Variável Long Biased</t>
        </is>
      </c>
      <c r="F82" s="4" t="inlineStr">
        <is>
          <t>XP GESTÃO DE RECURSOS LTDA</t>
        </is>
      </c>
      <c r="G82" s="4" t="inlineStr">
        <is>
          <t>Própria</t>
        </is>
      </c>
      <c r="H82" s="8" t="n">
        <v>2</v>
      </c>
      <c r="I82" s="7" t="n">
        <v>100</v>
      </c>
      <c r="J82" s="5" t="n">
        <v>2</v>
      </c>
      <c r="K82" s="4" t="inlineStr">
        <is>
          <t>Em Funcionamento Normal</t>
        </is>
      </c>
      <c r="L82" s="4" t="inlineStr">
        <is>
          <t>Site (navegador)</t>
        </is>
      </c>
    </row>
    <row r="83">
      <c r="A83" s="4" t="inlineStr">
        <is>
          <t>XP Investimentos</t>
        </is>
      </c>
      <c r="B83" s="4" t="inlineStr">
        <is>
          <t>XP Seg Superprev 2 FIM</t>
        </is>
      </c>
      <c r="C83" s="4" t="inlineStr">
        <is>
          <t>37.900.216/0001-13</t>
        </is>
      </c>
      <c r="D83" s="4" t="inlineStr">
        <is>
          <t>Previdência Multimercado Livre</t>
        </is>
      </c>
      <c r="E83" s="4" t="inlineStr">
        <is>
          <t>Multiestratégia</t>
        </is>
      </c>
      <c r="F83" s="4" t="inlineStr">
        <is>
          <t>XP VIDA E PREVIDÊNCIA S.A.</t>
        </is>
      </c>
      <c r="G83" s="4" t="inlineStr">
        <is>
          <t>Própria</t>
        </is>
      </c>
      <c r="H83" s="8" t="n">
        <v>0.6</v>
      </c>
      <c r="I83" s="7" t="n">
        <v>100</v>
      </c>
      <c r="J83" s="5" t="n">
        <v>2</v>
      </c>
      <c r="K83" s="4" t="inlineStr">
        <is>
          <t>Em Funcionamento Normal</t>
        </is>
      </c>
      <c r="L83" s="4" t="inlineStr">
        <is>
          <t>Site (navegador)</t>
        </is>
      </c>
    </row>
    <row r="84">
      <c r="A84" s="4" t="inlineStr">
        <is>
          <t>XP Investimentos</t>
        </is>
      </c>
      <c r="B84" s="4" t="inlineStr">
        <is>
          <t>Novus Bolsa Macro Global Prev Xp Seg Ficfia</t>
        </is>
      </c>
      <c r="C84" s="4" t="inlineStr">
        <is>
          <t>38.035.023/0001-04</t>
        </is>
      </c>
      <c r="D84" s="4" t="inlineStr">
        <is>
          <t>Previdência Ações Ativo</t>
        </is>
      </c>
      <c r="E84" s="4" t="inlineStr">
        <is>
          <t>Renda Variável Long Biased</t>
        </is>
      </c>
      <c r="F84" s="4" t="inlineStr">
        <is>
          <t>NOVUS CAPITAL GESTORA DE RECURSOS LTDA.</t>
        </is>
      </c>
      <c r="G84" s="4" t="inlineStr">
        <is>
          <t>Terceiros</t>
        </is>
      </c>
      <c r="H84" s="8" t="n">
        <v>2</v>
      </c>
      <c r="I84" s="7" t="n">
        <v>100</v>
      </c>
      <c r="J84" s="5" t="n">
        <v>2</v>
      </c>
      <c r="K84" s="4" t="inlineStr">
        <is>
          <t>Em Funcionamento Normal</t>
        </is>
      </c>
      <c r="L84" s="4" t="inlineStr">
        <is>
          <t>Site (navegador)</t>
        </is>
      </c>
    </row>
    <row r="85">
      <c r="A85" s="4" t="inlineStr">
        <is>
          <t>XP Investimentos</t>
        </is>
      </c>
      <c r="B85" s="4" t="inlineStr">
        <is>
          <t>Oceana Long Biased Advisory XP Seg Prev FIC FIM</t>
        </is>
      </c>
      <c r="C85" s="4" t="inlineStr">
        <is>
          <t>38.236.291/0001-94</t>
        </is>
      </c>
      <c r="D85" s="4" t="inlineStr">
        <is>
          <t>Previdência Multimercado Livre</t>
        </is>
      </c>
      <c r="E85" s="4" t="inlineStr">
        <is>
          <t>Renda Variável Long Biased</t>
        </is>
      </c>
      <c r="F85" s="4" t="inlineStr">
        <is>
          <t>OCEANA INVESTIMENTOS ADMINISTRADORA DE CARTEIRA DE VALORES MOBILIÁRIOS LTDA</t>
        </is>
      </c>
      <c r="G85" s="4" t="inlineStr">
        <is>
          <t>Terceiros</t>
        </is>
      </c>
      <c r="H85" s="8" t="n">
        <v>2</v>
      </c>
      <c r="I85" s="7" t="n">
        <v>100</v>
      </c>
      <c r="J85" s="5" t="n">
        <v>2</v>
      </c>
      <c r="K85" s="4" t="inlineStr">
        <is>
          <t>Em Funcionamento Normal</t>
        </is>
      </c>
      <c r="L85" s="4" t="inlineStr">
        <is>
          <t>Site (navegador)</t>
        </is>
      </c>
    </row>
    <row r="86">
      <c r="A86" s="4" t="inlineStr">
        <is>
          <t>XP Investimentos</t>
        </is>
      </c>
      <c r="B86" s="4" t="inlineStr">
        <is>
          <t>Oceana Valor Advisory XP Seg Prev FICFIA</t>
        </is>
      </c>
      <c r="C86" s="4" t="inlineStr">
        <is>
          <t>39.958.567/0001-00</t>
        </is>
      </c>
      <c r="D86" s="4" t="inlineStr">
        <is>
          <t>Previdência Ações Ativo</t>
        </is>
      </c>
      <c r="E86" s="4" t="inlineStr">
        <is>
          <t>Renda Variável Long Only</t>
        </is>
      </c>
      <c r="F86" s="4" t="inlineStr">
        <is>
          <t>XP VIDA E PREVIDÊNCIA S.A.</t>
        </is>
      </c>
      <c r="G86" s="4" t="inlineStr">
        <is>
          <t>Própria</t>
        </is>
      </c>
      <c r="H86" s="8" t="n">
        <v>2</v>
      </c>
      <c r="I86" s="7" t="n">
        <v>100</v>
      </c>
      <c r="J86" s="5" t="n">
        <v>2</v>
      </c>
      <c r="K86" s="4" t="inlineStr">
        <is>
          <t>Em Funcionamento Normal</t>
        </is>
      </c>
      <c r="L86" s="4" t="inlineStr">
        <is>
          <t>Site (navegador)</t>
        </is>
      </c>
    </row>
    <row r="87">
      <c r="A87" s="4" t="inlineStr">
        <is>
          <t>XP Investimentos</t>
        </is>
      </c>
      <c r="B87" s="4" t="inlineStr">
        <is>
          <t>Hashdex 40 Nasdaq Crypto Index Xp Seg Prev Ficfim Rl</t>
        </is>
      </c>
      <c r="C87" s="4" t="inlineStr">
        <is>
          <t>39.992.897/0001-12</t>
        </is>
      </c>
      <c r="D87" s="4" t="inlineStr">
        <is>
          <t>Previdência Multimercado Livre</t>
        </is>
      </c>
      <c r="E87" s="4" t="inlineStr">
        <is>
          <t>Alternativo Líquido</t>
        </is>
      </c>
      <c r="F87" s="4" t="inlineStr">
        <is>
          <t>XP VIDA E PREVIDÊNCIA S.A.</t>
        </is>
      </c>
      <c r="G87" s="4" t="inlineStr">
        <is>
          <t>Própria</t>
        </is>
      </c>
      <c r="H87" s="8" t="n">
        <v>1.5</v>
      </c>
      <c r="I87" s="7" t="n">
        <v>100</v>
      </c>
      <c r="J87" s="5" t="n">
        <v>2</v>
      </c>
      <c r="K87" s="4" t="inlineStr">
        <is>
          <t>Em Funcionamento Normal</t>
        </is>
      </c>
      <c r="L87" s="4" t="inlineStr">
        <is>
          <t>Site (navegador)</t>
        </is>
      </c>
    </row>
    <row r="88">
      <c r="A88" s="4" t="inlineStr">
        <is>
          <t>XP Investimentos</t>
        </is>
      </c>
      <c r="B88" s="4" t="inlineStr">
        <is>
          <t>Arx K2 XP Seg Prev Inflação Curta FIC FIM CP</t>
        </is>
      </c>
      <c r="C88" s="4" t="inlineStr">
        <is>
          <t>40.212.715/0001-22</t>
        </is>
      </c>
      <c r="D88" s="4" t="inlineStr">
        <is>
          <t>Previdência Multimercado Livre</t>
        </is>
      </c>
      <c r="E88" s="4" t="inlineStr">
        <is>
          <t>Renda Fixa Inflação</t>
        </is>
      </c>
      <c r="F88" s="4" t="inlineStr">
        <is>
          <t>XP VIDA E PREVIDÊNCIA S.A.</t>
        </is>
      </c>
      <c r="G88" s="4" t="inlineStr">
        <is>
          <t>Própria</t>
        </is>
      </c>
      <c r="H88" s="8" t="n">
        <v>1.1</v>
      </c>
      <c r="I88" s="7" t="n">
        <v>100</v>
      </c>
      <c r="J88" s="5" t="n">
        <v>2</v>
      </c>
      <c r="K88" s="4" t="inlineStr">
        <is>
          <t>Em Funcionamento Normal</t>
        </is>
      </c>
      <c r="L88" s="4" t="inlineStr">
        <is>
          <t>Site (navegador)</t>
        </is>
      </c>
    </row>
    <row r="89">
      <c r="A89" s="4" t="inlineStr">
        <is>
          <t>XP Investimentos</t>
        </is>
      </c>
      <c r="B89" s="4" t="inlineStr">
        <is>
          <t>Forpus 100 XP Seg Prev FICFIA</t>
        </is>
      </c>
      <c r="C89" s="4" t="inlineStr">
        <is>
          <t>40.212.923/0001-21</t>
        </is>
      </c>
      <c r="D89" s="4" t="inlineStr">
        <is>
          <t>Previdência Ações Ativo</t>
        </is>
      </c>
      <c r="E89" s="4" t="inlineStr">
        <is>
          <t>Renda Variável Long Only</t>
        </is>
      </c>
      <c r="F89" s="4" t="inlineStr">
        <is>
          <t>FORPUS CAPITAL GESTÃO DE RECURSOS LTDA.</t>
        </is>
      </c>
      <c r="G89" s="4" t="inlineStr">
        <is>
          <t>Terceiros</t>
        </is>
      </c>
      <c r="H89" s="8" t="n">
        <v>2</v>
      </c>
      <c r="I89" s="7" t="n">
        <v>100</v>
      </c>
      <c r="J89" s="5" t="n">
        <v>2</v>
      </c>
      <c r="K89" s="4" t="inlineStr">
        <is>
          <t>Em Funcionamento Normal</t>
        </is>
      </c>
      <c r="L89" s="4" t="inlineStr">
        <is>
          <t>Site (navegador)</t>
        </is>
      </c>
    </row>
    <row r="90">
      <c r="A90" s="4" t="inlineStr">
        <is>
          <t>XP Investimentos</t>
        </is>
      </c>
      <c r="B90" s="4" t="inlineStr">
        <is>
          <t>Spx Long Bias Xp Seguros Prev Fic Fim Rl</t>
        </is>
      </c>
      <c r="C90" s="4" t="inlineStr">
        <is>
          <t>40.526.764/0001-30</t>
        </is>
      </c>
      <c r="D90" s="4" t="inlineStr">
        <is>
          <t>Previdência Multimercado Livre</t>
        </is>
      </c>
      <c r="E90" s="4" t="inlineStr">
        <is>
          <t>Renda Variável Long Biased</t>
        </is>
      </c>
      <c r="F90" s="4" t="inlineStr">
        <is>
          <t>XP VIDA E PREVIDÊNCIA S.A.</t>
        </is>
      </c>
      <c r="G90" s="4" t="inlineStr">
        <is>
          <t>Própria</t>
        </is>
      </c>
      <c r="H90" s="8" t="n">
        <v>2</v>
      </c>
      <c r="I90" s="7" t="n">
        <v>100</v>
      </c>
      <c r="J90" s="5" t="n">
        <v>2</v>
      </c>
      <c r="K90" s="4" t="inlineStr">
        <is>
          <t>Em Funcionamento Normal</t>
        </is>
      </c>
      <c r="L90" s="4" t="inlineStr">
        <is>
          <t>Site (navegador)</t>
        </is>
      </c>
    </row>
    <row r="91">
      <c r="A91" s="4" t="inlineStr">
        <is>
          <t>XP Investimentos</t>
        </is>
      </c>
      <c r="B91" s="4" t="inlineStr">
        <is>
          <t>Kadima Xp Seg Prev Long Short Ficfim</t>
        </is>
      </c>
      <c r="C91" s="4" t="inlineStr">
        <is>
          <t>40.635.009/0001-93</t>
        </is>
      </c>
      <c r="D91" s="4" t="inlineStr">
        <is>
          <t>Previdência Multimercado Livre</t>
        </is>
      </c>
      <c r="E91" s="4" t="inlineStr">
        <is>
          <t>Long Short Direcional</t>
        </is>
      </c>
      <c r="F91" s="4" t="inlineStr">
        <is>
          <t>XP VIDA E PREVIDÊNCIA S.A.</t>
        </is>
      </c>
      <c r="G91" s="4" t="inlineStr">
        <is>
          <t>Própria</t>
        </is>
      </c>
      <c r="H91" s="8" t="n">
        <v>1.9</v>
      </c>
      <c r="I91" s="7" t="n">
        <v>100</v>
      </c>
      <c r="J91" s="5" t="n">
        <v>2</v>
      </c>
      <c r="K91" s="4" t="inlineStr">
        <is>
          <t>Em Funcionamento Normal</t>
        </is>
      </c>
      <c r="L91" s="4" t="inlineStr">
        <is>
          <t>Site (navegador)</t>
        </is>
      </c>
    </row>
    <row r="92">
      <c r="A92" s="4" t="inlineStr">
        <is>
          <t>XP Investimentos</t>
        </is>
      </c>
      <c r="B92" s="4" t="inlineStr">
        <is>
          <t>Gavea Macro Xp Seg Prev Ficfim Cp Rl</t>
        </is>
      </c>
      <c r="C92" s="4" t="inlineStr">
        <is>
          <t>40.635.018/0001-84</t>
        </is>
      </c>
      <c r="D92" s="4" t="inlineStr">
        <is>
          <t>Previdência Multimercado Livre</t>
        </is>
      </c>
      <c r="E92" s="4" t="inlineStr">
        <is>
          <t>Macro Média Vol</t>
        </is>
      </c>
      <c r="F92" s="4" t="inlineStr">
        <is>
          <t>XP VIDA E PREVIDÊNCIA S.A.</t>
        </is>
      </c>
      <c r="G92" s="4" t="inlineStr">
        <is>
          <t>Própria</t>
        </is>
      </c>
      <c r="H92" s="8" t="n">
        <v>2</v>
      </c>
      <c r="I92" s="7" t="n">
        <v>100</v>
      </c>
      <c r="J92" s="5" t="n">
        <v>1</v>
      </c>
      <c r="K92" s="4" t="inlineStr">
        <is>
          <t>Em Funcionamento Normal</t>
        </is>
      </c>
      <c r="L92" s="4" t="inlineStr">
        <is>
          <t>Site (navegador)</t>
        </is>
      </c>
    </row>
    <row r="93">
      <c r="A93" s="4" t="inlineStr">
        <is>
          <t>XP Investimentos</t>
        </is>
      </c>
      <c r="B93" s="4" t="inlineStr">
        <is>
          <t>Indie 100 Xp Seg Prev Ficfim Rl</t>
        </is>
      </c>
      <c r="C93" s="4" t="inlineStr">
        <is>
          <t>40.655.014/0001-68</t>
        </is>
      </c>
      <c r="D93" s="4" t="inlineStr">
        <is>
          <t>Previdência Multimercado Livre</t>
        </is>
      </c>
      <c r="E93" s="4" t="inlineStr">
        <is>
          <t>Renda Variável Long Only</t>
        </is>
      </c>
      <c r="F93" s="4" t="inlineStr">
        <is>
          <t>XP VIDA E PREVIDÊNCIA S.A.</t>
        </is>
      </c>
      <c r="G93" s="4" t="inlineStr">
        <is>
          <t>Própria</t>
        </is>
      </c>
      <c r="H93" s="8" t="n">
        <v>2</v>
      </c>
      <c r="I93" s="7" t="n">
        <v>100</v>
      </c>
      <c r="J93" s="5" t="n">
        <v>2</v>
      </c>
      <c r="K93" s="4" t="inlineStr">
        <is>
          <t>Em Funcionamento Normal</t>
        </is>
      </c>
      <c r="L93" s="4" t="inlineStr">
        <is>
          <t>Site (navegador)</t>
        </is>
      </c>
    </row>
    <row r="94">
      <c r="A94" s="4" t="inlineStr">
        <is>
          <t>XP Investimentos</t>
        </is>
      </c>
      <c r="B94" s="4" t="inlineStr">
        <is>
          <t>Kapitalo K10 Global Prev Xp Seg Advisory Fic Fim Rl</t>
        </is>
      </c>
      <c r="C94" s="4" t="inlineStr">
        <is>
          <t>40.679.129/0001-92</t>
        </is>
      </c>
      <c r="D94" s="4" t="inlineStr">
        <is>
          <t>Previdência Multimercado Livre</t>
        </is>
      </c>
      <c r="E94" s="4" t="inlineStr">
        <is>
          <t>Macro Alta Vol</t>
        </is>
      </c>
      <c r="F94" s="4" t="inlineStr">
        <is>
          <t>XP VIDA E PREVIDÊNCIA S.A.</t>
        </is>
      </c>
      <c r="G94" s="4" t="inlineStr">
        <is>
          <t>Própria</t>
        </is>
      </c>
      <c r="H94" s="8" t="n">
        <v>2</v>
      </c>
      <c r="I94" s="7" t="n">
        <v>100</v>
      </c>
      <c r="J94" s="5" t="n">
        <v>2</v>
      </c>
      <c r="K94" s="4" t="inlineStr">
        <is>
          <t>Em Funcionamento Normal</t>
        </is>
      </c>
      <c r="L94" s="4" t="inlineStr">
        <is>
          <t>Site (navegador)</t>
        </is>
      </c>
    </row>
    <row r="95">
      <c r="A95" s="4" t="inlineStr">
        <is>
          <t>XP Investimentos</t>
        </is>
      </c>
      <c r="B95" s="4" t="inlineStr">
        <is>
          <t>M Global 40 Xp Seg Prev Fic Fim Rl</t>
        </is>
      </c>
      <c r="C95" s="4" t="inlineStr">
        <is>
          <t>40.682.081/0001-71</t>
        </is>
      </c>
      <c r="D95" s="4" t="inlineStr">
        <is>
          <t>Previdência Multimercado Livre</t>
        </is>
      </c>
      <c r="E95" s="4" t="inlineStr">
        <is>
          <t>Internacional Ações Não Hedgeado</t>
        </is>
      </c>
      <c r="F95" s="4" t="inlineStr">
        <is>
          <t>XP ALLOCATION ASSET MANAGEMENT LTDA</t>
        </is>
      </c>
      <c r="G95" s="4" t="inlineStr">
        <is>
          <t>Própria</t>
        </is>
      </c>
      <c r="H95" s="8" t="n">
        <v>0.9399999999999999</v>
      </c>
      <c r="I95" s="7" t="n">
        <v>100</v>
      </c>
      <c r="J95" s="5" t="n">
        <v>3</v>
      </c>
      <c r="K95" s="4" t="inlineStr">
        <is>
          <t>Em Funcionamento Normal</t>
        </is>
      </c>
      <c r="L95" s="4" t="inlineStr">
        <is>
          <t>Site (navegador)</t>
        </is>
      </c>
    </row>
    <row r="96">
      <c r="A96" s="4" t="inlineStr">
        <is>
          <t>XP Investimentos</t>
        </is>
      </c>
      <c r="B96" s="4" t="inlineStr">
        <is>
          <t>Hix Xp Seg Prev Fic Fim</t>
        </is>
      </c>
      <c r="C96" s="4" t="inlineStr">
        <is>
          <t>40.779.216/0001-11</t>
        </is>
      </c>
      <c r="D96" s="4" t="inlineStr">
        <is>
          <t>Previdência Multimercado Livre</t>
        </is>
      </c>
      <c r="E96" s="4" t="inlineStr">
        <is>
          <t>Renda Variável Long Only</t>
        </is>
      </c>
      <c r="F96" s="4" t="inlineStr">
        <is>
          <t>XP VIDA E PREVIDÊNCIA S.A.</t>
        </is>
      </c>
      <c r="G96" s="4" t="inlineStr">
        <is>
          <t>Própria</t>
        </is>
      </c>
      <c r="H96" s="8" t="n">
        <v>2</v>
      </c>
      <c r="I96" s="7" t="n">
        <v>5000</v>
      </c>
      <c r="J96" s="5" t="n">
        <v>2</v>
      </c>
      <c r="K96" s="4" t="inlineStr">
        <is>
          <t>Em Funcionamento Normal</t>
        </is>
      </c>
      <c r="L96" s="4" t="inlineStr">
        <is>
          <t>Site (navegador)</t>
        </is>
      </c>
    </row>
    <row r="97">
      <c r="A97" s="4" t="inlineStr">
        <is>
          <t>XP Investimentos</t>
        </is>
      </c>
      <c r="B97" s="4" t="inlineStr">
        <is>
          <t>Alpha Key Prev 100 Xp Seg Ficfia</t>
        </is>
      </c>
      <c r="C97" s="4" t="inlineStr">
        <is>
          <t>40.779.573/0001-80</t>
        </is>
      </c>
      <c r="D97" s="4" t="inlineStr">
        <is>
          <t>Previdência Ações Ativo</t>
        </is>
      </c>
      <c r="E97" s="4" t="inlineStr">
        <is>
          <t>Renda Variável Long Biased</t>
        </is>
      </c>
      <c r="F97" s="4" t="inlineStr">
        <is>
          <t>XP VIDA E PREVIDÊNCIA S.A.</t>
        </is>
      </c>
      <c r="G97" s="4" t="inlineStr">
        <is>
          <t>Própria</t>
        </is>
      </c>
      <c r="H97" s="8" t="n">
        <v>2</v>
      </c>
      <c r="I97" s="7" t="n">
        <v>100</v>
      </c>
      <c r="J97" s="5" t="n">
        <v>2</v>
      </c>
      <c r="K97" s="4" t="inlineStr">
        <is>
          <t>Em Funcionamento Normal</t>
        </is>
      </c>
      <c r="L97" s="4" t="inlineStr">
        <is>
          <t>Site (navegador)</t>
        </is>
      </c>
    </row>
    <row r="98">
      <c r="A98" s="4" t="inlineStr">
        <is>
          <t>XP Investimentos</t>
        </is>
      </c>
      <c r="B98" s="4" t="inlineStr">
        <is>
          <t>Occam Liquidez Prev Xp Seg Fic Fim</t>
        </is>
      </c>
      <c r="C98" s="4" t="inlineStr">
        <is>
          <t>40.780.979/0001-82</t>
        </is>
      </c>
      <c r="D98" s="4" t="inlineStr">
        <is>
          <t>Previdência Multimercado Livre</t>
        </is>
      </c>
      <c r="E98" s="4" t="inlineStr">
        <is>
          <t>Macro Baixa Vol</t>
        </is>
      </c>
      <c r="F98" s="4" t="inlineStr">
        <is>
          <t>XP VIDA E PREVIDÊNCIA S.A.</t>
        </is>
      </c>
      <c r="G98" s="4" t="inlineStr">
        <is>
          <t>Própria</t>
        </is>
      </c>
      <c r="H98" s="8" t="n">
        <v>1.15</v>
      </c>
      <c r="I98" s="7" t="n">
        <v>100</v>
      </c>
      <c r="J98" s="5" t="n">
        <v>1</v>
      </c>
      <c r="K98" s="4" t="inlineStr">
        <is>
          <t>Em Funcionamento Normal</t>
        </is>
      </c>
      <c r="L98" s="4" t="inlineStr">
        <is>
          <t>Site (navegador)</t>
        </is>
      </c>
    </row>
    <row r="99">
      <c r="A99" s="4" t="inlineStr">
        <is>
          <t>XP Investimentos</t>
        </is>
      </c>
      <c r="B99" s="4" t="inlineStr">
        <is>
          <t>Valora Prev Xp Seg Ficfi Rf Cp</t>
        </is>
      </c>
      <c r="C99" s="4" t="inlineStr">
        <is>
          <t>40.781.137/0001-45</t>
        </is>
      </c>
      <c r="D99" s="4" t="inlineStr">
        <is>
          <t>Previdência RF Duração Livre Crédito Liv</t>
        </is>
      </c>
      <c r="E99" s="4" t="inlineStr">
        <is>
          <t>Crédito High Grade</t>
        </is>
      </c>
      <c r="F99" s="4" t="inlineStr">
        <is>
          <t>XP VIDA E PREVIDÊNCIA S.A.</t>
        </is>
      </c>
      <c r="G99" s="4" t="inlineStr">
        <is>
          <t>Própria</t>
        </is>
      </c>
      <c r="H99" s="8" t="n">
        <v>0.8</v>
      </c>
      <c r="I99" s="7" t="n">
        <v>100</v>
      </c>
      <c r="J99" s="5" t="n">
        <v>1</v>
      </c>
      <c r="K99" s="4" t="inlineStr">
        <is>
          <t>Em Funcionamento Normal</t>
        </is>
      </c>
      <c r="L99" s="4" t="inlineStr">
        <is>
          <t>Site (navegador)</t>
        </is>
      </c>
    </row>
    <row r="100">
      <c r="A100" s="4" t="inlineStr">
        <is>
          <t>XP Investimentos</t>
        </is>
      </c>
      <c r="B100" s="4" t="inlineStr">
        <is>
          <t>Kadima Long Bias Xp Seg Prev Fic Fim Rl</t>
        </is>
      </c>
      <c r="C100" s="4" t="inlineStr">
        <is>
          <t>40.781.292/0001-61</t>
        </is>
      </c>
      <c r="D100" s="4" t="inlineStr">
        <is>
          <t>Previdência Multimercado Livre</t>
        </is>
      </c>
      <c r="E100" s="4" t="inlineStr">
        <is>
          <t>Quantitativo</t>
        </is>
      </c>
      <c r="F100" s="4" t="inlineStr">
        <is>
          <t>XP VIDA E PREVIDÊNCIA S.A.</t>
        </is>
      </c>
      <c r="G100" s="4" t="inlineStr">
        <is>
          <t>Própria</t>
        </is>
      </c>
      <c r="H100" s="8" t="n">
        <v>1.75</v>
      </c>
      <c r="I100" s="7" t="n">
        <v>100</v>
      </c>
      <c r="J100" s="5" t="n">
        <v>2</v>
      </c>
      <c r="K100" s="4" t="inlineStr">
        <is>
          <t>Em Funcionamento Normal</t>
        </is>
      </c>
      <c r="L100" s="4" t="inlineStr">
        <is>
          <t>Site (navegador)</t>
        </is>
      </c>
    </row>
    <row r="101">
      <c r="A101" s="4" t="inlineStr">
        <is>
          <t>XP Investimentos</t>
        </is>
      </c>
      <c r="B101" s="4" t="inlineStr">
        <is>
          <t>Franklin Valor e Liquidez Long Bias Prev FIC FIM</t>
        </is>
      </c>
      <c r="C101" s="4" t="inlineStr">
        <is>
          <t>40.781.467/0001-30</t>
        </is>
      </c>
      <c r="D101" s="4" t="inlineStr">
        <is>
          <t>Previdência Multimercado Livre</t>
        </is>
      </c>
      <c r="E101" s="4" t="inlineStr">
        <is>
          <t>Renda Variável Long Only</t>
        </is>
      </c>
      <c r="F101" s="4" t="inlineStr">
        <is>
          <t>XP VIDA E PREVIDÊNCIA S.A.</t>
        </is>
      </c>
      <c r="G101" s="4" t="inlineStr">
        <is>
          <t>Própria</t>
        </is>
      </c>
      <c r="H101" s="8" t="n">
        <v>1.8</v>
      </c>
      <c r="I101" s="7" t="n">
        <v>100</v>
      </c>
      <c r="J101" s="5" t="n">
        <v>2</v>
      </c>
      <c r="K101" s="4" t="inlineStr">
        <is>
          <t>Em Funcionamento Normal</t>
        </is>
      </c>
      <c r="L101" s="4" t="inlineStr">
        <is>
          <t>Site (navegador)</t>
        </is>
      </c>
    </row>
    <row r="102">
      <c r="A102" s="4" t="inlineStr">
        <is>
          <t>XP Investimentos</t>
        </is>
      </c>
      <c r="B102" s="4" t="inlineStr">
        <is>
          <t>Az Quest XP Seg Multi Max Prev Quali FIC FIM</t>
        </is>
      </c>
      <c r="C102" s="4" t="inlineStr">
        <is>
          <t>40.799.759/0001-09</t>
        </is>
      </c>
      <c r="D102" s="4" t="inlineStr">
        <is>
          <t>Previdência Multimercado Livre</t>
        </is>
      </c>
      <c r="E102" s="4" t="inlineStr">
        <is>
          <t>Macro Alta Vol</t>
        </is>
      </c>
      <c r="F102" s="4" t="inlineStr">
        <is>
          <t>XP VIDA E PREVIDÊNCIA S.A.</t>
        </is>
      </c>
      <c r="G102" s="4" t="inlineStr">
        <is>
          <t>Própria</t>
        </is>
      </c>
      <c r="H102" s="8" t="n">
        <v>2</v>
      </c>
      <c r="I102" s="7" t="n">
        <v>100</v>
      </c>
      <c r="J102" s="5" t="n">
        <v>1</v>
      </c>
      <c r="K102" s="4" t="inlineStr">
        <is>
          <t>Em Funcionamento Normal</t>
        </is>
      </c>
      <c r="L102" s="4" t="inlineStr">
        <is>
          <t>Site (navegador)</t>
        </is>
      </c>
    </row>
    <row r="103">
      <c r="A103" s="4" t="inlineStr">
        <is>
          <t>XP Investimentos</t>
        </is>
      </c>
      <c r="B103" s="4" t="inlineStr">
        <is>
          <t>Absolute Vertex XP Seg Prev FIC FIM</t>
        </is>
      </c>
      <c r="C103" s="4" t="inlineStr">
        <is>
          <t>40.882.496/0001-99</t>
        </is>
      </c>
      <c r="D103" s="4" t="inlineStr">
        <is>
          <t>Previdência Multimercado Livre</t>
        </is>
      </c>
      <c r="E103" s="4" t="inlineStr">
        <is>
          <t>Macro Alta Vol</t>
        </is>
      </c>
      <c r="F103" s="4" t="inlineStr">
        <is>
          <t>XP VIDA E PREVIDÊNCIA S.A.</t>
        </is>
      </c>
      <c r="G103" s="4" t="inlineStr">
        <is>
          <t>Própria</t>
        </is>
      </c>
      <c r="H103" s="8" t="n">
        <v>2</v>
      </c>
      <c r="I103" s="7" t="n">
        <v>100</v>
      </c>
      <c r="J103" s="5" t="n">
        <v>1</v>
      </c>
      <c r="K103" s="4" t="inlineStr">
        <is>
          <t>Em Funcionamento Normal</t>
        </is>
      </c>
      <c r="L103" s="4" t="inlineStr">
        <is>
          <t>Site (navegador)</t>
        </is>
      </c>
    </row>
    <row r="104">
      <c r="A104" s="4" t="inlineStr">
        <is>
          <t>XP Investimentos</t>
        </is>
      </c>
      <c r="B104" s="4" t="inlineStr">
        <is>
          <t>Xp Crédito Estruturado High Yield Xp Seg Prev Fic Fim Cp</t>
        </is>
      </c>
      <c r="C104" s="4" t="inlineStr">
        <is>
          <t>41.035.946/0001-70</t>
        </is>
      </c>
      <c r="D104" s="4" t="inlineStr">
        <is>
          <t>Previdência Multimercado Livre</t>
        </is>
      </c>
      <c r="E104" s="4" t="inlineStr">
        <is>
          <t>Crédito High Yield</t>
        </is>
      </c>
      <c r="F104" s="4" t="inlineStr">
        <is>
          <t>XP VISTA ASSET MANAGEMENT LTDA.</t>
        </is>
      </c>
      <c r="G104" s="4" t="inlineStr">
        <is>
          <t>Própria</t>
        </is>
      </c>
      <c r="H104" s="8" t="n">
        <v>1.5</v>
      </c>
      <c r="I104" s="7" t="n">
        <v>100</v>
      </c>
      <c r="J104" s="5" t="n">
        <v>2</v>
      </c>
      <c r="K104" s="4" t="inlineStr">
        <is>
          <t>Em Funcionamento Normal</t>
        </is>
      </c>
      <c r="L104" s="4" t="inlineStr">
        <is>
          <t>Site (navegador)</t>
        </is>
      </c>
    </row>
    <row r="105">
      <c r="A105" s="4" t="inlineStr">
        <is>
          <t>XP Investimentos</t>
        </is>
      </c>
      <c r="B105" s="4" t="inlineStr">
        <is>
          <t>Real Investor 100 Xp Seg Ad Ficfia</t>
        </is>
      </c>
      <c r="C105" s="4" t="inlineStr">
        <is>
          <t>41.035.989/0001-56</t>
        </is>
      </c>
      <c r="D105" s="4" t="inlineStr">
        <is>
          <t>Previdência Ações Ativo</t>
        </is>
      </c>
      <c r="E105" s="4" t="inlineStr">
        <is>
          <t>Renda Variável Long Only</t>
        </is>
      </c>
      <c r="F105" s="4" t="inlineStr">
        <is>
          <t>XP VIDA E PREVIDÊNCIA S.A.</t>
        </is>
      </c>
      <c r="G105" s="4" t="inlineStr">
        <is>
          <t>Própria</t>
        </is>
      </c>
      <c r="H105" s="8" t="n">
        <v>2</v>
      </c>
      <c r="I105" s="7" t="n">
        <v>100</v>
      </c>
      <c r="J105" s="5" t="n">
        <v>2</v>
      </c>
      <c r="K105" s="4" t="inlineStr">
        <is>
          <t>Em Funcionamento Normal</t>
        </is>
      </c>
      <c r="L105" s="4" t="inlineStr">
        <is>
          <t>Site (navegador)</t>
        </is>
      </c>
    </row>
    <row r="106">
      <c r="A106" s="4" t="inlineStr">
        <is>
          <t>XP Investimentos</t>
        </is>
      </c>
      <c r="B106" s="4" t="inlineStr">
        <is>
          <t>Neo Navitas Prev XP Seg FICFIA</t>
        </is>
      </c>
      <c r="C106" s="4" t="inlineStr">
        <is>
          <t>41.081.187/0001-82</t>
        </is>
      </c>
      <c r="D106" s="4" t="inlineStr"/>
      <c r="E106" s="4" t="inlineStr">
        <is>
          <t>Renda Variável Long Only</t>
        </is>
      </c>
      <c r="F106" s="4" t="inlineStr">
        <is>
          <t>NEO Investimentos</t>
        </is>
      </c>
      <c r="G106" s="4" t="inlineStr">
        <is>
          <t>Terceiros</t>
        </is>
      </c>
      <c r="H106" s="8" t="n">
        <v>2</v>
      </c>
      <c r="I106" s="7" t="n">
        <v>100</v>
      </c>
      <c r="J106" s="5" t="n">
        <v>2</v>
      </c>
      <c r="K106" s="4" t="inlineStr"/>
      <c r="L106" s="4" t="inlineStr">
        <is>
          <t>Site (navegador)</t>
        </is>
      </c>
    </row>
    <row r="107">
      <c r="A107" s="4" t="inlineStr">
        <is>
          <t>XP Investimentos</t>
        </is>
      </c>
      <c r="B107" s="4" t="inlineStr">
        <is>
          <t>Trend Bolsa Americana 40 Prev XP FIM RL</t>
        </is>
      </c>
      <c r="C107" s="4" t="inlineStr">
        <is>
          <t>41.610.532/0001-28</t>
        </is>
      </c>
      <c r="D107" s="4" t="inlineStr">
        <is>
          <t>Previdência Multimercado Livre</t>
        </is>
      </c>
      <c r="E107" s="4" t="inlineStr">
        <is>
          <t>Internacional Ações Hedgeado</t>
        </is>
      </c>
      <c r="F107" s="4" t="inlineStr">
        <is>
          <t>XP ALLOCATION ASSET MANAGEMENT LTDA</t>
        </is>
      </c>
      <c r="G107" s="4" t="inlineStr">
        <is>
          <t>Própria</t>
        </is>
      </c>
      <c r="H107" s="8" t="n">
        <v>0.33</v>
      </c>
      <c r="I107" s="7" t="n">
        <v>100</v>
      </c>
      <c r="J107" s="5" t="n">
        <v>1</v>
      </c>
      <c r="K107" s="4" t="inlineStr">
        <is>
          <t>Em Funcionamento Normal</t>
        </is>
      </c>
      <c r="L107" s="4" t="inlineStr">
        <is>
          <t>Site (navegador)</t>
        </is>
      </c>
    </row>
    <row r="108">
      <c r="A108" s="4" t="inlineStr">
        <is>
          <t>XP Investimentos</t>
        </is>
      </c>
      <c r="B108" s="4" t="inlineStr">
        <is>
          <t>Verde Am Mundi Multimercado Globais Xp Seguros Fic Fim Rl</t>
        </is>
      </c>
      <c r="C108" s="4" t="inlineStr">
        <is>
          <t>41.802.040/0001-34</t>
        </is>
      </c>
      <c r="D108" s="4" t="inlineStr">
        <is>
          <t>Previdência Multimercado Livre</t>
        </is>
      </c>
      <c r="E108" s="4" t="inlineStr">
        <is>
          <t>Internacional Ações Não Hedgeado</t>
        </is>
      </c>
      <c r="F108" s="4" t="inlineStr">
        <is>
          <t>XP VIDA E PREVIDÊNCIA S.A.</t>
        </is>
      </c>
      <c r="G108" s="4" t="inlineStr">
        <is>
          <t>Própria</t>
        </is>
      </c>
      <c r="H108" s="8" t="n">
        <v>2</v>
      </c>
      <c r="I108" s="7" t="n">
        <v>100</v>
      </c>
      <c r="J108" s="5" t="n">
        <v>3</v>
      </c>
      <c r="K108" s="4" t="inlineStr">
        <is>
          <t>Em Funcionamento Normal</t>
        </is>
      </c>
      <c r="L108" s="4" t="inlineStr">
        <is>
          <t>Site (navegador)</t>
        </is>
      </c>
    </row>
    <row r="109">
      <c r="A109" s="4" t="inlineStr">
        <is>
          <t>XP Investimentos</t>
        </is>
      </c>
      <c r="B109" s="4" t="inlineStr">
        <is>
          <t>SPX Lancer Plus XP Seg Prev FIC FIM</t>
        </is>
      </c>
      <c r="C109" s="4" t="inlineStr">
        <is>
          <t>41.802.098/0001-88</t>
        </is>
      </c>
      <c r="D109" s="4" t="inlineStr">
        <is>
          <t>Previdência Multimercado Livre</t>
        </is>
      </c>
      <c r="E109" s="4" t="inlineStr">
        <is>
          <t>Macro Alta Vol</t>
        </is>
      </c>
      <c r="F109" s="4" t="inlineStr">
        <is>
          <t>XP VIDA E PREVIDÊNCIA S.A.</t>
        </is>
      </c>
      <c r="G109" s="4" t="inlineStr">
        <is>
          <t>Própria</t>
        </is>
      </c>
      <c r="H109" s="8" t="n">
        <v>2</v>
      </c>
      <c r="I109" s="7" t="n">
        <v>100</v>
      </c>
      <c r="J109" s="5" t="n">
        <v>3</v>
      </c>
      <c r="K109" s="4" t="inlineStr">
        <is>
          <t>Em Funcionamento Normal</t>
        </is>
      </c>
      <c r="L109" s="4" t="inlineStr">
        <is>
          <t>Site (navegador)</t>
        </is>
      </c>
    </row>
    <row r="110">
      <c r="A110" s="4" t="inlineStr">
        <is>
          <t>XP Investimentos</t>
        </is>
      </c>
      <c r="B110" s="4" t="inlineStr">
        <is>
          <t>Encore Long Biased 70 XP Seg Prev FIC FIM</t>
        </is>
      </c>
      <c r="C110" s="4" t="inlineStr">
        <is>
          <t>41.802.178/0001-33</t>
        </is>
      </c>
      <c r="D110" s="4" t="inlineStr">
        <is>
          <t>Previdência Multimercado Livre</t>
        </is>
      </c>
      <c r="E110" s="4" t="inlineStr">
        <is>
          <t>Renda Variável Long Biased</t>
        </is>
      </c>
      <c r="F110" s="4" t="inlineStr">
        <is>
          <t>XP VIDA E PREVIDÊNCIA S.A.</t>
        </is>
      </c>
      <c r="G110" s="4" t="inlineStr">
        <is>
          <t>Própria</t>
        </is>
      </c>
      <c r="H110" s="8" t="n">
        <v>1.5</v>
      </c>
      <c r="I110" s="7" t="n">
        <v>100</v>
      </c>
      <c r="J110" s="5" t="n">
        <v>2</v>
      </c>
      <c r="K110" s="4" t="inlineStr">
        <is>
          <t>Em Funcionamento Normal</t>
        </is>
      </c>
      <c r="L110" s="4" t="inlineStr">
        <is>
          <t>Site (navegador)</t>
        </is>
      </c>
    </row>
    <row r="111">
      <c r="A111" s="4" t="inlineStr">
        <is>
          <t>XP Investimentos</t>
        </is>
      </c>
      <c r="B111" s="4" t="inlineStr">
        <is>
          <t>Encore Long Biased 100 Xp Seg Prev Ficfim Rl</t>
        </is>
      </c>
      <c r="C111" s="4" t="inlineStr">
        <is>
          <t>41.866.111/0001-62</t>
        </is>
      </c>
      <c r="D111" s="4" t="inlineStr">
        <is>
          <t>Previdência Multimercado Livre</t>
        </is>
      </c>
      <c r="E111" s="4" t="inlineStr">
        <is>
          <t>Renda Variável Long Biased</t>
        </is>
      </c>
      <c r="F111" s="4" t="inlineStr">
        <is>
          <t>XP VIDA E PREVIDÊNCIA S.A.</t>
        </is>
      </c>
      <c r="G111" s="4" t="inlineStr">
        <is>
          <t>Própria</t>
        </is>
      </c>
      <c r="H111" s="8" t="n">
        <v>2</v>
      </c>
      <c r="I111" s="7" t="n">
        <v>100</v>
      </c>
      <c r="J111" s="5" t="n">
        <v>2</v>
      </c>
      <c r="K111" s="4" t="inlineStr">
        <is>
          <t>Em Funcionamento Normal</t>
        </is>
      </c>
      <c r="L111" s="4" t="inlineStr">
        <is>
          <t>Site (navegador)</t>
        </is>
      </c>
    </row>
    <row r="112">
      <c r="A112" s="4" t="inlineStr">
        <is>
          <t>XP Investimentos</t>
        </is>
      </c>
      <c r="B112" s="4" t="inlineStr">
        <is>
          <t>Vinland Renda Fixa Ativo Xp Seg Prev Ficfi</t>
        </is>
      </c>
      <c r="C112" s="4" t="inlineStr">
        <is>
          <t>41.866.348/0001-43</t>
        </is>
      </c>
      <c r="D112" s="4" t="inlineStr">
        <is>
          <t>Previdência RF Duração Livre Grau de Inv</t>
        </is>
      </c>
      <c r="E112" s="4" t="inlineStr">
        <is>
          <t>Renda Fixa Ativo</t>
        </is>
      </c>
      <c r="F112" s="4" t="inlineStr">
        <is>
          <t>XP VIDA E PREVIDÊNCIA S.A.</t>
        </is>
      </c>
      <c r="G112" s="4" t="inlineStr">
        <is>
          <t>Própria</t>
        </is>
      </c>
      <c r="H112" s="8" t="n">
        <v>0.9</v>
      </c>
      <c r="I112" s="7" t="n">
        <v>100</v>
      </c>
      <c r="J112" s="5" t="n">
        <v>1</v>
      </c>
      <c r="K112" s="4" t="inlineStr">
        <is>
          <t>Em Funcionamento Normal</t>
        </is>
      </c>
      <c r="L112" s="4" t="inlineStr">
        <is>
          <t>Site (navegador)</t>
        </is>
      </c>
    </row>
    <row r="113">
      <c r="A113" s="4" t="inlineStr">
        <is>
          <t>XP Investimentos</t>
        </is>
      </c>
      <c r="B113" s="4" t="inlineStr">
        <is>
          <t>Solis Antares XP Seg Prev FIC FIRF CP</t>
        </is>
      </c>
      <c r="C113" s="4" t="inlineStr">
        <is>
          <t>41.866.372/0001-82</t>
        </is>
      </c>
      <c r="D113" s="4" t="inlineStr">
        <is>
          <t>Previdência RF Duração Livre Crédito Liv</t>
        </is>
      </c>
      <c r="E113" s="4" t="inlineStr">
        <is>
          <t>Crédito High Yield</t>
        </is>
      </c>
      <c r="F113" s="4" t="inlineStr">
        <is>
          <t>XP VIDA E PREVIDÊNCIA S.A.</t>
        </is>
      </c>
      <c r="G113" s="4" t="inlineStr">
        <is>
          <t>Própria</t>
        </is>
      </c>
      <c r="H113" s="8" t="n">
        <v>0.9</v>
      </c>
      <c r="I113" s="7" t="n">
        <v>100</v>
      </c>
      <c r="J113" s="5" t="n">
        <v>1</v>
      </c>
      <c r="K113" s="4" t="inlineStr">
        <is>
          <t>Em Funcionamento Normal</t>
        </is>
      </c>
      <c r="L113" s="4" t="inlineStr">
        <is>
          <t>Site (navegador)</t>
        </is>
      </c>
    </row>
    <row r="114">
      <c r="A114" s="4" t="inlineStr">
        <is>
          <t>XP Investimentos</t>
        </is>
      </c>
      <c r="B114" s="4" t="inlineStr">
        <is>
          <t>Legacy Crédito Prev Advisory XP Seg FIC FIRF CP</t>
        </is>
      </c>
      <c r="C114" s="4" t="inlineStr">
        <is>
          <t>42.195.844/0001-85</t>
        </is>
      </c>
      <c r="D114" s="4" t="inlineStr">
        <is>
          <t>Previdência RF Duração Livre Crédito Liv</t>
        </is>
      </c>
      <c r="E114" s="4" t="inlineStr">
        <is>
          <t>Crédito Híbrido</t>
        </is>
      </c>
      <c r="F114" s="4" t="inlineStr">
        <is>
          <t>LEGACY CAPITAL GESTORA DE RECURSOS LTDA.</t>
        </is>
      </c>
      <c r="G114" s="4" t="inlineStr">
        <is>
          <t>Terceiros</t>
        </is>
      </c>
      <c r="H114" s="8" t="n">
        <v>1</v>
      </c>
      <c r="I114" s="7" t="n">
        <v>100</v>
      </c>
      <c r="J114" s="5" t="n">
        <v>1</v>
      </c>
      <c r="K114" s="4" t="inlineStr">
        <is>
          <t>Em Funcionamento Normal</t>
        </is>
      </c>
      <c r="L114" s="4" t="inlineStr">
        <is>
          <t>Site (navegador)</t>
        </is>
      </c>
    </row>
    <row r="115">
      <c r="A115" s="4" t="inlineStr">
        <is>
          <t>XP Investimentos</t>
        </is>
      </c>
      <c r="B115" s="4" t="inlineStr">
        <is>
          <t>Genoa Capital Cruise Prev XP Seg FIC FIM</t>
        </is>
      </c>
      <c r="C115" s="4" t="inlineStr">
        <is>
          <t>42.535.297/0001-30</t>
        </is>
      </c>
      <c r="D115" s="4" t="inlineStr">
        <is>
          <t>Previdência Multimercado Livre</t>
        </is>
      </c>
      <c r="E115" s="4" t="inlineStr">
        <is>
          <t>Macro Alta Vol</t>
        </is>
      </c>
      <c r="F115" s="4" t="inlineStr">
        <is>
          <t>GENOA CAPITAL GESTORA DE RECURSOS LTDA</t>
        </is>
      </c>
      <c r="G115" s="4" t="inlineStr">
        <is>
          <t>Terceiros</t>
        </is>
      </c>
      <c r="H115" s="8" t="n">
        <v>2</v>
      </c>
      <c r="I115" s="7" t="n">
        <v>100</v>
      </c>
      <c r="J115" s="5" t="n">
        <v>2</v>
      </c>
      <c r="K115" s="4" t="inlineStr">
        <is>
          <t>Em Funcionamento Normal</t>
        </is>
      </c>
      <c r="L115" s="4" t="inlineStr">
        <is>
          <t>Site (navegador)</t>
        </is>
      </c>
    </row>
    <row r="116">
      <c r="A116" s="4" t="inlineStr">
        <is>
          <t>XP Investimentos</t>
        </is>
      </c>
      <c r="B116" s="4" t="inlineStr">
        <is>
          <t>Vinland Macro Advisory 2 Xp Seg Prev Fic Fim Rl</t>
        </is>
      </c>
      <c r="C116" s="4" t="inlineStr">
        <is>
          <t>42.718.410/0001-12</t>
        </is>
      </c>
      <c r="D116" s="4" t="inlineStr">
        <is>
          <t>Previdência Multimercado Livre</t>
        </is>
      </c>
      <c r="E116" s="4" t="inlineStr">
        <is>
          <t>Macro Alta Vol</t>
        </is>
      </c>
      <c r="F116" s="4" t="inlineStr">
        <is>
          <t>XP VIDA E PREVIDÊNCIA S.A.</t>
        </is>
      </c>
      <c r="G116" s="4" t="inlineStr">
        <is>
          <t>Própria</t>
        </is>
      </c>
      <c r="H116" s="8" t="n">
        <v>2</v>
      </c>
      <c r="I116" s="7" t="n">
        <v>100</v>
      </c>
      <c r="J116" s="5" t="n">
        <v>3</v>
      </c>
      <c r="K116" s="4" t="inlineStr">
        <is>
          <t>Em Funcionamento Normal</t>
        </is>
      </c>
      <c r="L116" s="4" t="inlineStr">
        <is>
          <t>Site (navegador)</t>
        </is>
      </c>
    </row>
    <row r="117">
      <c r="A117" s="4" t="inlineStr">
        <is>
          <t>XP Investimentos</t>
        </is>
      </c>
      <c r="B117" s="4" t="inlineStr">
        <is>
          <t>Arca Grão XP Seg Prev Advisory FIC FIM</t>
        </is>
      </c>
      <c r="C117" s="4" t="inlineStr">
        <is>
          <t>42.794.534/0001-87</t>
        </is>
      </c>
      <c r="D117" s="4" t="inlineStr">
        <is>
          <t>Previdência Multimercado Livre</t>
        </is>
      </c>
      <c r="E117" s="4" t="inlineStr">
        <is>
          <t>Multiestratégia</t>
        </is>
      </c>
      <c r="F117" s="4" t="inlineStr">
        <is>
          <t>GRÃO GESTÃO DE RECURSOS LTDA.</t>
        </is>
      </c>
      <c r="G117" s="4" t="inlineStr">
        <is>
          <t>Terceiros</t>
        </is>
      </c>
      <c r="H117" s="8" t="n">
        <v>0.59</v>
      </c>
      <c r="I117" s="7" t="n">
        <v>100</v>
      </c>
      <c r="J117" s="5" t="n">
        <v>2</v>
      </c>
      <c r="K117" s="4" t="inlineStr">
        <is>
          <t>Em Funcionamento Normal</t>
        </is>
      </c>
      <c r="L117" s="4" t="inlineStr">
        <is>
          <t>Site (navegador)</t>
        </is>
      </c>
    </row>
    <row r="118">
      <c r="A118" s="4" t="inlineStr">
        <is>
          <t>XP Investimentos</t>
        </is>
      </c>
      <c r="B118" s="4" t="inlineStr">
        <is>
          <t>Kapitalo Kappa Prev Xp Seg Ficfim Rl</t>
        </is>
      </c>
      <c r="C118" s="4" t="inlineStr">
        <is>
          <t>42.847.502/0001-00</t>
        </is>
      </c>
      <c r="D118" s="4" t="inlineStr">
        <is>
          <t>Previdência Multimercado Livre</t>
        </is>
      </c>
      <c r="E118" s="4" t="inlineStr">
        <is>
          <t>Macro Alta Vol</t>
        </is>
      </c>
      <c r="F118" s="4" t="inlineStr">
        <is>
          <t>XP VIDA E PREVIDÊNCIA S.A.</t>
        </is>
      </c>
      <c r="G118" s="4" t="inlineStr">
        <is>
          <t>Própria</t>
        </is>
      </c>
      <c r="H118" s="8" t="n">
        <v>2</v>
      </c>
      <c r="I118" s="7" t="n">
        <v>100</v>
      </c>
      <c r="J118" s="5" t="n">
        <v>2</v>
      </c>
      <c r="K118" s="4" t="inlineStr">
        <is>
          <t>Em Funcionamento Normal</t>
        </is>
      </c>
      <c r="L118" s="4" t="inlineStr">
        <is>
          <t>Site (navegador)</t>
        </is>
      </c>
    </row>
    <row r="119">
      <c r="A119" s="4" t="inlineStr">
        <is>
          <t>XP Investimentos</t>
        </is>
      </c>
      <c r="B119" s="4" t="inlineStr">
        <is>
          <t>Forpus 70 XP Seg Prev FIM</t>
        </is>
      </c>
      <c r="C119" s="4" t="inlineStr">
        <is>
          <t>42.870.699/0001-90</t>
        </is>
      </c>
      <c r="D119" s="4" t="inlineStr">
        <is>
          <t>Previdência Multimercado Livre</t>
        </is>
      </c>
      <c r="E119" s="4" t="inlineStr">
        <is>
          <t>Renda Variável Long Only</t>
        </is>
      </c>
      <c r="F119" s="4" t="inlineStr">
        <is>
          <t>FORPUS CAPITAL GESTÃO DE RECURSOS LTDA.</t>
        </is>
      </c>
      <c r="G119" s="4" t="inlineStr">
        <is>
          <t>Terceiros</t>
        </is>
      </c>
      <c r="H119" s="8" t="n">
        <v>2</v>
      </c>
      <c r="I119" s="7" t="n">
        <v>100</v>
      </c>
      <c r="J119" s="5" t="n">
        <v>2</v>
      </c>
      <c r="K119" s="4" t="inlineStr">
        <is>
          <t>Em Funcionamento Normal</t>
        </is>
      </c>
      <c r="L119" s="4" t="inlineStr">
        <is>
          <t>Site (navegador)</t>
        </is>
      </c>
    </row>
    <row r="120">
      <c r="A120" s="4" t="inlineStr">
        <is>
          <t>XP Investimentos</t>
        </is>
      </c>
      <c r="B120" s="4" t="inlineStr">
        <is>
          <t>Riza Evi Prev Xp Seg Ficfim Cp Rl</t>
        </is>
      </c>
      <c r="C120" s="4" t="inlineStr">
        <is>
          <t>43.121.014/0001-76</t>
        </is>
      </c>
      <c r="D120" s="4" t="inlineStr">
        <is>
          <t>Previdência Multimercado Livre</t>
        </is>
      </c>
      <c r="E120" s="4" t="inlineStr">
        <is>
          <t>Multiestratégia</t>
        </is>
      </c>
      <c r="F120" s="4" t="inlineStr">
        <is>
          <t>XP VIDA E PREVIDÊNCIA S.A.</t>
        </is>
      </c>
      <c r="G120" s="4" t="inlineStr">
        <is>
          <t>Própria</t>
        </is>
      </c>
      <c r="H120" s="8" t="n">
        <v>1.05</v>
      </c>
      <c r="I120" s="7" t="n">
        <v>100</v>
      </c>
      <c r="J120" s="5" t="n">
        <v>1</v>
      </c>
      <c r="K120" s="4" t="inlineStr">
        <is>
          <t>Em Funcionamento Normal</t>
        </is>
      </c>
      <c r="L120" s="4" t="inlineStr">
        <is>
          <t>Site (navegador)</t>
        </is>
      </c>
    </row>
    <row r="121">
      <c r="A121" s="4" t="inlineStr">
        <is>
          <t>XP Investimentos</t>
        </is>
      </c>
      <c r="B121" s="4" t="inlineStr">
        <is>
          <t>Gauss Panorama Xp Seg Iq Prev Ficfim Cp Rl</t>
        </is>
      </c>
      <c r="C121" s="4" t="inlineStr">
        <is>
          <t>43.215.421/0001-42</t>
        </is>
      </c>
      <c r="D121" s="4" t="inlineStr">
        <is>
          <t>Previdência Multimercado Livre</t>
        </is>
      </c>
      <c r="E121" s="4" t="inlineStr">
        <is>
          <t>Macro Média Vol</t>
        </is>
      </c>
      <c r="F121" s="4" t="inlineStr">
        <is>
          <t>XP VIDA E PREVIDÊNCIA S.A.</t>
        </is>
      </c>
      <c r="G121" s="4" t="inlineStr">
        <is>
          <t>Própria</t>
        </is>
      </c>
      <c r="H121" s="8" t="n">
        <v>2</v>
      </c>
      <c r="I121" s="7" t="n">
        <v>100</v>
      </c>
      <c r="J121" s="5" t="n">
        <v>1</v>
      </c>
      <c r="K121" s="4" t="inlineStr">
        <is>
          <t>Em Funcionamento Normal</t>
        </is>
      </c>
      <c r="L121" s="4" t="inlineStr">
        <is>
          <t>Site (navegador)</t>
        </is>
      </c>
    </row>
    <row r="122">
      <c r="A122" s="4" t="inlineStr">
        <is>
          <t>XP Investimentos</t>
        </is>
      </c>
      <c r="B122" s="4" t="inlineStr">
        <is>
          <t>Riza Lotus Prev Xp Seg Fic Fim Cp</t>
        </is>
      </c>
      <c r="C122" s="4" t="inlineStr">
        <is>
          <t>43.423.186/0001-02</t>
        </is>
      </c>
      <c r="D122" s="4" t="inlineStr">
        <is>
          <t>Previdência Multimercado Livre</t>
        </is>
      </c>
      <c r="E122" s="4" t="inlineStr">
        <is>
          <t>Crédito Liquidez</t>
        </is>
      </c>
      <c r="F122" s="4" t="inlineStr">
        <is>
          <t>XP VIDA E PREVIDÊNCIA S.A.</t>
        </is>
      </c>
      <c r="G122" s="4" t="inlineStr">
        <is>
          <t>Própria</t>
        </is>
      </c>
      <c r="H122" s="8" t="n">
        <v>0.75</v>
      </c>
      <c r="I122" s="7" t="n">
        <v>100</v>
      </c>
      <c r="J122" s="5" t="n">
        <v>1</v>
      </c>
      <c r="K122" s="4" t="inlineStr">
        <is>
          <t>Em Funcionamento Normal</t>
        </is>
      </c>
      <c r="L122" s="4" t="inlineStr">
        <is>
          <t>Site (navegador)</t>
        </is>
      </c>
    </row>
    <row r="123">
      <c r="A123" s="4" t="inlineStr">
        <is>
          <t>XP Investimentos</t>
        </is>
      </c>
      <c r="B123" s="4" t="inlineStr">
        <is>
          <t>XP Corporate Top CP XP Seg Prev FIC FIM RL</t>
        </is>
      </c>
      <c r="C123" s="4" t="inlineStr">
        <is>
          <t>43.636.010/0001-20</t>
        </is>
      </c>
      <c r="D123" s="4" t="inlineStr">
        <is>
          <t>Previdência Multimercado Livre</t>
        </is>
      </c>
      <c r="E123" s="4" t="inlineStr">
        <is>
          <t>Crédito High Grade</t>
        </is>
      </c>
      <c r="F123" s="4" t="inlineStr">
        <is>
          <t>XP VISTA ASSET MANAGEMENT LTDA.</t>
        </is>
      </c>
      <c r="G123" s="4" t="inlineStr">
        <is>
          <t>Própria</t>
        </is>
      </c>
      <c r="H123" s="8" t="n">
        <v>0.8</v>
      </c>
      <c r="I123" s="7" t="n">
        <v>100</v>
      </c>
      <c r="J123" s="5" t="n">
        <v>1</v>
      </c>
      <c r="K123" s="4" t="inlineStr">
        <is>
          <t>Em Funcionamento Normal</t>
        </is>
      </c>
      <c r="L123" s="4" t="inlineStr">
        <is>
          <t>Site (navegador)</t>
        </is>
      </c>
    </row>
    <row r="124">
      <c r="A124" s="4" t="inlineStr">
        <is>
          <t>XP Investimentos</t>
        </is>
      </c>
      <c r="B124" s="4" t="inlineStr">
        <is>
          <t>Spx Seahawk Plus XP Seg Prev FIC FIM CP</t>
        </is>
      </c>
      <c r="C124" s="4" t="inlineStr">
        <is>
          <t>43.636.185/0001-38</t>
        </is>
      </c>
      <c r="D124" s="4" t="inlineStr">
        <is>
          <t>Previdência Multimercado Livre</t>
        </is>
      </c>
      <c r="E124" s="4" t="inlineStr">
        <is>
          <t>Crédito Híbrido</t>
        </is>
      </c>
      <c r="F124" s="4" t="inlineStr">
        <is>
          <t>XP VIDA E PREVIDÊNCIA S.A.</t>
        </is>
      </c>
      <c r="G124" s="4" t="inlineStr">
        <is>
          <t>Própria</t>
        </is>
      </c>
      <c r="H124" s="8" t="n">
        <v>0.8</v>
      </c>
      <c r="I124" s="7" t="n">
        <v>100</v>
      </c>
      <c r="J124" s="5" t="n">
        <v>1</v>
      </c>
      <c r="K124" s="4" t="inlineStr">
        <is>
          <t>Em Funcionamento Normal</t>
        </is>
      </c>
      <c r="L124" s="4" t="inlineStr">
        <is>
          <t>Site (navegador)</t>
        </is>
      </c>
    </row>
    <row r="125">
      <c r="A125" s="4" t="inlineStr">
        <is>
          <t>XP Investimentos</t>
        </is>
      </c>
      <c r="B125" s="4" t="inlineStr">
        <is>
          <t>Kinea Alpes Prev Xp Seg Mm Cp Ficfi</t>
        </is>
      </c>
      <c r="C125" s="4" t="inlineStr">
        <is>
          <t>43.636.203/0001-81</t>
        </is>
      </c>
      <c r="D125" s="4" t="inlineStr">
        <is>
          <t>Previdência Multimercado Livre</t>
        </is>
      </c>
      <c r="E125" s="4" t="inlineStr">
        <is>
          <t>Crédito High Grade</t>
        </is>
      </c>
      <c r="F125" s="4" t="inlineStr">
        <is>
          <t>XP VIDA E PREVIDÊNCIA S.A.</t>
        </is>
      </c>
      <c r="G125" s="4" t="inlineStr">
        <is>
          <t>Própria</t>
        </is>
      </c>
      <c r="H125" s="8" t="n">
        <v>1</v>
      </c>
      <c r="I125" s="7" t="n">
        <v>100</v>
      </c>
      <c r="J125" s="5" t="n">
        <v>1</v>
      </c>
      <c r="K125" s="4" t="inlineStr">
        <is>
          <t>Em Funcionamento Normal</t>
        </is>
      </c>
      <c r="L125" s="4" t="inlineStr">
        <is>
          <t>Site (navegador)</t>
        </is>
      </c>
    </row>
    <row r="126">
      <c r="A126" s="4" t="inlineStr">
        <is>
          <t>XP Investimentos</t>
        </is>
      </c>
      <c r="B126" s="4" t="inlineStr">
        <is>
          <t>Dahlia 70 Advisory Xp Seg Ii Prev Fic Fim</t>
        </is>
      </c>
      <c r="C126" s="4" t="inlineStr">
        <is>
          <t>43.761.805/0001-60</t>
        </is>
      </c>
      <c r="D126" s="4" t="inlineStr">
        <is>
          <t>Previdência Multimercado Livre</t>
        </is>
      </c>
      <c r="E126" s="4" t="inlineStr">
        <is>
          <t>Renda Variável Long Only</t>
        </is>
      </c>
      <c r="F126" s="4" t="inlineStr">
        <is>
          <t>XP VIDA E PREVIDÊNCIA S.A.</t>
        </is>
      </c>
      <c r="G126" s="4" t="inlineStr">
        <is>
          <t>Própria</t>
        </is>
      </c>
      <c r="H126" s="8" t="n">
        <v>1.5</v>
      </c>
      <c r="I126" s="7" t="n">
        <v>100</v>
      </c>
      <c r="J126" s="5" t="n">
        <v>2</v>
      </c>
      <c r="K126" s="4" t="inlineStr">
        <is>
          <t>Em Funcionamento Normal</t>
        </is>
      </c>
      <c r="L126" s="4" t="inlineStr">
        <is>
          <t>Site (navegador)</t>
        </is>
      </c>
    </row>
    <row r="127">
      <c r="A127" s="4" t="inlineStr">
        <is>
          <t>XP Investimentos</t>
        </is>
      </c>
      <c r="B127" s="4" t="inlineStr">
        <is>
          <t>Capitânia Prev Inflação D30 XP Seg Advisory FIC FIRF CP</t>
        </is>
      </c>
      <c r="C127" s="4" t="inlineStr">
        <is>
          <t>43.779.018/0001-46</t>
        </is>
      </c>
      <c r="D127" s="4" t="inlineStr">
        <is>
          <t>Previdência RF Duração Livre Crédito Liv</t>
        </is>
      </c>
      <c r="E127" s="4" t="inlineStr">
        <is>
          <t>Debêntures Incentivadas Não Hedgeado</t>
        </is>
      </c>
      <c r="F127" s="4" t="inlineStr">
        <is>
          <t>XP VIDA E PREVIDÊNCIA S.A.</t>
        </is>
      </c>
      <c r="G127" s="4" t="inlineStr">
        <is>
          <t>Própria</t>
        </is>
      </c>
      <c r="H127" s="8" t="n">
        <v>1.25</v>
      </c>
      <c r="I127" s="7" t="n">
        <v>100</v>
      </c>
      <c r="J127" s="5" t="n">
        <v>1</v>
      </c>
      <c r="K127" s="4" t="inlineStr">
        <is>
          <t>Em Funcionamento Normal</t>
        </is>
      </c>
      <c r="L127" s="4" t="inlineStr">
        <is>
          <t>Site (navegador)</t>
        </is>
      </c>
    </row>
    <row r="128">
      <c r="A128" s="4" t="inlineStr">
        <is>
          <t>XP Investimentos</t>
        </is>
      </c>
      <c r="B128" s="4" t="inlineStr">
        <is>
          <t>Az Quest Small Mid Caps XP Seg Prev FIE FIC FIA RL</t>
        </is>
      </c>
      <c r="C128" s="4" t="inlineStr">
        <is>
          <t>43.779.069/0001-78</t>
        </is>
      </c>
      <c r="D128" s="4" t="inlineStr">
        <is>
          <t>Previdência Ações Ativo</t>
        </is>
      </c>
      <c r="E128" s="4" t="inlineStr">
        <is>
          <t>Renda Variável Small/Mid Caps</t>
        </is>
      </c>
      <c r="F128" s="4" t="inlineStr">
        <is>
          <t>XP VIDA E PREVIDÊNCIA S.A.</t>
        </is>
      </c>
      <c r="G128" s="4" t="inlineStr">
        <is>
          <t>Própria</t>
        </is>
      </c>
      <c r="H128" s="8" t="n">
        <v>2</v>
      </c>
      <c r="I128" s="7" t="n">
        <v>100</v>
      </c>
      <c r="J128" s="5" t="n">
        <v>2</v>
      </c>
      <c r="K128" s="4" t="inlineStr">
        <is>
          <t>Em Funcionamento Normal</t>
        </is>
      </c>
      <c r="L128" s="4" t="inlineStr">
        <is>
          <t>Site (navegador)</t>
        </is>
      </c>
    </row>
    <row r="129">
      <c r="A129" s="4" t="inlineStr">
        <is>
          <t>XP Investimentos</t>
        </is>
      </c>
      <c r="B129" s="4" t="inlineStr">
        <is>
          <t>Geo Empresas Globais Em Dólares Xp Seg Prev Ficfim Rl</t>
        </is>
      </c>
      <c r="C129" s="4" t="inlineStr">
        <is>
          <t>43.859.993/0001-64</t>
        </is>
      </c>
      <c r="D129" s="4" t="inlineStr">
        <is>
          <t>Previdência Multimercado Livre</t>
        </is>
      </c>
      <c r="E129" s="4" t="inlineStr">
        <is>
          <t>Internacional Ações Não Hedgeado</t>
        </is>
      </c>
      <c r="F129" s="4" t="inlineStr">
        <is>
          <t>XP VIDA E PREVIDÊNCIA S.A.</t>
        </is>
      </c>
      <c r="G129" s="4" t="inlineStr">
        <is>
          <t>Própria</t>
        </is>
      </c>
      <c r="H129" s="8" t="n">
        <v>1</v>
      </c>
      <c r="I129" s="7" t="n">
        <v>100</v>
      </c>
      <c r="J129" s="5" t="n">
        <v>3</v>
      </c>
      <c r="K129" s="4" t="inlineStr">
        <is>
          <t>Em Funcionamento Normal</t>
        </is>
      </c>
      <c r="L129" s="4" t="inlineStr">
        <is>
          <t>Site (navegador)</t>
        </is>
      </c>
    </row>
    <row r="130">
      <c r="A130" s="4" t="inlineStr">
        <is>
          <t>XP Investimentos</t>
        </is>
      </c>
      <c r="B130" s="4" t="inlineStr">
        <is>
          <t>Whg Rf Dinâmico Xp Seg Prev Ficfim Cp Rl</t>
        </is>
      </c>
      <c r="C130" s="4" t="inlineStr">
        <is>
          <t>43.860.077/0001-44</t>
        </is>
      </c>
      <c r="D130" s="4" t="inlineStr">
        <is>
          <t>Previdência Multimercado Livre</t>
        </is>
      </c>
      <c r="E130" s="4" t="inlineStr">
        <is>
          <t>Macro Baixa Vol</t>
        </is>
      </c>
      <c r="F130" s="4" t="inlineStr">
        <is>
          <t>XP VIDA E PREVIDÊNCIA S.A.</t>
        </is>
      </c>
      <c r="G130" s="4" t="inlineStr">
        <is>
          <t>Própria</t>
        </is>
      </c>
      <c r="H130" s="8" t="n">
        <v>1</v>
      </c>
      <c r="I130" s="7" t="n">
        <v>100</v>
      </c>
      <c r="J130" s="5" t="n">
        <v>1</v>
      </c>
      <c r="K130" s="4" t="inlineStr">
        <is>
          <t>Em Funcionamento Normal</t>
        </is>
      </c>
      <c r="L130" s="4" t="inlineStr">
        <is>
          <t>Site (navegador)</t>
        </is>
      </c>
    </row>
    <row r="131">
      <c r="A131" s="4" t="inlineStr">
        <is>
          <t>XP Investimentos</t>
        </is>
      </c>
      <c r="B131" s="4" t="inlineStr">
        <is>
          <t>Lis 70 Xp Seg Prev Ficfim Rl</t>
        </is>
      </c>
      <c r="C131" s="4" t="inlineStr">
        <is>
          <t>43.860.692/0001-50</t>
        </is>
      </c>
      <c r="D131" s="4" t="inlineStr"/>
      <c r="E131" s="4" t="inlineStr">
        <is>
          <t>Renda Variável Small/Mid Caps</t>
        </is>
      </c>
      <c r="F131" s="4" t="inlineStr">
        <is>
          <t>XP Vida e Previdência</t>
        </is>
      </c>
      <c r="G131" s="4" t="inlineStr">
        <is>
          <t>Própria</t>
        </is>
      </c>
      <c r="H131" s="8" t="n">
        <v>2</v>
      </c>
      <c r="I131" s="7" t="n">
        <v>100</v>
      </c>
      <c r="J131" s="5" t="n">
        <v>2</v>
      </c>
      <c r="K131" s="4" t="inlineStr"/>
      <c r="L131" s="4" t="inlineStr">
        <is>
          <t>Site (navegador)</t>
        </is>
      </c>
    </row>
    <row r="132">
      <c r="A132" s="4" t="inlineStr">
        <is>
          <t>XP Investimentos</t>
        </is>
      </c>
      <c r="B132" s="4" t="inlineStr">
        <is>
          <t>Reach Total Return Xp Seg Fic Fim</t>
        </is>
      </c>
      <c r="C132" s="4" t="inlineStr">
        <is>
          <t>44.157.016/0001-88</t>
        </is>
      </c>
      <c r="D132" s="4" t="inlineStr">
        <is>
          <t>Previdência Multimercado Livre</t>
        </is>
      </c>
      <c r="E132" s="4" t="inlineStr">
        <is>
          <t>Renda Variável Long Biased</t>
        </is>
      </c>
      <c r="F132" s="4" t="inlineStr">
        <is>
          <t>XP VIDA E PREVIDÊNCIA S.A.</t>
        </is>
      </c>
      <c r="G132" s="4" t="inlineStr">
        <is>
          <t>Própria</t>
        </is>
      </c>
      <c r="H132" s="8" t="n">
        <v>2</v>
      </c>
      <c r="I132" s="7" t="n">
        <v>100</v>
      </c>
      <c r="J132" s="5" t="n">
        <v>2</v>
      </c>
      <c r="K132" s="4" t="inlineStr">
        <is>
          <t>Em Funcionamento Normal</t>
        </is>
      </c>
      <c r="L132" s="4" t="inlineStr">
        <is>
          <t>Site (navegador)</t>
        </is>
      </c>
    </row>
    <row r="133">
      <c r="A133" s="4" t="inlineStr">
        <is>
          <t>XP Investimentos</t>
        </is>
      </c>
      <c r="B133" s="4" t="inlineStr">
        <is>
          <t>Vinci Crédito Prev Advisory Firf Cp Rl</t>
        </is>
      </c>
      <c r="C133" s="4" t="inlineStr">
        <is>
          <t>44.230.868/0001-53</t>
        </is>
      </c>
      <c r="D133" s="4" t="inlineStr">
        <is>
          <t>Previdência RF Duração Baixa Grau de Inv</t>
        </is>
      </c>
      <c r="E133" s="4" t="inlineStr">
        <is>
          <t>Crédito High Grade</t>
        </is>
      </c>
      <c r="F133" s="4" t="inlineStr">
        <is>
          <t>VINCI GESTORA DE RECURSOS LTDA</t>
        </is>
      </c>
      <c r="G133" s="4" t="inlineStr">
        <is>
          <t>Terceiros</t>
        </is>
      </c>
      <c r="H133" s="8" t="n">
        <v>0.9</v>
      </c>
      <c r="I133" s="7" t="n">
        <v>100</v>
      </c>
      <c r="J133" s="5" t="n">
        <v>1</v>
      </c>
      <c r="K133" s="4" t="inlineStr">
        <is>
          <t>Em Funcionamento Normal</t>
        </is>
      </c>
      <c r="L133" s="4" t="inlineStr">
        <is>
          <t>Site (navegador)</t>
        </is>
      </c>
    </row>
    <row r="134">
      <c r="A134" s="4" t="inlineStr">
        <is>
          <t>XP Investimentos</t>
        </is>
      </c>
      <c r="B134" s="4" t="inlineStr">
        <is>
          <t>A1 Hedge Prev Xp Seg Prev Ficfim Rl</t>
        </is>
      </c>
      <c r="C134" s="4" t="inlineStr">
        <is>
          <t>44.409.267/0001-02</t>
        </is>
      </c>
      <c r="D134" s="4" t="inlineStr">
        <is>
          <t>Previdência Multimercado Livre</t>
        </is>
      </c>
      <c r="E134" s="4" t="inlineStr">
        <is>
          <t>Macro Alta Vol</t>
        </is>
      </c>
      <c r="F134" s="4" t="inlineStr">
        <is>
          <t>XP VIDA E PREVIDÊNCIA S.A.</t>
        </is>
      </c>
      <c r="G134" s="4" t="inlineStr">
        <is>
          <t>Própria</t>
        </is>
      </c>
      <c r="H134" s="8" t="n">
        <v>2.1</v>
      </c>
      <c r="I134" s="7" t="n">
        <v>100</v>
      </c>
      <c r="J134" s="5" t="n">
        <v>2</v>
      </c>
      <c r="K134" s="4" t="inlineStr">
        <is>
          <t>Em Funcionamento Normal</t>
        </is>
      </c>
      <c r="L134" s="4" t="inlineStr">
        <is>
          <t>Site (navegador)</t>
        </is>
      </c>
    </row>
    <row r="135">
      <c r="A135" s="4" t="inlineStr">
        <is>
          <t>XP Investimentos</t>
        </is>
      </c>
      <c r="B135" s="4" t="inlineStr">
        <is>
          <t>Guepardo 70 Xp Seg Prev Ficfim</t>
        </is>
      </c>
      <c r="C135" s="4" t="inlineStr">
        <is>
          <t>44.409.327/0001-97</t>
        </is>
      </c>
      <c r="D135" s="4" t="inlineStr">
        <is>
          <t>Previdência Multimercado Livre</t>
        </is>
      </c>
      <c r="E135" s="4" t="inlineStr">
        <is>
          <t>Renda Variável Long Only</t>
        </is>
      </c>
      <c r="F135" s="4" t="inlineStr">
        <is>
          <t>XP VIDA E PREVIDÊNCIA S.A.</t>
        </is>
      </c>
      <c r="G135" s="4" t="inlineStr">
        <is>
          <t>Própria</t>
        </is>
      </c>
      <c r="H135" s="8" t="n">
        <v>1.5</v>
      </c>
      <c r="I135" s="7" t="n">
        <v>100</v>
      </c>
      <c r="J135" s="5" t="n">
        <v>2</v>
      </c>
      <c r="K135" s="4" t="inlineStr">
        <is>
          <t>Em Funcionamento Normal</t>
        </is>
      </c>
      <c r="L135" s="4" t="inlineStr">
        <is>
          <t>Site (navegador)</t>
        </is>
      </c>
    </row>
    <row r="136">
      <c r="A136" s="4" t="inlineStr">
        <is>
          <t>XP Investimentos</t>
        </is>
      </c>
      <c r="B136" s="4" t="inlineStr">
        <is>
          <t>Ibiuna Credit Xp Seg Prev Ficfim Cp Rl</t>
        </is>
      </c>
      <c r="C136" s="4" t="inlineStr">
        <is>
          <t>44.409.353/0001-15</t>
        </is>
      </c>
      <c r="D136" s="4" t="inlineStr">
        <is>
          <t>Previdência Multimercado Livre</t>
        </is>
      </c>
      <c r="E136" s="4" t="inlineStr">
        <is>
          <t>Crédito High Grade</t>
        </is>
      </c>
      <c r="F136" s="4" t="inlineStr">
        <is>
          <t>XP VIDA E PREVIDÊNCIA S.A.</t>
        </is>
      </c>
      <c r="G136" s="4" t="inlineStr">
        <is>
          <t>Própria</t>
        </is>
      </c>
      <c r="H136" s="8" t="n">
        <v>0.8</v>
      </c>
      <c r="I136" s="7" t="n">
        <v>100</v>
      </c>
      <c r="J136" s="5" t="n">
        <v>1</v>
      </c>
      <c r="K136" s="4" t="inlineStr">
        <is>
          <t>Em Funcionamento Normal</t>
        </is>
      </c>
      <c r="L136" s="4" t="inlineStr">
        <is>
          <t>Site (navegador)</t>
        </is>
      </c>
    </row>
    <row r="137">
      <c r="A137" s="4" t="inlineStr">
        <is>
          <t>XP Investimentos</t>
        </is>
      </c>
      <c r="B137" s="4" t="inlineStr">
        <is>
          <t>Távola Equity Hedge Prev XP LS FIC FIM RL</t>
        </is>
      </c>
      <c r="C137" s="4" t="inlineStr">
        <is>
          <t>44.409.412/0001-55</t>
        </is>
      </c>
      <c r="D137" s="4" t="inlineStr">
        <is>
          <t>Previdência Multimercado Livre</t>
        </is>
      </c>
      <c r="E137" s="4" t="inlineStr">
        <is>
          <t>Long Short Direcional</t>
        </is>
      </c>
      <c r="F137" s="4" t="inlineStr">
        <is>
          <t>TÁVOLA CAPITAL GESTÃO DE RECURSOS LTDA.</t>
        </is>
      </c>
      <c r="G137" s="4" t="inlineStr">
        <is>
          <t>Terceiros</t>
        </is>
      </c>
      <c r="H137" s="8" t="n">
        <v>1.92</v>
      </c>
      <c r="I137" s="7" t="n">
        <v>100</v>
      </c>
      <c r="J137" s="5" t="n">
        <v>2</v>
      </c>
      <c r="K137" s="4" t="inlineStr">
        <is>
          <t>Em Funcionamento Normal</t>
        </is>
      </c>
      <c r="L137" s="4" t="inlineStr">
        <is>
          <t>Site (navegador)</t>
        </is>
      </c>
    </row>
    <row r="138">
      <c r="A138" s="4" t="inlineStr">
        <is>
          <t>XP Investimentos</t>
        </is>
      </c>
      <c r="B138" s="4" t="inlineStr">
        <is>
          <t>Ibiuna ST XP Seg Prev FIC FIM CP</t>
        </is>
      </c>
      <c r="C138" s="4" t="inlineStr">
        <is>
          <t>44.409.430/0001-37</t>
        </is>
      </c>
      <c r="D138" s="4" t="inlineStr">
        <is>
          <t>Previdência Multimercado Livre</t>
        </is>
      </c>
      <c r="E138" s="4" t="inlineStr">
        <is>
          <t>Macro Alta Vol</t>
        </is>
      </c>
      <c r="F138" s="4" t="inlineStr">
        <is>
          <t>XP VIDA E PREVIDÊNCIA S.A.</t>
        </is>
      </c>
      <c r="G138" s="4" t="inlineStr">
        <is>
          <t>Própria</t>
        </is>
      </c>
      <c r="H138" s="8" t="n">
        <v>2</v>
      </c>
      <c r="I138" s="7" t="n">
        <v>100</v>
      </c>
      <c r="J138" s="5" t="n">
        <v>1</v>
      </c>
      <c r="K138" s="4" t="inlineStr">
        <is>
          <t>Em Funcionamento Normal</t>
        </is>
      </c>
      <c r="L138" s="4" t="inlineStr">
        <is>
          <t>Site (navegador)</t>
        </is>
      </c>
    </row>
    <row r="139">
      <c r="A139" s="4" t="inlineStr">
        <is>
          <t>XP Investimentos</t>
        </is>
      </c>
      <c r="B139" s="4" t="inlineStr">
        <is>
          <t>Kad Ima-B Xp Seg Prev Ficfim Rl</t>
        </is>
      </c>
      <c r="C139" s="4" t="inlineStr">
        <is>
          <t>44.434.888/0001-46</t>
        </is>
      </c>
      <c r="D139" s="4" t="inlineStr">
        <is>
          <t>Previdência Multimercado Livre</t>
        </is>
      </c>
      <c r="E139" s="4" t="inlineStr">
        <is>
          <t>Renda Fixa Inflação</t>
        </is>
      </c>
      <c r="F139" s="4" t="inlineStr">
        <is>
          <t>XP VIDA E PREVIDÊNCIA S.A.</t>
        </is>
      </c>
      <c r="G139" s="4" t="inlineStr">
        <is>
          <t>Própria</t>
        </is>
      </c>
      <c r="H139" s="8" t="n">
        <v>0.8</v>
      </c>
      <c r="I139" s="7" t="n">
        <v>100</v>
      </c>
      <c r="J139" s="5" t="n">
        <v>1</v>
      </c>
      <c r="K139" s="4" t="inlineStr">
        <is>
          <t>Em Funcionamento Normal</t>
        </is>
      </c>
      <c r="L139" s="4" t="inlineStr">
        <is>
          <t>Site (navegador)</t>
        </is>
      </c>
    </row>
    <row r="140">
      <c r="A140" s="4" t="inlineStr">
        <is>
          <t>XP Investimentos</t>
        </is>
      </c>
      <c r="B140" s="4" t="inlineStr">
        <is>
          <t>Vista Macro Xp Seg Prev Ficfim Cp Rl</t>
        </is>
      </c>
      <c r="C140" s="4" t="inlineStr">
        <is>
          <t>44.748.957/0001-96</t>
        </is>
      </c>
      <c r="D140" s="4" t="inlineStr">
        <is>
          <t>Previdência Multimercado Livre</t>
        </is>
      </c>
      <c r="E140" s="4" t="inlineStr">
        <is>
          <t>Macro Alta Vol</t>
        </is>
      </c>
      <c r="F140" s="4" t="inlineStr">
        <is>
          <t>XP VIDA E PREVIDÊNCIA S.A.</t>
        </is>
      </c>
      <c r="G140" s="4" t="inlineStr">
        <is>
          <t>Própria</t>
        </is>
      </c>
      <c r="H140" s="8" t="n">
        <v>2</v>
      </c>
      <c r="I140" s="7" t="n">
        <v>100</v>
      </c>
      <c r="J140" s="5" t="n">
        <v>2</v>
      </c>
      <c r="K140" s="4" t="inlineStr">
        <is>
          <t>Em Funcionamento Normal</t>
        </is>
      </c>
      <c r="L140" s="4" t="inlineStr">
        <is>
          <t>Site (navegador)</t>
        </is>
      </c>
    </row>
    <row r="141">
      <c r="A141" s="4" t="inlineStr">
        <is>
          <t>XP Investimentos</t>
        </is>
      </c>
      <c r="B141" s="4" t="inlineStr">
        <is>
          <t>Suno Ações Xp Seg Prev Fic Fim Rl</t>
        </is>
      </c>
      <c r="C141" s="4" t="inlineStr">
        <is>
          <t>44.814.968/0001-27</t>
        </is>
      </c>
      <c r="D141" s="4" t="inlineStr">
        <is>
          <t>Previdência Multimercado Livre</t>
        </is>
      </c>
      <c r="E141" s="4" t="inlineStr">
        <is>
          <t>Renda Variável Long Only</t>
        </is>
      </c>
      <c r="F141" s="4" t="inlineStr">
        <is>
          <t>XP VIDA E PREVIDÊNCIA S.A.</t>
        </is>
      </c>
      <c r="G141" s="4" t="inlineStr">
        <is>
          <t>Própria</t>
        </is>
      </c>
      <c r="H141" s="8" t="n">
        <v>2</v>
      </c>
      <c r="I141" s="7" t="n">
        <v>100</v>
      </c>
      <c r="J141" s="5" t="n">
        <v>2</v>
      </c>
      <c r="K141" s="4" t="inlineStr">
        <is>
          <t>Em Funcionamento Normal</t>
        </is>
      </c>
      <c r="L141" s="4" t="inlineStr">
        <is>
          <t>Site (navegador)</t>
        </is>
      </c>
    </row>
    <row r="142">
      <c r="A142" s="4" t="inlineStr">
        <is>
          <t>XP Investimentos</t>
        </is>
      </c>
      <c r="B142" s="4" t="inlineStr">
        <is>
          <t>Sparta Inflação Prev Advisory XP Seg FIC FIRF CP</t>
        </is>
      </c>
      <c r="C142" s="4" t="inlineStr">
        <is>
          <t>44.843.813/0001-19</t>
        </is>
      </c>
      <c r="D142" s="4" t="inlineStr">
        <is>
          <t>Previdência RF Duração Média Crédito Liv</t>
        </is>
      </c>
      <c r="E142" s="4" t="inlineStr">
        <is>
          <t>Renda Fixa Inflação</t>
        </is>
      </c>
      <c r="F142" s="4" t="inlineStr">
        <is>
          <t>XP VIDA E PREVIDÊNCIA S.A.</t>
        </is>
      </c>
      <c r="G142" s="4" t="inlineStr">
        <is>
          <t>Própria</t>
        </is>
      </c>
      <c r="H142" s="8" t="n">
        <v>1.1</v>
      </c>
      <c r="I142" s="7" t="n">
        <v>100</v>
      </c>
      <c r="J142" s="5" t="n">
        <v>1</v>
      </c>
      <c r="K142" s="4" t="inlineStr">
        <is>
          <t>Em Funcionamento Normal</t>
        </is>
      </c>
      <c r="L142" s="4" t="inlineStr">
        <is>
          <t>Site (navegador)</t>
        </is>
      </c>
    </row>
    <row r="143">
      <c r="A143" s="4" t="inlineStr">
        <is>
          <t>XP Investimentos</t>
        </is>
      </c>
      <c r="B143" s="4" t="inlineStr">
        <is>
          <t>Porto CP Prev XP Seg FICFIM RL</t>
        </is>
      </c>
      <c r="C143" s="4" t="inlineStr">
        <is>
          <t>45.089.750/0001-10</t>
        </is>
      </c>
      <c r="D143" s="4" t="inlineStr">
        <is>
          <t>Previdência Multimercado Livre</t>
        </is>
      </c>
      <c r="E143" s="4" t="inlineStr">
        <is>
          <t>Crédito High Grade</t>
        </is>
      </c>
      <c r="F143" s="4" t="inlineStr">
        <is>
          <t>XP VIDA E PREVIDÊNCIA S.A.</t>
        </is>
      </c>
      <c r="G143" s="4" t="inlineStr">
        <is>
          <t>Própria</t>
        </is>
      </c>
      <c r="H143" s="8" t="n">
        <v>0.9</v>
      </c>
      <c r="I143" s="7" t="n">
        <v>100</v>
      </c>
      <c r="J143" s="5" t="n">
        <v>1</v>
      </c>
      <c r="K143" s="4" t="inlineStr">
        <is>
          <t>Em Funcionamento Normal</t>
        </is>
      </c>
      <c r="L143" s="4" t="inlineStr">
        <is>
          <t>Site (navegador)</t>
        </is>
      </c>
    </row>
    <row r="144">
      <c r="A144" s="4" t="inlineStr">
        <is>
          <t>XP Investimentos</t>
        </is>
      </c>
      <c r="B144" s="4" t="inlineStr">
        <is>
          <t>Az Quest Altro Prev XP Seg FIC FIM CP</t>
        </is>
      </c>
      <c r="C144" s="4" t="inlineStr">
        <is>
          <t>45.298.150/0001-61</t>
        </is>
      </c>
      <c r="D144" s="4" t="inlineStr">
        <is>
          <t>Previdência Multimercado Livre</t>
        </is>
      </c>
      <c r="E144" s="4" t="inlineStr">
        <is>
          <t>Crédito High Grade</t>
        </is>
      </c>
      <c r="F144" s="4" t="inlineStr">
        <is>
          <t>XP VIDA E PREVIDÊNCIA S.A.</t>
        </is>
      </c>
      <c r="G144" s="4" t="inlineStr">
        <is>
          <t>Própria</t>
        </is>
      </c>
      <c r="H144" s="8" t="n">
        <v>1.15</v>
      </c>
      <c r="I144" s="7" t="n">
        <v>100</v>
      </c>
      <c r="J144" s="5" t="n">
        <v>1</v>
      </c>
      <c r="K144" s="4" t="inlineStr">
        <is>
          <t>Em Funcionamento Normal</t>
        </is>
      </c>
      <c r="L144" s="4" t="inlineStr">
        <is>
          <t>Site (navegador)</t>
        </is>
      </c>
    </row>
    <row r="145">
      <c r="A145" s="4" t="inlineStr">
        <is>
          <t>XP Investimentos</t>
        </is>
      </c>
      <c r="B145" s="4" t="inlineStr">
        <is>
          <t>Sulamérica Prestige Strategie Prev XP Seg FICFIRF CP RL</t>
        </is>
      </c>
      <c r="C145" s="4" t="inlineStr">
        <is>
          <t>45.299.196/0001-03</t>
        </is>
      </c>
      <c r="D145" s="4" t="inlineStr">
        <is>
          <t>Previdência Multimercado Livre</t>
        </is>
      </c>
      <c r="E145" s="4" t="inlineStr">
        <is>
          <t>Crédito Liquidez</t>
        </is>
      </c>
      <c r="F145" s="4" t="inlineStr">
        <is>
          <t>XP VIDA E PREVIDÊNCIA S.A.</t>
        </is>
      </c>
      <c r="G145" s="4" t="inlineStr">
        <is>
          <t>Própria</t>
        </is>
      </c>
      <c r="H145" s="8" t="n">
        <v>0.8</v>
      </c>
      <c r="I145" s="7" t="n">
        <v>100</v>
      </c>
      <c r="J145" s="5" t="n">
        <v>1</v>
      </c>
      <c r="K145" s="4" t="inlineStr">
        <is>
          <t>Em Funcionamento Normal</t>
        </is>
      </c>
      <c r="L145" s="4" t="inlineStr">
        <is>
          <t>Site (navegador)</t>
        </is>
      </c>
    </row>
    <row r="146">
      <c r="A146" s="4" t="inlineStr">
        <is>
          <t>XP Investimentos</t>
        </is>
      </c>
      <c r="B146" s="4" t="inlineStr">
        <is>
          <t>Mag Prev Rf Fic Fim</t>
        </is>
      </c>
      <c r="C146" s="4" t="inlineStr">
        <is>
          <t>45.645.112/0001-38</t>
        </is>
      </c>
      <c r="D146" s="4" t="inlineStr">
        <is>
          <t>Previdência Multimercado Livre</t>
        </is>
      </c>
      <c r="E146" s="4" t="inlineStr">
        <is>
          <t>Renda Fixa Ativo</t>
        </is>
      </c>
      <c r="F146" s="4" t="inlineStr">
        <is>
          <t>XP VIDA E PREVIDÊNCIA S.A.</t>
        </is>
      </c>
      <c r="G146" s="4" t="inlineStr">
        <is>
          <t>Própria</t>
        </is>
      </c>
      <c r="H146" s="8" t="n">
        <v>0.7</v>
      </c>
      <c r="I146" s="7" t="n">
        <v>100</v>
      </c>
      <c r="J146" s="5" t="n">
        <v>1</v>
      </c>
      <c r="K146" s="4" t="inlineStr">
        <is>
          <t>Em Funcionamento Normal</t>
        </is>
      </c>
      <c r="L146" s="4" t="inlineStr">
        <is>
          <t>Site (navegador)</t>
        </is>
      </c>
    </row>
    <row r="147">
      <c r="A147" s="4" t="inlineStr">
        <is>
          <t>XP Investimentos</t>
        </is>
      </c>
      <c r="B147" s="4" t="inlineStr">
        <is>
          <t>Legacy Capital Prev Advisory Ii Xp Seg Ficfim</t>
        </is>
      </c>
      <c r="C147" s="4" t="inlineStr">
        <is>
          <t>45.645.166/0001-01</t>
        </is>
      </c>
      <c r="D147" s="4" t="inlineStr">
        <is>
          <t>Previdência Multimercado Livre</t>
        </is>
      </c>
      <c r="E147" s="4" t="inlineStr">
        <is>
          <t>Macro Alta Vol</t>
        </is>
      </c>
      <c r="F147" s="4" t="inlineStr">
        <is>
          <t>XP VIDA E PREVIDÊNCIA S.A.</t>
        </is>
      </c>
      <c r="G147" s="4" t="inlineStr">
        <is>
          <t>Própria</t>
        </is>
      </c>
      <c r="H147" s="8" t="n">
        <v>2</v>
      </c>
      <c r="I147" s="7" t="n">
        <v>100</v>
      </c>
      <c r="J147" s="5" t="n">
        <v>1</v>
      </c>
      <c r="K147" s="4" t="inlineStr">
        <is>
          <t>Em Funcionamento Normal</t>
        </is>
      </c>
      <c r="L147" s="4" t="inlineStr">
        <is>
          <t>Site (navegador)</t>
        </is>
      </c>
    </row>
    <row r="148">
      <c r="A148" s="4" t="inlineStr">
        <is>
          <t>XP Investimentos</t>
        </is>
      </c>
      <c r="B148" s="4" t="inlineStr">
        <is>
          <t>Asa Hedge Prev XP Seg FIC FIM RL</t>
        </is>
      </c>
      <c r="C148" s="4" t="inlineStr">
        <is>
          <t>45.645.218/0001-31</t>
        </is>
      </c>
      <c r="D148" s="4" t="inlineStr">
        <is>
          <t>Previdência Multimercado Livre</t>
        </is>
      </c>
      <c r="E148" s="4" t="inlineStr">
        <is>
          <t>Macro Alta Vol</t>
        </is>
      </c>
      <c r="F148" s="4" t="inlineStr">
        <is>
          <t>XP VIDA E PREVIDÊNCIA S.A.</t>
        </is>
      </c>
      <c r="G148" s="4" t="inlineStr">
        <is>
          <t>Própria</t>
        </is>
      </c>
      <c r="H148" s="8" t="n">
        <v>2</v>
      </c>
      <c r="I148" s="7" t="n">
        <v>100</v>
      </c>
      <c r="J148" s="5" t="n">
        <v>1</v>
      </c>
      <c r="K148" s="4" t="inlineStr">
        <is>
          <t>Em Funcionamento Normal</t>
        </is>
      </c>
      <c r="L148" s="4" t="inlineStr">
        <is>
          <t>Site (navegador)</t>
        </is>
      </c>
    </row>
    <row r="149">
      <c r="A149" s="4" t="inlineStr">
        <is>
          <t>XP Investimentos</t>
        </is>
      </c>
      <c r="B149" s="4" t="inlineStr">
        <is>
          <t>Bahia Am Rf Ativo Prev Xp Seg Fic Fim</t>
        </is>
      </c>
      <c r="C149" s="4" t="inlineStr">
        <is>
          <t>45.645.241/0001-26</t>
        </is>
      </c>
      <c r="D149" s="4" t="inlineStr">
        <is>
          <t>Previdência Multimercado Livre</t>
        </is>
      </c>
      <c r="E149" s="4" t="inlineStr">
        <is>
          <t>Renda Fixa Ativo</t>
        </is>
      </c>
      <c r="F149" s="4" t="inlineStr">
        <is>
          <t>XP VIDA E PREVIDÊNCIA S.A.</t>
        </is>
      </c>
      <c r="G149" s="4" t="inlineStr">
        <is>
          <t>Própria</t>
        </is>
      </c>
      <c r="H149" s="8" t="n">
        <v>0.9</v>
      </c>
      <c r="I149" s="7" t="n">
        <v>100</v>
      </c>
      <c r="J149" s="5" t="n">
        <v>1</v>
      </c>
      <c r="K149" s="4" t="inlineStr">
        <is>
          <t>Em Funcionamento Normal</t>
        </is>
      </c>
      <c r="L149" s="4" t="inlineStr">
        <is>
          <t>Site (navegador)</t>
        </is>
      </c>
    </row>
    <row r="150">
      <c r="A150" s="4" t="inlineStr">
        <is>
          <t>XP Investimentos</t>
        </is>
      </c>
      <c r="B150" s="4" t="inlineStr">
        <is>
          <t>Vrb Advisory Rf Prev Fundo De Investimento Multimercado Crédito Privado</t>
        </is>
      </c>
      <c r="C150" s="4" t="inlineStr">
        <is>
          <t>45.645.386/0001-27</t>
        </is>
      </c>
      <c r="D150" s="4" t="inlineStr">
        <is>
          <t>Previdência Multimercado Livre</t>
        </is>
      </c>
      <c r="E150" s="4" t="inlineStr">
        <is>
          <t>Crédito High Grade</t>
        </is>
      </c>
      <c r="F150" s="4" t="inlineStr">
        <is>
          <t>XP ADVISORY GESTAO DE RECURSOS LTDA</t>
        </is>
      </c>
      <c r="G150" s="4" t="inlineStr">
        <is>
          <t>Própria</t>
        </is>
      </c>
      <c r="H150" s="8" t="n">
        <v>0.74</v>
      </c>
      <c r="I150" s="7" t="n">
        <v>100</v>
      </c>
      <c r="J150" s="5" t="n">
        <v>2</v>
      </c>
      <c r="K150" s="4" t="inlineStr">
        <is>
          <t>Em Funcionamento Normal</t>
        </is>
      </c>
      <c r="L150" s="4" t="inlineStr">
        <is>
          <t>Site (navegador)</t>
        </is>
      </c>
    </row>
    <row r="151">
      <c r="A151" s="4" t="inlineStr">
        <is>
          <t>XP Investimentos</t>
        </is>
      </c>
      <c r="B151" s="4" t="inlineStr">
        <is>
          <t>Itaú Optimus Titan XP Seg FIC FIM RL</t>
        </is>
      </c>
      <c r="C151" s="4" t="inlineStr">
        <is>
          <t>45.756.511/0001-76</t>
        </is>
      </c>
      <c r="D151" s="4" t="inlineStr">
        <is>
          <t>Previdência Multimercado Livre</t>
        </is>
      </c>
      <c r="E151" s="4" t="inlineStr">
        <is>
          <t>Macro Média Vol</t>
        </is>
      </c>
      <c r="F151" s="4" t="inlineStr">
        <is>
          <t>ITAU UNIBANCO ASSET MANAGEMENT LTDA.</t>
        </is>
      </c>
      <c r="G151" s="4" t="inlineStr">
        <is>
          <t>Terceiros</t>
        </is>
      </c>
      <c r="H151" s="8" t="n">
        <v>2</v>
      </c>
      <c r="I151" s="7" t="n">
        <v>100</v>
      </c>
      <c r="J151" s="5" t="n">
        <v>1</v>
      </c>
      <c r="K151" s="4" t="inlineStr">
        <is>
          <t>Em Funcionamento Normal</t>
        </is>
      </c>
      <c r="L151" s="4" t="inlineStr">
        <is>
          <t>Site (navegador)</t>
        </is>
      </c>
    </row>
    <row r="152">
      <c r="A152" s="4" t="inlineStr">
        <is>
          <t>XP Investimentos</t>
        </is>
      </c>
      <c r="B152" s="4" t="inlineStr">
        <is>
          <t>XP Strategy III Prev FIC FIM RL</t>
        </is>
      </c>
      <c r="C152" s="4" t="inlineStr">
        <is>
          <t>46.099.658/0001-01</t>
        </is>
      </c>
      <c r="D152" s="4" t="inlineStr">
        <is>
          <t>Previdência Multimercado Livre</t>
        </is>
      </c>
      <c r="E152" s="4" t="inlineStr">
        <is>
          <t>Macro Alta Vol</t>
        </is>
      </c>
      <c r="F152" s="4" t="inlineStr">
        <is>
          <t>XP VIDA E PREVIDÊNCIA S.A.</t>
        </is>
      </c>
      <c r="G152" s="4" t="inlineStr">
        <is>
          <t>Própria</t>
        </is>
      </c>
      <c r="H152" s="8" t="n">
        <v>2</v>
      </c>
      <c r="I152" s="7" t="n">
        <v>100</v>
      </c>
      <c r="J152" s="5" t="n">
        <v>1</v>
      </c>
      <c r="K152" s="4" t="inlineStr">
        <is>
          <t>Em Funcionamento Normal</t>
        </is>
      </c>
      <c r="L152" s="4" t="inlineStr">
        <is>
          <t>Site (navegador)</t>
        </is>
      </c>
    </row>
    <row r="153">
      <c r="A153" s="4" t="inlineStr">
        <is>
          <t>XP Investimentos</t>
        </is>
      </c>
      <c r="B153" s="4" t="inlineStr">
        <is>
          <t>Sulamérica Prestige Xp Seg Prev Fif Rf Rl</t>
        </is>
      </c>
      <c r="C153" s="4" t="inlineStr">
        <is>
          <t>46.334.681/0001-25</t>
        </is>
      </c>
      <c r="D153" s="4" t="inlineStr">
        <is>
          <t>Previdência RF Duração Livre Crédito Liv</t>
        </is>
      </c>
      <c r="E153" s="4" t="inlineStr">
        <is>
          <t>Crédito Liquidez</t>
        </is>
      </c>
      <c r="F153" s="4" t="inlineStr">
        <is>
          <t>SUL AMÉRICA INVESTIMENTOS GESTORA DE RECURSOS S.A.</t>
        </is>
      </c>
      <c r="G153" s="4" t="inlineStr">
        <is>
          <t>Terceiros</t>
        </is>
      </c>
      <c r="H153" s="8" t="n">
        <v>0.7</v>
      </c>
      <c r="I153" s="7" t="n">
        <v>100</v>
      </c>
      <c r="J153" s="5" t="n">
        <v>1</v>
      </c>
      <c r="K153" s="4" t="inlineStr">
        <is>
          <t>Em Funcionamento Normal</t>
        </is>
      </c>
      <c r="L153" s="4" t="inlineStr">
        <is>
          <t>Site (navegador)</t>
        </is>
      </c>
    </row>
    <row r="154">
      <c r="A154" s="4" t="inlineStr">
        <is>
          <t>XP Investimentos</t>
        </is>
      </c>
      <c r="B154" s="4" t="inlineStr">
        <is>
          <t>Quantitas Capri Xp Seg Prev Ficfim</t>
        </is>
      </c>
      <c r="C154" s="4" t="inlineStr">
        <is>
          <t>46.948.233/0001-11</t>
        </is>
      </c>
      <c r="D154" s="4" t="inlineStr">
        <is>
          <t>Previdência Multimercado Livre</t>
        </is>
      </c>
      <c r="E154" s="4" t="inlineStr">
        <is>
          <t>Macro Média Vol</t>
        </is>
      </c>
      <c r="F154" s="4" t="inlineStr">
        <is>
          <t>XP VIDA E PREVIDÊNCIA S.A.</t>
        </is>
      </c>
      <c r="G154" s="4" t="inlineStr">
        <is>
          <t>Própria</t>
        </is>
      </c>
      <c r="H154" s="8" t="n">
        <v>1.8</v>
      </c>
      <c r="I154" s="7" t="n">
        <v>100</v>
      </c>
      <c r="J154" s="5" t="n">
        <v>1</v>
      </c>
      <c r="K154" s="4" t="inlineStr">
        <is>
          <t>Em Funcionamento Normal</t>
        </is>
      </c>
      <c r="L154" s="4" t="inlineStr">
        <is>
          <t>Site (navegador)</t>
        </is>
      </c>
    </row>
    <row r="155">
      <c r="A155" s="4" t="inlineStr">
        <is>
          <t>XP Investimentos</t>
        </is>
      </c>
      <c r="B155" s="4" t="inlineStr">
        <is>
          <t>Giant Zarathustra 80 Prev Xp Seg Fic Fim Rl</t>
        </is>
      </c>
      <c r="C155" s="4" t="inlineStr">
        <is>
          <t>47.020.660/0001-06</t>
        </is>
      </c>
      <c r="D155" s="4" t="inlineStr">
        <is>
          <t>Previdência Multimercado Livre</t>
        </is>
      </c>
      <c r="E155" s="4" t="inlineStr">
        <is>
          <t>Quantitativo</t>
        </is>
      </c>
      <c r="F155" s="4" t="inlineStr">
        <is>
          <t>XP VIDA E PREVIDÊNCIA S.A.</t>
        </is>
      </c>
      <c r="G155" s="4" t="inlineStr">
        <is>
          <t>Própria</t>
        </is>
      </c>
      <c r="H155" s="8" t="n">
        <v>1</v>
      </c>
      <c r="I155" s="7" t="n">
        <v>100</v>
      </c>
      <c r="J155" s="5" t="n">
        <v>2</v>
      </c>
      <c r="K155" s="4" t="inlineStr">
        <is>
          <t>Em Funcionamento Normal</t>
        </is>
      </c>
      <c r="L155" s="4" t="inlineStr">
        <is>
          <t>Site (navegador)</t>
        </is>
      </c>
    </row>
    <row r="156">
      <c r="A156" s="4" t="inlineStr">
        <is>
          <t>XP Investimentos</t>
        </is>
      </c>
      <c r="B156" s="4" t="inlineStr">
        <is>
          <t>Icatu Vanguarda Dinâmico Ipca Xp Seg Fim Cp Prev Rl</t>
        </is>
      </c>
      <c r="C156" s="4" t="inlineStr">
        <is>
          <t>47.020.699/0001-15</t>
        </is>
      </c>
      <c r="D156" s="4" t="inlineStr">
        <is>
          <t>Previdência Multimercado Livre</t>
        </is>
      </c>
      <c r="E156" s="4" t="inlineStr">
        <is>
          <t>Inflação/Pré Indexado</t>
        </is>
      </c>
      <c r="F156" s="4" t="inlineStr">
        <is>
          <t>ICATU VANGUARDA GESTÃO DE RECURSOS LTDA</t>
        </is>
      </c>
      <c r="G156" s="4" t="inlineStr">
        <is>
          <t>Terceiros</t>
        </is>
      </c>
      <c r="H156" s="8" t="n">
        <v>0.98</v>
      </c>
      <c r="I156" s="7" t="n">
        <v>100</v>
      </c>
      <c r="J156" s="5" t="n">
        <v>2</v>
      </c>
      <c r="K156" s="4" t="inlineStr">
        <is>
          <t>Em Funcionamento Normal</t>
        </is>
      </c>
      <c r="L156" s="4" t="inlineStr">
        <is>
          <t>Site (navegador)</t>
        </is>
      </c>
    </row>
    <row r="157">
      <c r="A157" s="4" t="inlineStr">
        <is>
          <t>XP Investimentos</t>
        </is>
      </c>
      <c r="B157" s="4" t="inlineStr">
        <is>
          <t>Itaú Sinfonia XP Seg Prev FIC FIM CP RL</t>
        </is>
      </c>
      <c r="C157" s="4" t="inlineStr">
        <is>
          <t>47.020.727/0001-02</t>
        </is>
      </c>
      <c r="D157" s="4" t="inlineStr">
        <is>
          <t>Previdência Multimercado Livre</t>
        </is>
      </c>
      <c r="E157" s="4" t="inlineStr">
        <is>
          <t>Crédito Híbrido</t>
        </is>
      </c>
      <c r="F157" s="4" t="inlineStr">
        <is>
          <t>ITAU UNIBANCO ASSET MANAGEMENT LTDA.</t>
        </is>
      </c>
      <c r="G157" s="4" t="inlineStr">
        <is>
          <t>Terceiros</t>
        </is>
      </c>
      <c r="H157" s="8" t="n">
        <v>0.64</v>
      </c>
      <c r="I157" s="7" t="n">
        <v>100</v>
      </c>
      <c r="J157" s="5" t="n">
        <v>1</v>
      </c>
      <c r="K157" s="4" t="inlineStr">
        <is>
          <t>Em Funcionamento Normal</t>
        </is>
      </c>
      <c r="L157" s="4" t="inlineStr">
        <is>
          <t>Site (navegador)</t>
        </is>
      </c>
    </row>
    <row r="158">
      <c r="A158" s="4" t="inlineStr">
        <is>
          <t>XP Investimentos</t>
        </is>
      </c>
      <c r="B158" s="4" t="inlineStr">
        <is>
          <t>Itaú Optimus RF XP Seg Prev FIC FIM RL</t>
        </is>
      </c>
      <c r="C158" s="4" t="inlineStr">
        <is>
          <t>47.020.776/0001-37</t>
        </is>
      </c>
      <c r="D158" s="4" t="inlineStr">
        <is>
          <t>Previdência RF Duração Livre Crédito Liv</t>
        </is>
      </c>
      <c r="E158" s="4" t="inlineStr">
        <is>
          <t>Renda Fixa Ativo</t>
        </is>
      </c>
      <c r="F158" s="4" t="inlineStr">
        <is>
          <t>ITAU UNIBANCO ASSET MANAGEMENT LTDA.</t>
        </is>
      </c>
      <c r="G158" s="4" t="inlineStr">
        <is>
          <t>Terceiros</t>
        </is>
      </c>
      <c r="H158" s="8" t="n">
        <v>0.9</v>
      </c>
      <c r="I158" s="7" t="n">
        <v>100</v>
      </c>
      <c r="J158" s="5" t="n">
        <v>1</v>
      </c>
      <c r="K158" s="4" t="inlineStr">
        <is>
          <t>Em Funcionamento Normal</t>
        </is>
      </c>
      <c r="L158" s="4" t="inlineStr">
        <is>
          <t>Site (navegador)</t>
        </is>
      </c>
    </row>
    <row r="159">
      <c r="A159" s="4" t="inlineStr">
        <is>
          <t>XP Investimentos</t>
        </is>
      </c>
      <c r="B159" s="4" t="inlineStr">
        <is>
          <t>Xp Termo Xp Seg Prev Ficfim Cp</t>
        </is>
      </c>
      <c r="C159" s="4" t="inlineStr">
        <is>
          <t>47.032.813/0001-27</t>
        </is>
      </c>
      <c r="D159" s="4" t="inlineStr">
        <is>
          <t>Previdência Multimercado Livre</t>
        </is>
      </c>
      <c r="E159" s="4" t="inlineStr">
        <is>
          <t>Crédito Liquidez</t>
        </is>
      </c>
      <c r="F159" s="4" t="inlineStr">
        <is>
          <t>XP VIDA E PREVIDÊNCIA S.A.</t>
        </is>
      </c>
      <c r="G159" s="4" t="inlineStr">
        <is>
          <t>Própria</t>
        </is>
      </c>
      <c r="H159" s="8" t="n">
        <v>0.5</v>
      </c>
      <c r="I159" s="7" t="n">
        <v>100</v>
      </c>
      <c r="J159" s="5" t="n">
        <v>1</v>
      </c>
      <c r="K159" s="4" t="inlineStr">
        <is>
          <t>Em Funcionamento Normal</t>
        </is>
      </c>
      <c r="L159" s="4" t="inlineStr">
        <is>
          <t>Site (navegador)</t>
        </is>
      </c>
    </row>
    <row r="160">
      <c r="A160" s="4" t="inlineStr">
        <is>
          <t>XP Investimentos</t>
        </is>
      </c>
      <c r="B160" s="4" t="inlineStr">
        <is>
          <t>V8 Vanquish Termo Xp Seg Prev Fic Fim Cp</t>
        </is>
      </c>
      <c r="C160" s="4" t="inlineStr">
        <is>
          <t>47.032.970/0001-32</t>
        </is>
      </c>
      <c r="D160" s="4" t="inlineStr">
        <is>
          <t>Previdência Multimercado Livre</t>
        </is>
      </c>
      <c r="E160" s="4" t="inlineStr">
        <is>
          <t>Crédito Liquidez</t>
        </is>
      </c>
      <c r="F160" s="4" t="inlineStr">
        <is>
          <t>V8 CAPITAL GESTÃO DE INVESTIMENTOS LTDA.</t>
        </is>
      </c>
      <c r="G160" s="4" t="inlineStr">
        <is>
          <t>Terceiros</t>
        </is>
      </c>
      <c r="H160" s="8" t="n">
        <v>0.85</v>
      </c>
      <c r="I160" s="7" t="n">
        <v>100</v>
      </c>
      <c r="J160" s="5" t="n">
        <v>1</v>
      </c>
      <c r="K160" s="4" t="inlineStr">
        <is>
          <t>Em Funcionamento Normal</t>
        </is>
      </c>
      <c r="L160" s="4" t="inlineStr">
        <is>
          <t>Site (navegador)</t>
        </is>
      </c>
    </row>
    <row r="161">
      <c r="A161" s="4" t="inlineStr">
        <is>
          <t>XP Investimentos</t>
        </is>
      </c>
      <c r="B161" s="4" t="inlineStr">
        <is>
          <t>Trend B50 Prev Xp Seg Fic Firf</t>
        </is>
      </c>
      <c r="C161" s="4" t="inlineStr">
        <is>
          <t>47.033.019/0001-06</t>
        </is>
      </c>
      <c r="D161" s="4" t="inlineStr">
        <is>
          <t>Previdência RF Duração Livre Crédito Liv</t>
        </is>
      </c>
      <c r="E161" s="4" t="inlineStr">
        <is>
          <t>Renda Fixa Inflação</t>
        </is>
      </c>
      <c r="F161" s="4" t="inlineStr">
        <is>
          <t>XP ALLOCATION ASSET MANAGEMENT LTDA</t>
        </is>
      </c>
      <c r="G161" s="4" t="inlineStr">
        <is>
          <t>Própria</t>
        </is>
      </c>
      <c r="H161" s="8" t="n">
        <v>0.3</v>
      </c>
      <c r="I161" s="7" t="n">
        <v>100</v>
      </c>
      <c r="J161" s="5" t="n">
        <v>1</v>
      </c>
      <c r="K161" s="4" t="inlineStr">
        <is>
          <t>Em Funcionamento Normal</t>
        </is>
      </c>
      <c r="L161" s="4" t="inlineStr">
        <is>
          <t>Site (navegador)</t>
        </is>
      </c>
    </row>
    <row r="162">
      <c r="A162" s="4" t="inlineStr">
        <is>
          <t>XP Investimentos</t>
        </is>
      </c>
      <c r="B162" s="4" t="inlineStr">
        <is>
          <t>Lis 100 Prev Xp Seguros Ficfim Rl</t>
        </is>
      </c>
      <c r="C162" s="4" t="inlineStr">
        <is>
          <t>47.033.051/0001-83</t>
        </is>
      </c>
      <c r="D162" s="4" t="inlineStr">
        <is>
          <t>Previdência Multimercado Livre</t>
        </is>
      </c>
      <c r="E162" s="4" t="inlineStr">
        <is>
          <t>Renda Variável Small/Mid Caps</t>
        </is>
      </c>
      <c r="F162" s="4" t="inlineStr">
        <is>
          <t>XP VIDA E PREVIDÊNCIA S.A.</t>
        </is>
      </c>
      <c r="G162" s="4" t="inlineStr">
        <is>
          <t>Própria</t>
        </is>
      </c>
      <c r="H162" s="8" t="n">
        <v>2</v>
      </c>
      <c r="I162" s="7" t="n">
        <v>100</v>
      </c>
      <c r="J162" s="5" t="n">
        <v>2</v>
      </c>
      <c r="K162" s="4" t="inlineStr">
        <is>
          <t>Em Funcionamento Normal</t>
        </is>
      </c>
      <c r="L162" s="4" t="inlineStr">
        <is>
          <t>Site (navegador)</t>
        </is>
      </c>
    </row>
    <row r="163">
      <c r="A163" s="4" t="inlineStr">
        <is>
          <t>XP Investimentos</t>
        </is>
      </c>
      <c r="B163" s="4" t="inlineStr">
        <is>
          <t>Root Capital Crédito HG PREV XP SEG FIC FIRF CP</t>
        </is>
      </c>
      <c r="C163" s="4" t="inlineStr">
        <is>
          <t>48.940.997/0001-96</t>
        </is>
      </c>
      <c r="D163" s="4" t="inlineStr">
        <is>
          <t>Previdência RF Duração Baixa Grau de Inv</t>
        </is>
      </c>
      <c r="E163" s="4" t="inlineStr">
        <is>
          <t>Crédito High Yield</t>
        </is>
      </c>
      <c r="F163" s="4" t="inlineStr">
        <is>
          <t>ROOT CAPITAL - GESTÃO DE RECURSOS LTDA</t>
        </is>
      </c>
      <c r="G163" s="4" t="inlineStr">
        <is>
          <t>Terceiros</t>
        </is>
      </c>
      <c r="H163" s="8" t="n">
        <v>0.9</v>
      </c>
      <c r="I163" s="7" t="n">
        <v>100</v>
      </c>
      <c r="J163" s="5" t="n">
        <v>2</v>
      </c>
      <c r="K163" s="4" t="inlineStr">
        <is>
          <t>Em Funcionamento Normal</t>
        </is>
      </c>
      <c r="L163" s="4" t="inlineStr">
        <is>
          <t>Site (navegador)</t>
        </is>
      </c>
    </row>
    <row r="164">
      <c r="A164" s="4" t="inlineStr">
        <is>
          <t>XP Investimentos</t>
        </is>
      </c>
      <c r="B164" s="4" t="inlineStr">
        <is>
          <t>Itaú High Yield II FIC FIM CP RL</t>
        </is>
      </c>
      <c r="C164" s="4" t="inlineStr">
        <is>
          <t>49.227.982/0001-48</t>
        </is>
      </c>
      <c r="D164" s="4" t="inlineStr">
        <is>
          <t>Previdência Multimercado Livre</t>
        </is>
      </c>
      <c r="E164" s="4" t="inlineStr">
        <is>
          <t>Crédito High Grade</t>
        </is>
      </c>
      <c r="F164" s="4" t="inlineStr">
        <is>
          <t>ITAU UNIBANCO ASSET MANAGEMENT LTDA.</t>
        </is>
      </c>
      <c r="G164" s="4" t="inlineStr">
        <is>
          <t>Terceiros</t>
        </is>
      </c>
      <c r="H164" s="8" t="n">
        <v>0.6</v>
      </c>
      <c r="I164" s="7" t="n">
        <v>100</v>
      </c>
      <c r="J164" s="5" t="n">
        <v>1</v>
      </c>
      <c r="K164" s="4" t="inlineStr">
        <is>
          <t>Em Funcionamento Normal</t>
        </is>
      </c>
      <c r="L164" s="4" t="inlineStr">
        <is>
          <t>Site (navegador)</t>
        </is>
      </c>
    </row>
    <row r="165">
      <c r="A165" s="4" t="inlineStr">
        <is>
          <t>XP Investimentos</t>
        </is>
      </c>
      <c r="B165" s="4" t="inlineStr">
        <is>
          <t>Icatu Vanguarda Igaraté Xp Seg Fic Multimercado Cp Prev Rl</t>
        </is>
      </c>
      <c r="C165" s="4" t="inlineStr">
        <is>
          <t>49.228.291/0001-69</t>
        </is>
      </c>
      <c r="D165" s="4" t="inlineStr">
        <is>
          <t>Previdência Multimercado Livre</t>
        </is>
      </c>
      <c r="E165" s="4" t="inlineStr">
        <is>
          <t>Renda Variável Long Biased</t>
        </is>
      </c>
      <c r="F165" s="4" t="inlineStr">
        <is>
          <t>ICATU VANGUARDA GESTÃO DE RECURSOS LTDA</t>
        </is>
      </c>
      <c r="G165" s="4" t="inlineStr">
        <is>
          <t>Terceiros</t>
        </is>
      </c>
      <c r="H165" s="8" t="n">
        <v>2</v>
      </c>
      <c r="I165" s="7" t="n">
        <v>100</v>
      </c>
      <c r="J165" s="5" t="n">
        <v>2</v>
      </c>
      <c r="K165" s="4" t="inlineStr">
        <is>
          <t>Em Funcionamento Normal</t>
        </is>
      </c>
      <c r="L165" s="4" t="inlineStr">
        <is>
          <t>Site (navegador)</t>
        </is>
      </c>
    </row>
    <row r="166">
      <c r="A166" s="4" t="inlineStr">
        <is>
          <t>XP Investimentos</t>
        </is>
      </c>
      <c r="B166" s="4" t="inlineStr">
        <is>
          <t>Trend B29 Xp Seguros Prev Firf Rl</t>
        </is>
      </c>
      <c r="C166" s="4" t="inlineStr">
        <is>
          <t>49.228.354/0001-87</t>
        </is>
      </c>
      <c r="D166" s="4" t="inlineStr">
        <is>
          <t>Renda Fixa Duração Livre Crédito Livre</t>
        </is>
      </c>
      <c r="E166" s="4" t="inlineStr">
        <is>
          <t>Renda Fixa Inflação</t>
        </is>
      </c>
      <c r="F166" s="4" t="inlineStr">
        <is>
          <t>XP ALLOCATION ASSET MANAGEMENT LTDA</t>
        </is>
      </c>
      <c r="G166" s="4" t="inlineStr">
        <is>
          <t>Própria</t>
        </is>
      </c>
      <c r="H166" s="8" t="n">
        <v>0.3</v>
      </c>
      <c r="I166" s="7" t="n">
        <v>100</v>
      </c>
      <c r="J166" s="5" t="n">
        <v>1</v>
      </c>
      <c r="K166" s="4" t="inlineStr">
        <is>
          <t>Em Funcionamento Normal</t>
        </is>
      </c>
      <c r="L166" s="4" t="inlineStr">
        <is>
          <t>Site (navegador)</t>
        </is>
      </c>
    </row>
    <row r="167">
      <c r="A167" s="4" t="inlineStr">
        <is>
          <t>XP Investimentos</t>
        </is>
      </c>
      <c r="B167" s="4" t="inlineStr">
        <is>
          <t>Itaú Global Dinâmico RF Prev XP Advisory Longo Prazo FIC FIM RL</t>
        </is>
      </c>
      <c r="C167" s="4" t="inlineStr">
        <is>
          <t>50.236.261/0001-83</t>
        </is>
      </c>
      <c r="D167" s="4" t="inlineStr">
        <is>
          <t>Previdência RF Duração Livre Crédito Liv</t>
        </is>
      </c>
      <c r="E167" s="4" t="inlineStr">
        <is>
          <t>Multiestratégia</t>
        </is>
      </c>
      <c r="F167" s="4" t="inlineStr">
        <is>
          <t>ITAU UNIBANCO ASSET MANAGEMENT LTDA.</t>
        </is>
      </c>
      <c r="G167" s="4" t="inlineStr">
        <is>
          <t>Terceiros</t>
        </is>
      </c>
      <c r="H167" s="8" t="n">
        <v>0.9</v>
      </c>
      <c r="I167" s="7" t="n">
        <v>100</v>
      </c>
      <c r="J167" s="5" t="n">
        <v>1</v>
      </c>
      <c r="K167" s="4" t="inlineStr">
        <is>
          <t>Em Funcionamento Normal</t>
        </is>
      </c>
      <c r="L167" s="4" t="inlineStr">
        <is>
          <t>Site (navegador)</t>
        </is>
      </c>
    </row>
    <row r="168">
      <c r="A168" s="4" t="inlineStr">
        <is>
          <t>XP Investimentos</t>
        </is>
      </c>
      <c r="B168" s="4" t="inlineStr">
        <is>
          <t>Atena Prev Xp Seg Fic Firf Cp</t>
        </is>
      </c>
      <c r="C168" s="4" t="inlineStr">
        <is>
          <t>51.188.983/0001-72</t>
        </is>
      </c>
      <c r="D168" s="4" t="inlineStr">
        <is>
          <t>Previdência RF Duração Livre Crédito Liv</t>
        </is>
      </c>
      <c r="E168" s="4" t="inlineStr">
        <is>
          <t>Crédito High Grade</t>
        </is>
      </c>
      <c r="F168" s="4" t="inlineStr">
        <is>
          <t>ATENA CAPITAL GESTÃO DE RECURSOS LTDA.</t>
        </is>
      </c>
      <c r="G168" s="4" t="inlineStr">
        <is>
          <t>Terceiros</t>
        </is>
      </c>
      <c r="H168" s="8" t="n">
        <v>0.93</v>
      </c>
      <c r="I168" s="7" t="n">
        <v>100</v>
      </c>
      <c r="J168" s="5" t="n">
        <v>2</v>
      </c>
      <c r="K168" s="4" t="inlineStr">
        <is>
          <t>Em Funcionamento Normal</t>
        </is>
      </c>
      <c r="L168" s="4" t="inlineStr">
        <is>
          <t>Site (navegador)</t>
        </is>
      </c>
    </row>
    <row r="169">
      <c r="A169" s="4" t="inlineStr">
        <is>
          <t>XP Investimentos</t>
        </is>
      </c>
      <c r="B169" s="4" t="inlineStr">
        <is>
          <t>Bnp Paribas Match Plus Xp Seguros Ficfirf Cp</t>
        </is>
      </c>
      <c r="C169" s="4" t="inlineStr">
        <is>
          <t>51.673.830/0001-10</t>
        </is>
      </c>
      <c r="D169" s="4" t="inlineStr">
        <is>
          <t>Previdência RF Duração Livre Crédito Liv</t>
        </is>
      </c>
      <c r="E169" s="4" t="inlineStr">
        <is>
          <t>Crédito High Grade</t>
        </is>
      </c>
      <c r="F169" s="4" t="inlineStr">
        <is>
          <t>XP VIDA E PREVIDÊNCIA S.A.</t>
        </is>
      </c>
      <c r="G169" s="4" t="inlineStr">
        <is>
          <t>Própria</t>
        </is>
      </c>
      <c r="H169" s="8" t="n">
        <v>1</v>
      </c>
      <c r="I169" s="7" t="n">
        <v>100</v>
      </c>
      <c r="J169" s="5" t="n">
        <v>1</v>
      </c>
      <c r="K169" s="4" t="inlineStr">
        <is>
          <t>Em Funcionamento Normal</t>
        </is>
      </c>
      <c r="L169" s="4" t="inlineStr">
        <is>
          <t>Site (navegador)</t>
        </is>
      </c>
    </row>
    <row r="170">
      <c r="A170" s="4" t="inlineStr">
        <is>
          <t>XP Investimentos</t>
        </is>
      </c>
      <c r="B170" s="4" t="inlineStr">
        <is>
          <t>Brave Prev XP Seguros FIC FIRF CP RL</t>
        </is>
      </c>
      <c r="C170" s="4" t="inlineStr">
        <is>
          <t>51.675.926/0001-18</t>
        </is>
      </c>
      <c r="D170" s="4" t="inlineStr">
        <is>
          <t>Previdência RF Duração Livre Crédito Liv</t>
        </is>
      </c>
      <c r="E170" s="4" t="inlineStr">
        <is>
          <t>Crédito High Grade</t>
        </is>
      </c>
      <c r="F170" s="4" t="inlineStr">
        <is>
          <t>BRAVE GESTORA DE RECURSOS LTDA.</t>
        </is>
      </c>
      <c r="G170" s="4" t="inlineStr">
        <is>
          <t>Terceiros</t>
        </is>
      </c>
      <c r="H170" s="8" t="n">
        <v>0.8</v>
      </c>
      <c r="I170" s="7" t="n">
        <v>100</v>
      </c>
      <c r="J170" s="5" t="n">
        <v>1</v>
      </c>
      <c r="K170" s="4" t="inlineStr">
        <is>
          <t>Em Funcionamento Normal</t>
        </is>
      </c>
      <c r="L170" s="4" t="inlineStr">
        <is>
          <t>Site (navegador)</t>
        </is>
      </c>
    </row>
    <row r="171">
      <c r="A171" s="4" t="inlineStr">
        <is>
          <t>XP Investimentos</t>
        </is>
      </c>
      <c r="B171" s="4" t="inlineStr">
        <is>
          <t>Trend Imab5+ &amp; Bolsa Americana Dólar Xp Seg Prev Fim Rl</t>
        </is>
      </c>
      <c r="C171" s="4" t="inlineStr">
        <is>
          <t>52.840.043/0001-89</t>
        </is>
      </c>
      <c r="D171" s="4" t="inlineStr">
        <is>
          <t>Previdência Multimercado Livre</t>
        </is>
      </c>
      <c r="E171" s="4" t="inlineStr">
        <is>
          <t>Multiestratégia</t>
        </is>
      </c>
      <c r="F171" s="4" t="inlineStr">
        <is>
          <t>XP ALLOCATION ASSET MANAGEMENT LTDA</t>
        </is>
      </c>
      <c r="G171" s="4" t="inlineStr">
        <is>
          <t>Própria</t>
        </is>
      </c>
      <c r="H171" s="8" t="n">
        <v>0.5</v>
      </c>
      <c r="I171" s="7" t="n">
        <v>100</v>
      </c>
      <c r="J171" s="5" t="n">
        <v>2</v>
      </c>
      <c r="K171" s="4" t="inlineStr">
        <is>
          <t>Em Funcionamento Normal</t>
        </is>
      </c>
      <c r="L171" s="4" t="inlineStr">
        <is>
          <t>Site (navegador)</t>
        </is>
      </c>
    </row>
    <row r="172">
      <c r="A172" s="4" t="inlineStr">
        <is>
          <t>XP Investimentos</t>
        </is>
      </c>
      <c r="B172" s="4" t="inlineStr">
        <is>
          <t>A1 Renda Fixa Ativa Xp Seguros Firf</t>
        </is>
      </c>
      <c r="C172" s="4" t="inlineStr">
        <is>
          <t>52.955.280/0001-95</t>
        </is>
      </c>
      <c r="D172" s="4" t="inlineStr">
        <is>
          <t>Previdência Multimercado Livre</t>
        </is>
      </c>
      <c r="E172" s="4" t="inlineStr">
        <is>
          <t>Renda Fixa Ativo</t>
        </is>
      </c>
      <c r="F172" s="4" t="inlineStr">
        <is>
          <t>ASSET1 INVESTIMENTOS S/A</t>
        </is>
      </c>
      <c r="G172" s="4" t="inlineStr">
        <is>
          <t>Terceiros</t>
        </is>
      </c>
      <c r="H172" s="8" t="n">
        <v>0.9</v>
      </c>
      <c r="I172" s="7" t="n">
        <v>100</v>
      </c>
      <c r="J172" s="5" t="n">
        <v>1</v>
      </c>
      <c r="K172" s="4" t="inlineStr">
        <is>
          <t>Em Funcionamento Normal</t>
        </is>
      </c>
      <c r="L172" s="4" t="inlineStr">
        <is>
          <t>Site (navegador)</t>
        </is>
      </c>
    </row>
    <row r="173">
      <c r="A173" s="4" t="inlineStr">
        <is>
          <t>XP Investimentos</t>
        </is>
      </c>
      <c r="B173" s="4" t="inlineStr">
        <is>
          <t>Root Hy Xp Seg Prev Ficfirf Cp</t>
        </is>
      </c>
      <c r="C173" s="4" t="inlineStr">
        <is>
          <t>52.955.482/0001-37</t>
        </is>
      </c>
      <c r="D173" s="4" t="inlineStr">
        <is>
          <t>Previdência RF Duração Livre Crédito Liv</t>
        </is>
      </c>
      <c r="E173" s="4" t="inlineStr">
        <is>
          <t>Crédito High Yield</t>
        </is>
      </c>
      <c r="F173" s="4" t="inlineStr">
        <is>
          <t>ROOT CAPITAL - GESTÃO DE RECURSOS LTDA</t>
        </is>
      </c>
      <c r="G173" s="4" t="inlineStr">
        <is>
          <t>Terceiros</t>
        </is>
      </c>
      <c r="H173" s="8" t="n">
        <v>1.45</v>
      </c>
      <c r="I173" s="7" t="n">
        <v>100</v>
      </c>
      <c r="J173" s="5" t="n">
        <v>1</v>
      </c>
      <c r="K173" s="4" t="inlineStr">
        <is>
          <t>Em Funcionamento Normal</t>
        </is>
      </c>
      <c r="L173" s="4" t="inlineStr">
        <is>
          <t>Site (navegador)</t>
        </is>
      </c>
    </row>
    <row r="174">
      <c r="A174" s="4" t="inlineStr">
        <is>
          <t>XP Investimentos</t>
        </is>
      </c>
      <c r="B174" s="4" t="inlineStr">
        <is>
          <t>Polo Crédito Corporativo Prev Xp Seg Fic Rf Cp Rl</t>
        </is>
      </c>
      <c r="C174" s="4" t="inlineStr">
        <is>
          <t>52.955.528/0001-18</t>
        </is>
      </c>
      <c r="D174" s="4" t="inlineStr">
        <is>
          <t>Previdência RF Duração Média Crédito Liv</t>
        </is>
      </c>
      <c r="E174" s="4" t="inlineStr">
        <is>
          <t>Crédito High Grade</t>
        </is>
      </c>
      <c r="F174" s="4" t="inlineStr">
        <is>
          <t>POLO CAPITAL GESTÃO DE RECURSOS LTDA</t>
        </is>
      </c>
      <c r="G174" s="4" t="inlineStr">
        <is>
          <t>Terceiros</t>
        </is>
      </c>
      <c r="H174" s="8" t="n">
        <v>0.9</v>
      </c>
      <c r="I174" s="7" t="n">
        <v>100</v>
      </c>
      <c r="J174" s="5" t="n">
        <v>2</v>
      </c>
      <c r="K174" s="4" t="inlineStr">
        <is>
          <t>Em Funcionamento Normal</t>
        </is>
      </c>
      <c r="L174" s="4" t="inlineStr">
        <is>
          <t>Site (navegador)</t>
        </is>
      </c>
    </row>
    <row r="175">
      <c r="A175" s="4" t="inlineStr">
        <is>
          <t>XP Investimentos</t>
        </is>
      </c>
      <c r="B175" s="4" t="inlineStr">
        <is>
          <t>Icatu Vanguarda Absoluto Inflação Xp Seg Cp Prev Rl</t>
        </is>
      </c>
      <c r="C175" s="4" t="inlineStr">
        <is>
          <t>52.986.103/0001-76</t>
        </is>
      </c>
      <c r="D175" s="4" t="inlineStr">
        <is>
          <t>Previdência RF Duração Livre Grau de Inv</t>
        </is>
      </c>
      <c r="E175" s="4" t="inlineStr">
        <is>
          <t>Renda Fixa Inflação</t>
        </is>
      </c>
      <c r="F175" s="4" t="inlineStr">
        <is>
          <t>ICATU VANGUARDA GESTÃO DE RECURSOS LTDA</t>
        </is>
      </c>
      <c r="G175" s="4" t="inlineStr">
        <is>
          <t>Terceiros</t>
        </is>
      </c>
      <c r="H175" s="8" t="n">
        <v>0.83</v>
      </c>
      <c r="I175" s="7" t="n">
        <v>100</v>
      </c>
      <c r="J175" s="5" t="n">
        <v>1</v>
      </c>
      <c r="K175" s="4" t="inlineStr">
        <is>
          <t>Em Funcionamento Normal</t>
        </is>
      </c>
      <c r="L175" s="4" t="inlineStr">
        <is>
          <t>Site (navegador)</t>
        </is>
      </c>
    </row>
    <row r="176">
      <c r="A176" s="4" t="inlineStr">
        <is>
          <t>XP Investimentos</t>
        </is>
      </c>
      <c r="B176" s="4" t="inlineStr">
        <is>
          <t>Bradesco Ultra Xp Seg Prev Ficfirf</t>
        </is>
      </c>
      <c r="C176" s="4" t="inlineStr">
        <is>
          <t>52.986.170/0001-90</t>
        </is>
      </c>
      <c r="D176" s="4" t="inlineStr">
        <is>
          <t>Previdência RF Duração Livre Crédito Liv</t>
        </is>
      </c>
      <c r="E176" s="4" t="inlineStr">
        <is>
          <t>Crédito High Grade</t>
        </is>
      </c>
      <c r="F176" s="4" t="inlineStr">
        <is>
          <t>XP VIDA E PREVIDÊNCIA S.A.</t>
        </is>
      </c>
      <c r="G176" s="4" t="inlineStr">
        <is>
          <t>Própria</t>
        </is>
      </c>
      <c r="H176" s="8" t="n">
        <v>0.7</v>
      </c>
      <c r="I176" s="7" t="n">
        <v>100</v>
      </c>
      <c r="J176" s="5" t="n">
        <v>1</v>
      </c>
      <c r="K176" s="4" t="inlineStr">
        <is>
          <t>Em Funcionamento Normal</t>
        </is>
      </c>
      <c r="L176" s="4" t="inlineStr">
        <is>
          <t>Site (navegador)</t>
        </is>
      </c>
    </row>
    <row r="177">
      <c r="A177" s="4" t="inlineStr">
        <is>
          <t>XP Investimentos</t>
        </is>
      </c>
      <c r="B177" s="4" t="inlineStr">
        <is>
          <t>Icatu Vanguarda Absoluto II Xp Seg Fundo De Investimento Renda Fixa Crédito Priv</t>
        </is>
      </c>
      <c r="C177" s="4" t="inlineStr">
        <is>
          <t>52.986.251/0001-90</t>
        </is>
      </c>
      <c r="D177" s="4" t="inlineStr">
        <is>
          <t>Previdência RF Duração Livre Crédito Liv</t>
        </is>
      </c>
      <c r="E177" s="4" t="inlineStr">
        <is>
          <t>Crédito High Grade</t>
        </is>
      </c>
      <c r="F177" s="4" t="inlineStr">
        <is>
          <t>ICATU VANGUARDA GESTÃO DE RECURSOS LTDA</t>
        </is>
      </c>
      <c r="G177" s="4" t="inlineStr">
        <is>
          <t>Terceiros</t>
        </is>
      </c>
      <c r="H177" s="8" t="n">
        <v>0.8</v>
      </c>
      <c r="I177" s="7" t="n">
        <v>100</v>
      </c>
      <c r="J177" s="5" t="n">
        <v>1</v>
      </c>
      <c r="K177" s="4" t="inlineStr">
        <is>
          <t>Em Funcionamento Normal</t>
        </is>
      </c>
      <c r="L177" s="4" t="inlineStr">
        <is>
          <t>Site (navegador)</t>
        </is>
      </c>
    </row>
    <row r="178">
      <c r="A178" s="4" t="inlineStr">
        <is>
          <t>XP Investimentos</t>
        </is>
      </c>
      <c r="B178" s="4" t="inlineStr">
        <is>
          <t>Xp Liquidez 50 Firf Rl</t>
        </is>
      </c>
      <c r="C178" s="4" t="inlineStr">
        <is>
          <t>52.986.302/0001-84</t>
        </is>
      </c>
      <c r="D178" s="4" t="inlineStr">
        <is>
          <t>Previdência RF Duração Livre Crédito Liv</t>
        </is>
      </c>
      <c r="E178" s="4" t="inlineStr">
        <is>
          <t>Crédito Liquidez</t>
        </is>
      </c>
      <c r="F178" s="4" t="inlineStr">
        <is>
          <t>XP VISTA ASSET MANAGEMENT LTDA.</t>
        </is>
      </c>
      <c r="G178" s="4" t="inlineStr">
        <is>
          <t>Própria</t>
        </is>
      </c>
      <c r="H178" s="8" t="n">
        <v>0.35</v>
      </c>
      <c r="I178" s="7" t="n">
        <v>100</v>
      </c>
      <c r="J178" s="5" t="n">
        <v>1</v>
      </c>
      <c r="K178" s="4" t="inlineStr">
        <is>
          <t>Em Funcionamento Normal</t>
        </is>
      </c>
      <c r="L178" s="4" t="inlineStr">
        <is>
          <t>Site (navegador)</t>
        </is>
      </c>
    </row>
    <row r="179">
      <c r="A179" s="4" t="inlineStr">
        <is>
          <t>XP Investimentos</t>
        </is>
      </c>
      <c r="B179" s="4" t="inlineStr">
        <is>
          <t>Kinea Dakar Xp Seg Fic Rf Lp</t>
        </is>
      </c>
      <c r="C179" s="4" t="inlineStr">
        <is>
          <t>52.998.678/0001-09</t>
        </is>
      </c>
      <c r="D179" s="4" t="inlineStr">
        <is>
          <t>Previdência RF Duração Livre Crédito Liv</t>
        </is>
      </c>
      <c r="E179" s="4" t="inlineStr">
        <is>
          <t>Renda Fixa Ativo</t>
        </is>
      </c>
      <c r="F179" s="4" t="inlineStr">
        <is>
          <t>KINEA INVESTIMENTOS LTDA.</t>
        </is>
      </c>
      <c r="G179" s="4" t="inlineStr">
        <is>
          <t>Terceiros</t>
        </is>
      </c>
      <c r="H179" s="8" t="n">
        <v>0.9</v>
      </c>
      <c r="I179" s="7" t="n">
        <v>100</v>
      </c>
      <c r="J179" s="5" t="n">
        <v>1</v>
      </c>
      <c r="K179" s="4" t="inlineStr">
        <is>
          <t>Em Funcionamento Normal</t>
        </is>
      </c>
      <c r="L179" s="4" t="inlineStr">
        <is>
          <t>Site (navegador)</t>
        </is>
      </c>
    </row>
    <row r="180">
      <c r="A180" s="4" t="inlineStr">
        <is>
          <t>XP Investimentos</t>
        </is>
      </c>
      <c r="B180" s="4" t="inlineStr">
        <is>
          <t>Icatu Vanguarda Plus Xp Seg Firf Rl</t>
        </is>
      </c>
      <c r="C180" s="4" t="inlineStr">
        <is>
          <t>53.074.033/0001-42</t>
        </is>
      </c>
      <c r="D180" s="4" t="inlineStr">
        <is>
          <t>Previdência RF Duração Livre Grau de Inv</t>
        </is>
      </c>
      <c r="E180" s="4" t="inlineStr">
        <is>
          <t>Renda Fixa Ativo</t>
        </is>
      </c>
      <c r="F180" s="4" t="inlineStr">
        <is>
          <t>ICATU VANGUARDA GESTÃO DE RECURSOS LTDA</t>
        </is>
      </c>
      <c r="G180" s="4" t="inlineStr">
        <is>
          <t>Terceiros</t>
        </is>
      </c>
      <c r="H180" s="8" t="n">
        <v>0.75</v>
      </c>
      <c r="I180" s="7" t="n">
        <v>100</v>
      </c>
      <c r="J180" s="5" t="n">
        <v>1</v>
      </c>
      <c r="K180" s="4" t="inlineStr">
        <is>
          <t>Em Funcionamento Normal</t>
        </is>
      </c>
      <c r="L180" s="4" t="inlineStr">
        <is>
          <t>Site (navegador)</t>
        </is>
      </c>
    </row>
    <row r="181">
      <c r="A181" s="4" t="inlineStr">
        <is>
          <t>XP Investimentos</t>
        </is>
      </c>
      <c r="B181" s="4" t="inlineStr">
        <is>
          <t>Augme Prev Ficfim Cp</t>
        </is>
      </c>
      <c r="C181" s="4" t="inlineStr">
        <is>
          <t>53.482.542/0001-04</t>
        </is>
      </c>
      <c r="D181" s="4" t="inlineStr">
        <is>
          <t>Previdência Multimercado Livre</t>
        </is>
      </c>
      <c r="E181" s="4" t="inlineStr">
        <is>
          <t>Crédito High Yield</t>
        </is>
      </c>
      <c r="F181" s="4" t="inlineStr">
        <is>
          <t>XP VIDA E PREVIDÊNCIA S.A.</t>
        </is>
      </c>
      <c r="G181" s="4" t="inlineStr">
        <is>
          <t>Própria</t>
        </is>
      </c>
      <c r="H181" s="8" t="n">
        <v>1</v>
      </c>
      <c r="I181" s="7" t="n">
        <v>100</v>
      </c>
      <c r="J181" s="5" t="n">
        <v>1</v>
      </c>
      <c r="K181" s="4" t="inlineStr">
        <is>
          <t>Em Funcionamento Normal</t>
        </is>
      </c>
      <c r="L181" s="4" t="inlineStr">
        <is>
          <t>Site (navegador)</t>
        </is>
      </c>
    </row>
    <row r="182">
      <c r="A182" s="4" t="inlineStr">
        <is>
          <t>XP Investimentos</t>
        </is>
      </c>
      <c r="B182" s="4" t="inlineStr">
        <is>
          <t>Real Investor 70 Xp Seg Advisory Prev Fif Multimercado Rl</t>
        </is>
      </c>
      <c r="C182" s="4" t="inlineStr">
        <is>
          <t>53.826.252/0001-30</t>
        </is>
      </c>
      <c r="D182" s="4" t="inlineStr">
        <is>
          <t>Previdência Multimercado Livre</t>
        </is>
      </c>
      <c r="E182" s="4" t="inlineStr">
        <is>
          <t>Crédito High Grade</t>
        </is>
      </c>
      <c r="F182" s="4" t="inlineStr">
        <is>
          <t>REAL INVESTOR ASSET MANAGEMENT LTDA</t>
        </is>
      </c>
      <c r="G182" s="4" t="inlineStr">
        <is>
          <t>Terceiros</t>
        </is>
      </c>
      <c r="H182" s="8" t="n">
        <v>1.9</v>
      </c>
      <c r="I182" s="7" t="n">
        <v>100</v>
      </c>
      <c r="J182" s="5" t="n">
        <v>2</v>
      </c>
      <c r="K182" s="4" t="inlineStr">
        <is>
          <t>Em Funcionamento Normal</t>
        </is>
      </c>
      <c r="L182" s="4" t="inlineStr">
        <is>
          <t>Site (navegador)</t>
        </is>
      </c>
    </row>
    <row r="183">
      <c r="A183" s="4" t="inlineStr">
        <is>
          <t>XP Investimentos</t>
        </is>
      </c>
      <c r="B183" s="4" t="inlineStr">
        <is>
          <t>Persevera Prospera Xp Seg Prev Firf Cp</t>
        </is>
      </c>
      <c r="C183" s="4" t="inlineStr">
        <is>
          <t>53.856.982/0001-84</t>
        </is>
      </c>
      <c r="D183" s="4" t="inlineStr">
        <is>
          <t>Previdência RF Duração Livre Crédito Liv</t>
        </is>
      </c>
      <c r="E183" s="4" t="inlineStr">
        <is>
          <t>Renda Fixa Ativo</t>
        </is>
      </c>
      <c r="F183" s="4" t="inlineStr">
        <is>
          <t>PERSEVERA GESTÃO DE RECURSOS LTDA.</t>
        </is>
      </c>
      <c r="G183" s="4" t="inlineStr">
        <is>
          <t>Terceiros</t>
        </is>
      </c>
      <c r="H183" s="8" t="n">
        <v>0.9</v>
      </c>
      <c r="I183" s="7" t="n">
        <v>500</v>
      </c>
      <c r="J183" s="5" t="n">
        <v>2</v>
      </c>
      <c r="K183" s="4" t="inlineStr">
        <is>
          <t>Em Funcionamento Normal</t>
        </is>
      </c>
      <c r="L183" s="4" t="inlineStr">
        <is>
          <t>Site (navegador)</t>
        </is>
      </c>
    </row>
    <row r="184">
      <c r="A184" s="4" t="inlineStr">
        <is>
          <t>XP Investimentos</t>
        </is>
      </c>
      <c r="B184" s="4" t="inlineStr">
        <is>
          <t>Patria Previdenciário XP Seg FIC MM CP RL</t>
        </is>
      </c>
      <c r="C184" s="4" t="inlineStr">
        <is>
          <t>53.990.084/0001-14</t>
        </is>
      </c>
      <c r="D184" s="4" t="inlineStr">
        <is>
          <t>Previdência Multimercado Livre</t>
        </is>
      </c>
      <c r="E184" s="4" t="inlineStr">
        <is>
          <t>Crédito High Yield</t>
        </is>
      </c>
      <c r="F184" s="4" t="inlineStr">
        <is>
          <t>PÁTRIA INVESTIMENTOS LTDA.</t>
        </is>
      </c>
      <c r="G184" s="4" t="inlineStr">
        <is>
          <t>Terceiros</t>
        </is>
      </c>
      <c r="H184" s="8" t="n">
        <v>1.59</v>
      </c>
      <c r="I184" s="7" t="n">
        <v>100</v>
      </c>
      <c r="J184" s="5" t="n">
        <v>2</v>
      </c>
      <c r="K184" s="4" t="inlineStr">
        <is>
          <t>Em Funcionamento Normal</t>
        </is>
      </c>
      <c r="L184" s="4" t="inlineStr">
        <is>
          <t>Site (navegador)</t>
        </is>
      </c>
    </row>
    <row r="185">
      <c r="A185" s="4" t="inlineStr">
        <is>
          <t>XP Investimentos</t>
        </is>
      </c>
      <c r="B185" s="4" t="inlineStr">
        <is>
          <t>Icatu Vanguarda Absoluto Plus Qualificado Xp Seg FI RF CP PREV RL</t>
        </is>
      </c>
      <c r="C185" s="4" t="inlineStr">
        <is>
          <t>53.990.350/0001-09</t>
        </is>
      </c>
      <c r="D185" s="4" t="inlineStr">
        <is>
          <t>Previdência RF Duração Livre Crédito Liv</t>
        </is>
      </c>
      <c r="E185" s="4" t="inlineStr">
        <is>
          <t>Crédito High Grade</t>
        </is>
      </c>
      <c r="F185" s="4" t="inlineStr">
        <is>
          <t>ICATU VANGUARDA GESTÃO DE RECURSOS LTDA</t>
        </is>
      </c>
      <c r="G185" s="4" t="inlineStr">
        <is>
          <t>Terceiros</t>
        </is>
      </c>
      <c r="H185" s="8" t="n">
        <v>0.73</v>
      </c>
      <c r="I185" s="7" t="n">
        <v>100</v>
      </c>
      <c r="J185" s="5" t="n">
        <v>1</v>
      </c>
      <c r="K185" s="4" t="inlineStr">
        <is>
          <t>Em Funcionamento Normal</t>
        </is>
      </c>
      <c r="L185" s="4" t="inlineStr">
        <is>
          <t>Site (navegador)</t>
        </is>
      </c>
    </row>
    <row r="186">
      <c r="A186" s="4" t="inlineStr">
        <is>
          <t>XP Investimentos</t>
        </is>
      </c>
      <c r="B186" s="4" t="inlineStr">
        <is>
          <t>Icatu Vanguarda Dinâmico Cdi Xp Seg Fim Crédito Rl</t>
        </is>
      </c>
      <c r="C186" s="4" t="inlineStr">
        <is>
          <t>53.990.541/0001-70</t>
        </is>
      </c>
      <c r="D186" s="4" t="inlineStr">
        <is>
          <t>Previdência Multimercado Livre</t>
        </is>
      </c>
      <c r="E186" s="4" t="inlineStr">
        <is>
          <t>Renda Fixa Ativo</t>
        </is>
      </c>
      <c r="F186" s="4" t="inlineStr">
        <is>
          <t>ICATU VANGUARDA GESTÃO DE RECURSOS LTDA</t>
        </is>
      </c>
      <c r="G186" s="4" t="inlineStr">
        <is>
          <t>Terceiros</t>
        </is>
      </c>
      <c r="H186" s="8" t="n">
        <v>0.9</v>
      </c>
      <c r="I186" s="7" t="n">
        <v>100</v>
      </c>
      <c r="J186" s="5" t="n">
        <v>2</v>
      </c>
      <c r="K186" s="4" t="inlineStr">
        <is>
          <t>Em Funcionamento Normal</t>
        </is>
      </c>
      <c r="L186" s="4" t="inlineStr">
        <is>
          <t>Site (navegador)</t>
        </is>
      </c>
    </row>
    <row r="187">
      <c r="A187" s="4" t="inlineStr">
        <is>
          <t>XP Investimentos</t>
        </is>
      </c>
      <c r="B187" s="4" t="inlineStr">
        <is>
          <t>Jive Soul 45 Xp Seg Prev Fic Multimercado Cp Rl</t>
        </is>
      </c>
      <c r="C187" s="4" t="inlineStr">
        <is>
          <t>53.990.872/0001-00</t>
        </is>
      </c>
      <c r="D187" s="4" t="inlineStr">
        <is>
          <t>Previdência Multimercado Livre</t>
        </is>
      </c>
      <c r="E187" s="4" t="inlineStr">
        <is>
          <t>Crédito Privado High Yield</t>
        </is>
      </c>
      <c r="F187" s="4" t="inlineStr">
        <is>
          <t>JIVE HIGH YIELD GESTÃO DE RECURSOS LTDA.</t>
        </is>
      </c>
      <c r="G187" s="4" t="inlineStr">
        <is>
          <t>Terceiros</t>
        </is>
      </c>
      <c r="H187" s="8" t="n">
        <v>1.5</v>
      </c>
      <c r="I187" s="7" t="n">
        <v>100</v>
      </c>
      <c r="J187" s="5" t="n">
        <v>2</v>
      </c>
      <c r="K187" s="4" t="inlineStr">
        <is>
          <t>Em Funcionamento Normal</t>
        </is>
      </c>
      <c r="L187" s="4" t="inlineStr">
        <is>
          <t>Site (navegador)</t>
        </is>
      </c>
    </row>
    <row r="188">
      <c r="A188" s="4" t="inlineStr">
        <is>
          <t>XP Investimentos</t>
        </is>
      </c>
      <c r="B188" s="4" t="inlineStr">
        <is>
          <t>Tivio Alt Light XP Seg Prev FI FIM CP RL</t>
        </is>
      </c>
      <c r="C188" s="4" t="inlineStr">
        <is>
          <t>53.991.177/0001-63</t>
        </is>
      </c>
      <c r="D188" s="4" t="inlineStr">
        <is>
          <t>Previdência Multimercado Livre</t>
        </is>
      </c>
      <c r="E188" s="4" t="inlineStr"/>
      <c r="F188" s="4" t="inlineStr">
        <is>
          <t>TIVIO CAPITAL DISTRIBUIDORA DE TITULOS E VALORES MOBILIARIOS S.A.</t>
        </is>
      </c>
      <c r="G188" s="4" t="inlineStr">
        <is>
          <t>Terceiros</t>
        </is>
      </c>
      <c r="H188" s="8" t="n">
        <v>1.15</v>
      </c>
      <c r="I188" s="7" t="n">
        <v>100</v>
      </c>
      <c r="J188" s="5" t="n">
        <v>2</v>
      </c>
      <c r="K188" s="4" t="inlineStr">
        <is>
          <t>Em Funcionamento Normal</t>
        </is>
      </c>
      <c r="L188" s="4" t="inlineStr">
        <is>
          <t>Site (navegador)</t>
        </is>
      </c>
    </row>
    <row r="189">
      <c r="A189" s="4" t="inlineStr">
        <is>
          <t>XP Investimentos</t>
        </is>
      </c>
      <c r="B189" s="4" t="inlineStr">
        <is>
          <t>Tríade Prev Fic Fim Cp Rl</t>
        </is>
      </c>
      <c r="C189" s="4" t="inlineStr">
        <is>
          <t>53.991.216/0001-22</t>
        </is>
      </c>
      <c r="D189" s="4" t="inlineStr">
        <is>
          <t>Previdência Multimercado Livre</t>
        </is>
      </c>
      <c r="E189" s="4" t="inlineStr">
        <is>
          <t>Crédito Privado High Grade</t>
        </is>
      </c>
      <c r="F189" s="4" t="inlineStr">
        <is>
          <t>PARAMIS BR INVESTIMENTOS LTDA</t>
        </is>
      </c>
      <c r="G189" s="4" t="inlineStr">
        <is>
          <t>Terceiros</t>
        </is>
      </c>
      <c r="H189" s="8" t="n">
        <v>1.05</v>
      </c>
      <c r="I189" s="7" t="n">
        <v>100</v>
      </c>
      <c r="J189" s="5" t="n">
        <v>2</v>
      </c>
      <c r="K189" s="4" t="inlineStr">
        <is>
          <t>Em Funcionamento Normal</t>
        </is>
      </c>
      <c r="L189" s="4" t="inlineStr">
        <is>
          <t>Site (navegador)</t>
        </is>
      </c>
    </row>
    <row r="190">
      <c r="A190" s="4" t="inlineStr">
        <is>
          <t>XP Investimentos</t>
        </is>
      </c>
      <c r="B190" s="4" t="inlineStr">
        <is>
          <t>V8 Speedway Vega LS XP Seg Prev FIC Multi RL</t>
        </is>
      </c>
      <c r="C190" s="4" t="inlineStr">
        <is>
          <t>53.991.515/0001-67</t>
        </is>
      </c>
      <c r="D190" s="4" t="inlineStr">
        <is>
          <t>Previdência Multimercado Livre</t>
        </is>
      </c>
      <c r="E190" s="4" t="inlineStr">
        <is>
          <t>Long Short Neutro</t>
        </is>
      </c>
      <c r="F190" s="4" t="inlineStr">
        <is>
          <t>V8 CAPITAL GESTÃO DE INVESTIMENTOS LTDA.</t>
        </is>
      </c>
      <c r="G190" s="4" t="inlineStr">
        <is>
          <t>Terceiros</t>
        </is>
      </c>
      <c r="H190" s="8" t="n">
        <v>2</v>
      </c>
      <c r="I190" s="7" t="n">
        <v>100</v>
      </c>
      <c r="J190" s="5" t="n">
        <v>2</v>
      </c>
      <c r="K190" s="4" t="inlineStr">
        <is>
          <t>Em Funcionamento Normal</t>
        </is>
      </c>
      <c r="L190" s="4" t="inlineStr">
        <is>
          <t>Site (navegador)</t>
        </is>
      </c>
    </row>
    <row r="191">
      <c r="A191" s="4" t="inlineStr">
        <is>
          <t>XP Investimentos</t>
        </is>
      </c>
      <c r="B191" s="4" t="inlineStr">
        <is>
          <t>Mapfre Confianza XP Seg FIC FIF RF RL</t>
        </is>
      </c>
      <c r="C191" s="4" t="inlineStr">
        <is>
          <t>56.385.272/0001-01</t>
        </is>
      </c>
      <c r="D191" s="4" t="inlineStr">
        <is>
          <t>Previdência RF Duração Média Grau de Inv</t>
        </is>
      </c>
      <c r="E191" s="4" t="inlineStr">
        <is>
          <t>Crédito Liquidez</t>
        </is>
      </c>
      <c r="F191" s="4" t="inlineStr">
        <is>
          <t>MAPFRE INVESTIMENTOS LTDA.</t>
        </is>
      </c>
      <c r="G191" s="4" t="inlineStr">
        <is>
          <t>Terceiros</t>
        </is>
      </c>
      <c r="H191" s="8" t="n">
        <v>0.45</v>
      </c>
      <c r="I191" s="7" t="n">
        <v>100</v>
      </c>
      <c r="J191" s="5" t="n">
        <v>0</v>
      </c>
      <c r="K191" s="4" t="inlineStr">
        <is>
          <t>Em Funcionamento Normal</t>
        </is>
      </c>
      <c r="L191" s="4" t="inlineStr">
        <is>
          <t>Site (navegador)</t>
        </is>
      </c>
    </row>
    <row r="192">
      <c r="A192" s="4" t="inlineStr">
        <is>
          <t>XP Investimentos</t>
        </is>
      </c>
      <c r="B192" s="4" t="inlineStr">
        <is>
          <t>Real Investor Xp Seg Prev Fif Multimercado Rl</t>
        </is>
      </c>
      <c r="C192" s="4" t="inlineStr">
        <is>
          <t>57.446.923/0001-99</t>
        </is>
      </c>
      <c r="D192" s="4" t="inlineStr">
        <is>
          <t>Multimercados Livre</t>
        </is>
      </c>
      <c r="E192" s="4" t="inlineStr">
        <is>
          <t>Crédito High Grade</t>
        </is>
      </c>
      <c r="F192" s="4" t="inlineStr">
        <is>
          <t>REAL INVESTOR ASSET MANAGEMENT LTDA</t>
        </is>
      </c>
      <c r="G192" s="4" t="inlineStr">
        <is>
          <t>Terceiros</t>
        </is>
      </c>
      <c r="H192" s="8" t="n">
        <v>1.7</v>
      </c>
      <c r="I192" s="7" t="n">
        <v>100</v>
      </c>
      <c r="J192" s="5" t="n">
        <v>2</v>
      </c>
      <c r="K192" s="4" t="inlineStr">
        <is>
          <t>Em Funcionamento Normal</t>
        </is>
      </c>
      <c r="L192" s="4" t="inlineStr">
        <is>
          <t>Site (navegador)</t>
        </is>
      </c>
    </row>
    <row r="193">
      <c r="A193" s="4" t="inlineStr">
        <is>
          <t>XP Investimentos</t>
        </is>
      </c>
      <c r="B193" s="4" t="inlineStr">
        <is>
          <t>Safra Prev Vitesse Plus Advisory FIC RF CP Prev RL</t>
        </is>
      </c>
      <c r="C193" s="4" t="inlineStr">
        <is>
          <t>57.850.204/0001-39</t>
        </is>
      </c>
      <c r="D193" s="4" t="inlineStr">
        <is>
          <t>Previdência RF Duração Livre Crédito Liv</t>
        </is>
      </c>
      <c r="E193" s="4" t="inlineStr">
        <is>
          <t>Crédito High Grade</t>
        </is>
      </c>
      <c r="F193" s="4" t="inlineStr">
        <is>
          <t>TURMALINA GESTÃO E ADMINISTRAÇÃO DE RECURSOS S.A.</t>
        </is>
      </c>
      <c r="G193" s="4" t="inlineStr">
        <is>
          <t>Terceiros</t>
        </is>
      </c>
      <c r="H193" s="8" t="n">
        <v>0.8</v>
      </c>
      <c r="I193" s="7" t="n">
        <v>100</v>
      </c>
      <c r="J193" s="5" t="n">
        <v>1</v>
      </c>
      <c r="K193" s="4" t="inlineStr">
        <is>
          <t>Em Funcionamento Normal</t>
        </is>
      </c>
      <c r="L193" s="4" t="inlineStr">
        <is>
          <t>Site (navegador)</t>
        </is>
      </c>
    </row>
    <row r="194">
      <c r="A194" s="4" t="inlineStr">
        <is>
          <t>XP Investimentos</t>
        </is>
      </c>
      <c r="B194" s="4" t="inlineStr">
        <is>
          <t>Mag Cash Xp Seg Prev Ficfirf Rl</t>
        </is>
      </c>
      <c r="C194" s="4" t="inlineStr">
        <is>
          <t>58.543.779/0001-71</t>
        </is>
      </c>
      <c r="D194" s="4" t="inlineStr">
        <is>
          <t>Previdência RF Duração Livre Crédito Liv</t>
        </is>
      </c>
      <c r="E194" s="4" t="inlineStr">
        <is>
          <t>Crédito Liquidez</t>
        </is>
      </c>
      <c r="F194" s="4" t="inlineStr">
        <is>
          <t>MONGERAL AEGON INVESTIMENTOS LTDA</t>
        </is>
      </c>
      <c r="G194" s="4" t="inlineStr">
        <is>
          <t>Terceiros</t>
        </is>
      </c>
      <c r="H194" s="8" t="n">
        <v>0.8</v>
      </c>
      <c r="I194" s="7" t="n">
        <v>100</v>
      </c>
      <c r="J194" s="5" t="n">
        <v>1</v>
      </c>
      <c r="K194" s="4" t="inlineStr">
        <is>
          <t>Em Funcionamento Normal</t>
        </is>
      </c>
      <c r="L194" s="4" t="inlineStr">
        <is>
          <t>Site (navegador)</t>
        </is>
      </c>
    </row>
    <row r="195">
      <c r="A195" s="4" t="inlineStr">
        <is>
          <t>XP Investimentos</t>
        </is>
      </c>
      <c r="B195" s="4" t="inlineStr">
        <is>
          <t>Kapitalo Zeta XP Seg Prev FIF CIC Multimercado RL</t>
        </is>
      </c>
      <c r="C195" s="4" t="inlineStr">
        <is>
          <t>58.841.072/0001-41</t>
        </is>
      </c>
      <c r="D195" s="4" t="inlineStr">
        <is>
          <t>Multimercados Macro</t>
        </is>
      </c>
      <c r="E195" s="4" t="inlineStr">
        <is>
          <t>Macro Alta Vol</t>
        </is>
      </c>
      <c r="F195" s="4" t="inlineStr">
        <is>
          <t>KAPITALO INVESTIMENTOS LTDA.</t>
        </is>
      </c>
      <c r="G195" s="4" t="inlineStr">
        <is>
          <t>Terceiros</t>
        </is>
      </c>
      <c r="H195" s="8" t="n">
        <v>2</v>
      </c>
      <c r="I195" s="7" t="n">
        <v>100</v>
      </c>
      <c r="J195" s="5" t="n">
        <v>2</v>
      </c>
      <c r="K195" s="4" t="inlineStr">
        <is>
          <t>Em Funcionamento Normal</t>
        </is>
      </c>
      <c r="L195" s="4" t="inlineStr">
        <is>
          <t>Site (navegador)</t>
        </is>
      </c>
    </row>
    <row r="196">
      <c r="A196" s="4" t="inlineStr">
        <is>
          <t>XP Investimentos</t>
        </is>
      </c>
      <c r="B196" s="4" t="inlineStr">
        <is>
          <t>Augme Xp Seg Prev Hy Fif Multimercado Cp Rl</t>
        </is>
      </c>
      <c r="C196" s="4" t="inlineStr">
        <is>
          <t>60.749.195/0001-07</t>
        </is>
      </c>
      <c r="D196" s="4" t="inlineStr">
        <is>
          <t>Previdência Multimercado Livre</t>
        </is>
      </c>
      <c r="E196" s="4" t="inlineStr">
        <is>
          <t>Crédito High Yield</t>
        </is>
      </c>
      <c r="F196" s="4" t="inlineStr">
        <is>
          <t>AUGME CAPITAL GESTÃO DE RECURSOS LTDA.</t>
        </is>
      </c>
      <c r="G196" s="4" t="inlineStr">
        <is>
          <t>Terceiros</t>
        </is>
      </c>
      <c r="H196" s="8" t="n">
        <v>1.5</v>
      </c>
      <c r="I196" s="7" t="n">
        <v>100</v>
      </c>
      <c r="J196" s="5" t="n">
        <v>1</v>
      </c>
      <c r="K196" s="4" t="inlineStr">
        <is>
          <t>Em Funcionamento Normal</t>
        </is>
      </c>
      <c r="L196" s="4" t="inlineStr">
        <is>
          <t>Site (navegador)</t>
        </is>
      </c>
    </row>
    <row r="197">
      <c r="A197" s="4" t="inlineStr">
        <is>
          <t>XP Investimentos</t>
        </is>
      </c>
      <c r="B197" s="4" t="inlineStr">
        <is>
          <t>Novus Crédito Previdência Xp Fif Em Cotas Fim Cp Rl</t>
        </is>
      </c>
      <c r="C197" s="4" t="inlineStr">
        <is>
          <t>60.818.157/0001-50</t>
        </is>
      </c>
      <c r="D197" s="4" t="inlineStr">
        <is>
          <t>Previdência Multimercado Livre</t>
        </is>
      </c>
      <c r="E197" s="4" t="inlineStr">
        <is>
          <t>Crédito High Grade</t>
        </is>
      </c>
      <c r="F197" s="4" t="inlineStr">
        <is>
          <t>NOVUS CREDITO GESTAO DE RECURSOS LTDA</t>
        </is>
      </c>
      <c r="G197" s="4" t="inlineStr">
        <is>
          <t>Terceiros</t>
        </is>
      </c>
      <c r="H197" s="8" t="n">
        <v>0.9</v>
      </c>
      <c r="I197" s="7" t="n">
        <v>100</v>
      </c>
      <c r="J197" s="5" t="n">
        <v>1</v>
      </c>
      <c r="K197" s="4" t="inlineStr">
        <is>
          <t>Em Funcionamento Normal</t>
        </is>
      </c>
      <c r="L197" s="4" t="inlineStr">
        <is>
          <t>Site (navegador)</t>
        </is>
      </c>
    </row>
    <row r="198">
      <c r="A198" s="4" t="inlineStr">
        <is>
          <t>XP Investimentos</t>
        </is>
      </c>
      <c r="B198" s="4" t="inlineStr">
        <is>
          <t>Sulamérica Crédito Esg Xp Seg Prev Fic Rf Cp Is Rl</t>
        </is>
      </c>
      <c r="C198" s="4" t="inlineStr">
        <is>
          <t>61.038.314/0001-78</t>
        </is>
      </c>
      <c r="D198" s="4" t="inlineStr">
        <is>
          <t>Previdência RF Duração Livre Crédito Liv</t>
        </is>
      </c>
      <c r="E198" s="4" t="inlineStr">
        <is>
          <t>Crédito High Grade</t>
        </is>
      </c>
      <c r="F198" s="4" t="inlineStr">
        <is>
          <t>Sul América Gestão de Investimentos S.A.</t>
        </is>
      </c>
      <c r="G198" s="4" t="inlineStr">
        <is>
          <t>Terceiros</t>
        </is>
      </c>
      <c r="H198" s="8" t="n">
        <v>0.9</v>
      </c>
      <c r="I198" s="7" t="n">
        <v>100</v>
      </c>
      <c r="J198" s="5" t="n">
        <v>1</v>
      </c>
      <c r="K198" s="4" t="inlineStr">
        <is>
          <t>Em Funcionamento Normal</t>
        </is>
      </c>
      <c r="L198" s="4" t="inlineStr">
        <is>
          <t>Site (navegador)</t>
        </is>
      </c>
    </row>
    <row r="199">
      <c r="A199" s="4" t="inlineStr">
        <is>
          <t>XP Investimentos</t>
        </is>
      </c>
      <c r="B199" s="4" t="inlineStr">
        <is>
          <t>Kinea Prev Mont Blanc Xp Fif Cotas Rf Cp Rl</t>
        </is>
      </c>
      <c r="C199" s="4" t="inlineStr">
        <is>
          <t>61.182.246/0001-16</t>
        </is>
      </c>
      <c r="D199" s="4" t="inlineStr">
        <is>
          <t>Renda Fixa Duração Livre Crédito Livre</t>
        </is>
      </c>
      <c r="E199" s="4" t="inlineStr">
        <is>
          <t>Crédito High Grade</t>
        </is>
      </c>
      <c r="F199" s="4" t="inlineStr">
        <is>
          <t>KINEA INVESTIMENTOS LTDA.</t>
        </is>
      </c>
      <c r="G199" s="4" t="inlineStr">
        <is>
          <t>Terceiros</t>
        </is>
      </c>
      <c r="H199" s="8" t="n">
        <v>1.2</v>
      </c>
      <c r="I199" s="7" t="n">
        <v>100</v>
      </c>
      <c r="J199" s="5" t="n">
        <v>1</v>
      </c>
      <c r="K199" s="4" t="inlineStr">
        <is>
          <t>Em Funcionamento Normal</t>
        </is>
      </c>
      <c r="L199" s="4" t="inlineStr">
        <is>
          <t>Site (navegador)</t>
        </is>
      </c>
    </row>
    <row r="200">
      <c r="A200" s="4" t="inlineStr">
        <is>
          <t>XP Investimentos</t>
        </is>
      </c>
      <c r="B200" s="4" t="inlineStr">
        <is>
          <t>Absolute Pace Xp Seg Prev Fif Em Ações Rl</t>
        </is>
      </c>
      <c r="C200" s="4" t="inlineStr">
        <is>
          <t>61.201.512/0001-00</t>
        </is>
      </c>
      <c r="D200" s="4" t="inlineStr">
        <is>
          <t>Previdência Ações Ativo</t>
        </is>
      </c>
      <c r="E200" s="4" t="inlineStr">
        <is>
          <t>Renda Variável Long Biased</t>
        </is>
      </c>
      <c r="F200" s="4" t="inlineStr">
        <is>
          <t>ABSOLUTE GESTAO DE INVESTIMENTOS LTDA</t>
        </is>
      </c>
      <c r="G200" s="4" t="inlineStr">
        <is>
          <t>Terceiros</t>
        </is>
      </c>
      <c r="H200" s="8" t="n">
        <v>2</v>
      </c>
      <c r="I200" s="7" t="n">
        <v>100</v>
      </c>
      <c r="J200" s="5" t="n">
        <v>2</v>
      </c>
      <c r="K200" s="4" t="inlineStr">
        <is>
          <t>Em Funcionamento Normal</t>
        </is>
      </c>
      <c r="L200" s="4" t="inlineStr">
        <is>
          <t>Site (navegador)</t>
        </is>
      </c>
    </row>
    <row r="201">
      <c r="A201" s="4" t="inlineStr">
        <is>
          <t>XP Investimentos</t>
        </is>
      </c>
      <c r="B201" s="4" t="inlineStr">
        <is>
          <t>Arca Grão Xp Seguros Prev Fic Rf Cp Rl</t>
        </is>
      </c>
      <c r="C201" s="4" t="inlineStr">
        <is>
          <t>61.304.623/0001-42</t>
        </is>
      </c>
      <c r="D201" s="4" t="inlineStr">
        <is>
          <t>Previdência RF Duração Livre Crédito Liv</t>
        </is>
      </c>
      <c r="E201" s="4" t="inlineStr">
        <is>
          <t>Crédito High Grade</t>
        </is>
      </c>
      <c r="F201" s="4" t="inlineStr">
        <is>
          <t>GRÃO GESTÃO DE RECURSOS LTDA.</t>
        </is>
      </c>
      <c r="G201" s="4" t="inlineStr">
        <is>
          <t>Terceiros</t>
        </is>
      </c>
      <c r="H201" s="8" t="n">
        <v>0.59</v>
      </c>
      <c r="I201" s="7" t="n">
        <v>100</v>
      </c>
      <c r="J201" s="5" t="n">
        <v>2</v>
      </c>
      <c r="K201" s="4" t="inlineStr">
        <is>
          <t>Em Funcionamento Normal</t>
        </is>
      </c>
      <c r="L201" s="4" t="inlineStr">
        <is>
          <t>Site (navegador)</t>
        </is>
      </c>
    </row>
    <row r="202">
      <c r="A202" s="4" t="inlineStr">
        <is>
          <t>XP Investimentos</t>
        </is>
      </c>
      <c r="B202" s="4" t="inlineStr">
        <is>
          <t>M8 Capital XP Seg Previdência FIC FIRF CP RL</t>
        </is>
      </c>
      <c r="C202" s="4" t="inlineStr">
        <is>
          <t>61.539.506/0001-68</t>
        </is>
      </c>
      <c r="D202" s="4" t="inlineStr">
        <is>
          <t>Renda Fixa Duração Livre Crédito Livre</t>
        </is>
      </c>
      <c r="E202" s="4" t="inlineStr">
        <is>
          <t>Crédito High Yield</t>
        </is>
      </c>
      <c r="F202" s="4" t="inlineStr">
        <is>
          <t>M8 PARTNERS GESTORA DE RECURSOS LTDA.</t>
        </is>
      </c>
      <c r="G202" s="4" t="inlineStr">
        <is>
          <t>Terceiros</t>
        </is>
      </c>
      <c r="H202" s="8" t="n">
        <v>1</v>
      </c>
      <c r="I202" s="7" t="n">
        <v>100</v>
      </c>
      <c r="J202" s="5" t="n">
        <v>2</v>
      </c>
      <c r="K202" s="4" t="inlineStr">
        <is>
          <t>Em Funcionamento Normal</t>
        </is>
      </c>
      <c r="L202" s="4" t="inlineStr">
        <is>
          <t>Site (navegador)</t>
        </is>
      </c>
    </row>
    <row r="203">
      <c r="A203" s="4" t="inlineStr">
        <is>
          <t>XP Investimentos</t>
        </is>
      </c>
      <c r="B203" s="4" t="inlineStr">
        <is>
          <t>Capitânia Previdence Xp Seg Fif Rf Cp Rl</t>
        </is>
      </c>
      <c r="C203" s="4" t="inlineStr">
        <is>
          <t>61.725.196/0001-76</t>
        </is>
      </c>
      <c r="D203" s="4" t="inlineStr">
        <is>
          <t>Previdência RF Duração Livre Crédito Liv</t>
        </is>
      </c>
      <c r="E203" s="4" t="inlineStr">
        <is>
          <t>Crédito High Yield</t>
        </is>
      </c>
      <c r="F203" s="4" t="inlineStr">
        <is>
          <t>CAPITANIA PREV S.A.</t>
        </is>
      </c>
      <c r="G203" s="4" t="inlineStr">
        <is>
          <t>Terceiros</t>
        </is>
      </c>
      <c r="H203" s="8" t="n">
        <v>1.25</v>
      </c>
      <c r="I203" s="7" t="n">
        <v>100</v>
      </c>
      <c r="J203" s="5" t="n">
        <v>3</v>
      </c>
      <c r="K203" s="4" t="inlineStr">
        <is>
          <t>Em Funcionamento Normal</t>
        </is>
      </c>
      <c r="L203" s="4" t="inlineStr">
        <is>
          <t>Site (navegador)</t>
        </is>
      </c>
    </row>
    <row r="204">
      <c r="A204" s="4" t="inlineStr">
        <is>
          <t>XP Investimentos</t>
        </is>
      </c>
      <c r="B204" s="4" t="inlineStr">
        <is>
          <t>Absolute Delfos Xp Seg Prev Fie I Fic Rf Cp Rl</t>
        </is>
      </c>
      <c r="C204" s="4" t="inlineStr">
        <is>
          <t>61.904.092/0001-29</t>
        </is>
      </c>
      <c r="D204" s="4" t="inlineStr">
        <is>
          <t>Previdência RF Duração Livre Grau de Inv</t>
        </is>
      </c>
      <c r="E204" s="4" t="inlineStr">
        <is>
          <t>Crédito High Grade</t>
        </is>
      </c>
      <c r="F204" s="4" t="inlineStr">
        <is>
          <t>ABSOLUTE CRÉDITO GESTÃO DE INVESTIMENTOS LTDA.</t>
        </is>
      </c>
      <c r="G204" s="4" t="inlineStr">
        <is>
          <t>Terceiros</t>
        </is>
      </c>
      <c r="H204" s="8" t="n">
        <v>0.88</v>
      </c>
      <c r="I204" s="7" t="n">
        <v>100</v>
      </c>
      <c r="J204" s="5" t="n">
        <v>2</v>
      </c>
      <c r="K204" s="4" t="inlineStr">
        <is>
          <t>Em Funcionamento Normal</t>
        </is>
      </c>
      <c r="L204" s="4" t="inlineStr">
        <is>
          <t>Site (navegador)</t>
        </is>
      </c>
    </row>
    <row r="205">
      <c r="A205" s="4" t="inlineStr">
        <is>
          <t>XP Investimentos</t>
        </is>
      </c>
      <c r="B205" s="4" t="inlineStr">
        <is>
          <t>Itaú Janeiro XP Seg FIF CIC MM RL</t>
        </is>
      </c>
      <c r="C205" s="4" t="inlineStr">
        <is>
          <t>61.922.156/0001-14</t>
        </is>
      </c>
      <c r="D205" s="4" t="inlineStr">
        <is>
          <t>Previdência Multimercado Livre</t>
        </is>
      </c>
      <c r="E205" s="4" t="inlineStr">
        <is>
          <t>Macro Média Vol</t>
        </is>
      </c>
      <c r="F205" s="4" t="inlineStr">
        <is>
          <t>ITAU UNIBANCO ASSET MANAGEMENT LTDA.</t>
        </is>
      </c>
      <c r="G205" s="4" t="inlineStr">
        <is>
          <t>Terceiros</t>
        </is>
      </c>
      <c r="H205" s="8" t="n">
        <v>2</v>
      </c>
      <c r="I205" s="7" t="n">
        <v>100</v>
      </c>
      <c r="J205" s="5" t="n">
        <v>1</v>
      </c>
      <c r="K205" s="4" t="inlineStr">
        <is>
          <t>Em Funcionamento Normal</t>
        </is>
      </c>
      <c r="L205" s="4" t="inlineStr">
        <is>
          <t>Site (navegador)</t>
        </is>
      </c>
    </row>
    <row r="206">
      <c r="A206" s="4" t="inlineStr">
        <is>
          <t>XP Investimentos</t>
        </is>
      </c>
      <c r="B206" s="4" t="inlineStr">
        <is>
          <t>Daycoval Classic Xp Seg Prev Fif Rf Cp Rl</t>
        </is>
      </c>
      <c r="C206" s="4" t="inlineStr">
        <is>
          <t>61.941.773/0001-67</t>
        </is>
      </c>
      <c r="D206" s="4" t="inlineStr">
        <is>
          <t>Renda Fixa Simples</t>
        </is>
      </c>
      <c r="E206" s="4" t="inlineStr">
        <is>
          <t>Crédito Liquidez</t>
        </is>
      </c>
      <c r="F206" s="4" t="inlineStr">
        <is>
          <t>DAYCOVAL ASSET MANAGEMENT ADMINISTRACAO DE RECURSOS LTDA</t>
        </is>
      </c>
      <c r="G206" s="4" t="inlineStr">
        <is>
          <t>Terceiros</t>
        </is>
      </c>
      <c r="H206" s="8" t="n">
        <v>0.82</v>
      </c>
      <c r="I206" s="7" t="n">
        <v>100</v>
      </c>
      <c r="J206" s="5" t="n">
        <v>1</v>
      </c>
      <c r="K206" s="4" t="inlineStr">
        <is>
          <t>Em Funcionamento Normal</t>
        </is>
      </c>
      <c r="L206" s="4" t="inlineStr">
        <is>
          <t>Site (navegador)</t>
        </is>
      </c>
    </row>
    <row r="207">
      <c r="A207" s="4" t="inlineStr">
        <is>
          <t>XP Investimentos</t>
        </is>
      </c>
      <c r="B207" s="4" t="inlineStr">
        <is>
          <t>Absolute Atenas Xp Seg Prev Fie I Fic Firf Cp Rl</t>
        </is>
      </c>
      <c r="C207" s="4" t="inlineStr">
        <is>
          <t>62.213.987/0001-80</t>
        </is>
      </c>
      <c r="D207" s="4" t="inlineStr">
        <is>
          <t>Previdência RF Duração Baixa Grau de Inv</t>
        </is>
      </c>
      <c r="E207" s="4" t="inlineStr">
        <is>
          <t>Crédito Liquidez</t>
        </is>
      </c>
      <c r="F207" s="4" t="inlineStr">
        <is>
          <t>ABSOLUTE CRÉDITO GESTÃO DE INVESTIMENTOS LTDA.</t>
        </is>
      </c>
      <c r="G207" s="4" t="inlineStr">
        <is>
          <t>Terceiros</t>
        </is>
      </c>
      <c r="H207" s="8" t="n">
        <v>0.98</v>
      </c>
      <c r="I207" s="7" t="n">
        <v>100</v>
      </c>
      <c r="J207" s="5" t="n">
        <v>2</v>
      </c>
      <c r="K207" s="4" t="inlineStr">
        <is>
          <t>Em Funcionamento Normal</t>
        </is>
      </c>
      <c r="L207" s="4" t="inlineStr">
        <is>
          <t>Site (navegador)</t>
        </is>
      </c>
    </row>
    <row r="208">
      <c r="A208" s="4" t="inlineStr">
        <is>
          <t>XP Investimentos</t>
        </is>
      </c>
      <c r="B208" s="4" t="inlineStr">
        <is>
          <t>Xp Seguros Verde Master Prev 60 Qualificado Fif Cic Mult Rl</t>
        </is>
      </c>
      <c r="C208" s="4" t="inlineStr">
        <is>
          <t>62.240.600/0001-84</t>
        </is>
      </c>
      <c r="D208" s="4" t="inlineStr">
        <is>
          <t>Previdência Multimercado Livre</t>
        </is>
      </c>
      <c r="E208" s="4" t="inlineStr">
        <is>
          <t>Macro Alta Vol</t>
        </is>
      </c>
      <c r="F208" s="4" t="inlineStr">
        <is>
          <t>VERDE ASSET MANAGEMENT S.A.</t>
        </is>
      </c>
      <c r="G208" s="4" t="inlineStr">
        <is>
          <t>Terceiros</t>
        </is>
      </c>
      <c r="H208" s="8" t="n">
        <v>2</v>
      </c>
      <c r="I208" s="7" t="n">
        <v>100</v>
      </c>
      <c r="J208" s="5" t="n">
        <v>2</v>
      </c>
      <c r="K208" s="4" t="inlineStr">
        <is>
          <t>Em Funcionamento Normal</t>
        </is>
      </c>
      <c r="L208" s="4" t="inlineStr">
        <is>
          <t>Site (navegador)</t>
        </is>
      </c>
    </row>
    <row r="209">
      <c r="A209" s="4" t="inlineStr">
        <is>
          <t>XP Investimentos</t>
        </is>
      </c>
      <c r="B209" s="4" t="inlineStr">
        <is>
          <t>JGP Strategy XP Seg Prev Qualificado FIC FIM RL</t>
        </is>
      </c>
      <c r="C209" s="4" t="inlineStr">
        <is>
          <t>62.403.552/0001-06</t>
        </is>
      </c>
      <c r="D209" s="4" t="inlineStr">
        <is>
          <t>Previdência Multimercado Livre</t>
        </is>
      </c>
      <c r="E209" s="4" t="inlineStr">
        <is>
          <t>Macro Média Vol</t>
        </is>
      </c>
      <c r="F209" s="4" t="inlineStr">
        <is>
          <t>JGP GESTÃO DE RECURSOS LTDA</t>
        </is>
      </c>
      <c r="G209" s="4" t="inlineStr">
        <is>
          <t>Terceiros</t>
        </is>
      </c>
      <c r="H209" s="8" t="n">
        <v>2</v>
      </c>
      <c r="I209" s="7" t="n">
        <v>100</v>
      </c>
      <c r="J209" s="5" t="n">
        <v>1</v>
      </c>
      <c r="K209" s="4" t="inlineStr">
        <is>
          <t>Em Funcionamento Normal</t>
        </is>
      </c>
      <c r="L209" s="4" t="inlineStr">
        <is>
          <t>Site (navegador)</t>
        </is>
      </c>
    </row>
    <row r="210">
      <c r="A210" s="4" t="inlineStr">
        <is>
          <t>XP Investimentos</t>
        </is>
      </c>
      <c r="B210" s="4" t="inlineStr">
        <is>
          <t>Root Capital Hg Prev Plus Xp Seg Fic De Fif Multi Cp Rl</t>
        </is>
      </c>
      <c r="C210" s="4" t="inlineStr">
        <is>
          <t>62.669.471/0001-44</t>
        </is>
      </c>
      <c r="D210" s="4" t="inlineStr">
        <is>
          <t>Previdência RF Duração Livre Grau de Inv</t>
        </is>
      </c>
      <c r="E210" s="4" t="inlineStr"/>
      <c r="F210" s="4" t="inlineStr">
        <is>
          <t>ROOT CAPITAL - GESTÃO DE RECURSOS LTDA</t>
        </is>
      </c>
      <c r="G210" s="4" t="inlineStr">
        <is>
          <t>Terceiros</t>
        </is>
      </c>
      <c r="H210" s="8" t="n">
        <v>1.1</v>
      </c>
      <c r="I210" s="7" t="n">
        <v>100</v>
      </c>
      <c r="J210" s="5" t="n">
        <v>1</v>
      </c>
      <c r="K210" s="4" t="inlineStr">
        <is>
          <t>Em Funcionamento Normal</t>
        </is>
      </c>
      <c r="L210" s="4" t="inlineStr">
        <is>
          <t>Site (navegador)</t>
        </is>
      </c>
    </row>
    <row r="211">
      <c r="A211" s="4" t="inlineStr">
        <is>
          <t>XP Investimentos</t>
        </is>
      </c>
      <c r="B211" s="4" t="inlineStr">
        <is>
          <t>Drys Shelter Prev XP FIRF CP RL</t>
        </is>
      </c>
      <c r="C211" s="4" t="inlineStr">
        <is>
          <t>63.285.329/0001-66</t>
        </is>
      </c>
      <c r="D211" s="4" t="inlineStr">
        <is>
          <t>Previdência RF Duração Baixa Grau de Inv</t>
        </is>
      </c>
      <c r="E211" s="4" t="inlineStr">
        <is>
          <t>Crédito Liquidez</t>
        </is>
      </c>
      <c r="F211" s="4" t="inlineStr">
        <is>
          <t>DRYS CAPITAL LTDA</t>
        </is>
      </c>
      <c r="G211" s="4" t="inlineStr">
        <is>
          <t>Terceiros</t>
        </is>
      </c>
      <c r="H211" s="8" t="n">
        <v>0.8</v>
      </c>
      <c r="I211" s="7" t="n">
        <v>100</v>
      </c>
      <c r="J211" s="5" t="n">
        <v>1</v>
      </c>
      <c r="K211" s="4" t="inlineStr">
        <is>
          <t>Em Funcionamento Normal</t>
        </is>
      </c>
      <c r="L211" s="4" t="inlineStr">
        <is>
          <t>Site (navegador)</t>
        </is>
      </c>
    </row>
    <row r="212">
      <c r="A212" s="4" t="inlineStr">
        <is>
          <t>XP Investimentos</t>
        </is>
      </c>
      <c r="B212" s="4" t="inlineStr">
        <is>
          <t>A1 High Grade Prev XP Seg FIC FIRF CP RL</t>
        </is>
      </c>
      <c r="C212" s="4" t="inlineStr">
        <is>
          <t>63.573.988/0001-06</t>
        </is>
      </c>
      <c r="D212" s="4" t="inlineStr">
        <is>
          <t>Previdência RF Duração Livre Crédito Liv</t>
        </is>
      </c>
      <c r="E212" s="4" t="inlineStr">
        <is>
          <t>Crédito Liquidez</t>
        </is>
      </c>
      <c r="F212" s="4" t="inlineStr">
        <is>
          <t>ASSET1 INVESTIMENTOS S/A</t>
        </is>
      </c>
      <c r="G212" s="4" t="inlineStr">
        <is>
          <t>Terceiros</t>
        </is>
      </c>
      <c r="H212" s="8" t="n">
        <v>0.85</v>
      </c>
      <c r="I212" s="7" t="n">
        <v>100</v>
      </c>
      <c r="J212" s="5" t="n">
        <v>2</v>
      </c>
      <c r="K212" s="4" t="inlineStr">
        <is>
          <t>Em Funcionamento Normal</t>
        </is>
      </c>
      <c r="L212" s="4" t="inlineStr">
        <is>
          <t>Site (navegador)</t>
        </is>
      </c>
    </row>
    <row r="213">
      <c r="A213" s="4" t="inlineStr">
        <is>
          <t>XP Investimentos</t>
        </is>
      </c>
      <c r="B213" s="4" t="inlineStr">
        <is>
          <t>Occam Liquidez XP Seg Prev FIC FIRF CP RL</t>
        </is>
      </c>
      <c r="C213" s="4" t="inlineStr">
        <is>
          <t>63.799.359/0001-90</t>
        </is>
      </c>
      <c r="D213" s="4" t="inlineStr">
        <is>
          <t>Previdência RF Duração Livre Crédito Liv</t>
        </is>
      </c>
      <c r="E213" s="4" t="inlineStr">
        <is>
          <t>Crédito Liquidez</t>
        </is>
      </c>
      <c r="F213" s="4" t="inlineStr">
        <is>
          <t>NOVA OCCAM BRASIL GESTAO DE RECURSOS LTDA.</t>
        </is>
      </c>
      <c r="G213" s="4" t="inlineStr">
        <is>
          <t>Terceiros</t>
        </is>
      </c>
      <c r="H213" s="8" t="n">
        <v>0.8</v>
      </c>
      <c r="I213" s="7" t="n">
        <v>100</v>
      </c>
      <c r="J213" s="5" t="n">
        <v>1</v>
      </c>
      <c r="K213" s="4" t="inlineStr">
        <is>
          <t>Em Funcionamento Normal</t>
        </is>
      </c>
      <c r="L213" s="4" t="inlineStr">
        <is>
          <t>Site (navegador)</t>
        </is>
      </c>
    </row>
    <row r="214">
      <c r="A214" s="4" t="inlineStr">
        <is>
          <t>XP Investimentos</t>
        </is>
      </c>
      <c r="B214" s="4" t="inlineStr">
        <is>
          <t>Genoa Capital Sagres XP Seg Prev FIF CIC Multi RL</t>
        </is>
      </c>
      <c r="C214" s="4" t="inlineStr">
        <is>
          <t>64.195.667/0001-70</t>
        </is>
      </c>
      <c r="D214" s="4" t="inlineStr">
        <is>
          <t>Previdência Multimercado Livre</t>
        </is>
      </c>
      <c r="E214" s="4" t="inlineStr">
        <is>
          <t>Quantitativo</t>
        </is>
      </c>
      <c r="F214" s="4" t="inlineStr">
        <is>
          <t>GENOA CAPITAL GESTORA DE RECURSOS LTDA</t>
        </is>
      </c>
      <c r="G214" s="4" t="inlineStr">
        <is>
          <t>Terceiros</t>
        </is>
      </c>
      <c r="H214" s="8" t="n">
        <v>2</v>
      </c>
      <c r="I214" s="7" t="n">
        <v>100</v>
      </c>
      <c r="J214" s="5" t="n">
        <v>2</v>
      </c>
      <c r="K214" s="4" t="inlineStr">
        <is>
          <t>Em Funcionamento Normal</t>
        </is>
      </c>
      <c r="L214" s="4" t="inlineStr">
        <is>
          <t>Site (navegador)</t>
        </is>
      </c>
    </row>
    <row r="215">
      <c r="A215" s="4" t="inlineStr">
        <is>
          <t>XP Investimentos</t>
        </is>
      </c>
      <c r="B215" s="4" t="inlineStr">
        <is>
          <t>Ibiuna RF Ativo XP Seg Prev FIE I FIF CI RF RL</t>
        </is>
      </c>
      <c r="C215" s="4" t="inlineStr">
        <is>
          <t>65.536.263/0001-65</t>
        </is>
      </c>
      <c r="D215" s="4" t="inlineStr">
        <is>
          <t>Previdência RF Duração Livre Crédito Liv</t>
        </is>
      </c>
      <c r="E215" s="4" t="inlineStr">
        <is>
          <t>Renda Fixa Ativo</t>
        </is>
      </c>
      <c r="F215" s="4" t="inlineStr">
        <is>
          <t>IBIUNA PREVIDÊNCIA GESTÃO DE RECURSOS LTDA.</t>
        </is>
      </c>
      <c r="G215" s="4" t="inlineStr">
        <is>
          <t>Terceiros</t>
        </is>
      </c>
      <c r="H215" s="8" t="n">
        <v>0.8</v>
      </c>
      <c r="I215" s="7" t="n">
        <v>100</v>
      </c>
      <c r="J215" s="5" t="n">
        <v>1</v>
      </c>
      <c r="K215" s="4" t="inlineStr">
        <is>
          <t>Em Funcionamento Normal</t>
        </is>
      </c>
      <c r="L215" s="4" t="inlineStr">
        <is>
          <t>Site (navegador)</t>
        </is>
      </c>
    </row>
    <row r="216">
      <c r="A216" s="4" t="inlineStr">
        <is>
          <t>XP Investimentos</t>
        </is>
      </c>
      <c r="B216" s="4" t="inlineStr">
        <is>
          <t>Trend B60 XP Seg Prev RF RL</t>
        </is>
      </c>
      <c r="C216" s="4" t="inlineStr">
        <is>
          <t>65.912.212/0001-90</t>
        </is>
      </c>
      <c r="D216" s="4" t="inlineStr">
        <is>
          <t>Previdência RF Data Alvo</t>
        </is>
      </c>
      <c r="E216" s="4" t="inlineStr">
        <is>
          <t>Renda Fixa Inflação</t>
        </is>
      </c>
      <c r="F216" s="4" t="inlineStr">
        <is>
          <t>XP ALLOCATION ASSET MANAGEMENT LTDA</t>
        </is>
      </c>
      <c r="G216" s="4" t="inlineStr">
        <is>
          <t>Própria</t>
        </is>
      </c>
      <c r="H216" s="8" t="n">
        <v>0.3</v>
      </c>
      <c r="I216" s="7" t="n">
        <v>100</v>
      </c>
      <c r="J216" s="5" t="n">
        <v>1</v>
      </c>
      <c r="K216" s="4" t="inlineStr">
        <is>
          <t>Em Funcionamento Normal</t>
        </is>
      </c>
      <c r="L216" s="4" t="inlineStr">
        <is>
          <t>Site (navegador)</t>
        </is>
      </c>
    </row>
    <row r="217">
      <c r="A217" s="4" t="inlineStr">
        <is>
          <t>XP Investimentos</t>
        </is>
      </c>
      <c r="B217" s="4" t="inlineStr">
        <is>
          <t>Western Asset Total Credit XP Seg Prev FIF RF CP RL</t>
        </is>
      </c>
      <c r="C217" s="4" t="inlineStr">
        <is>
          <t>67.654.705/0001-01</t>
        </is>
      </c>
      <c r="D217" s="4" t="inlineStr">
        <is>
          <t>Previdência RF Duração Livre Crédito Liv</t>
        </is>
      </c>
      <c r="E217" s="4" t="inlineStr">
        <is>
          <t>Crédito Estruturado</t>
        </is>
      </c>
      <c r="F217" s="4" t="inlineStr">
        <is>
          <t>Franklin Templeton Brasil Ltda.</t>
        </is>
      </c>
      <c r="G217" s="4" t="inlineStr">
        <is>
          <t>Terceiros</t>
        </is>
      </c>
      <c r="H217" s="8" t="n">
        <v>0.75</v>
      </c>
      <c r="I217" s="7" t="n">
        <v>100</v>
      </c>
      <c r="J217" s="5" t="n">
        <v>1</v>
      </c>
      <c r="K217" s="4" t="inlineStr">
        <is>
          <t>Em Funcionamento Normal</t>
        </is>
      </c>
      <c r="L217" s="4" t="inlineStr">
        <is>
          <t>Site (navegador)</t>
        </is>
      </c>
    </row>
    <row r="218">
      <c r="A218" s="4" t="inlineStr">
        <is>
          <t>XP Investimentos</t>
        </is>
      </c>
      <c r="B218" s="4" t="inlineStr">
        <is>
          <t>Investo Renda Fixa SELIC Global BRL XP Seg Prev FIRF RL</t>
        </is>
      </c>
      <c r="C218" s="4" t="inlineStr">
        <is>
          <t>68.007.229/0001-91</t>
        </is>
      </c>
      <c r="D218" s="4" t="inlineStr">
        <is>
          <t>Renda Fixa Duração Livre Crédito Livre</t>
        </is>
      </c>
      <c r="E218" s="4" t="inlineStr">
        <is>
          <t>Crédito Híbrido</t>
        </is>
      </c>
      <c r="F218" s="4" t="inlineStr">
        <is>
          <t>INVESTO GESTÃO DE RECURSOS LTDA.</t>
        </is>
      </c>
      <c r="G218" s="4" t="inlineStr">
        <is>
          <t>Terceiros</t>
        </is>
      </c>
      <c r="H218" s="8" t="n">
        <v>0.6</v>
      </c>
      <c r="I218" s="7" t="n">
        <v>100</v>
      </c>
      <c r="J218" s="5" t="n">
        <v>1</v>
      </c>
      <c r="K218" s="4" t="inlineStr">
        <is>
          <t>Em Funcionamento Normal</t>
        </is>
      </c>
      <c r="L218" s="4" t="inlineStr">
        <is>
          <t>Site (navegador)</t>
        </is>
      </c>
    </row>
    <row r="219">
      <c r="A219" s="4" t="inlineStr">
        <is>
          <t>XP Investimentos</t>
        </is>
      </c>
      <c r="B219" s="4" t="inlineStr">
        <is>
          <t>Itaú Dual Advanced XP Seg I FIF CIC Multi CP RL</t>
        </is>
      </c>
      <c r="C219" s="4" t="inlineStr">
        <is>
          <t>68.097.895/0001-68</t>
        </is>
      </c>
      <c r="D219" s="4" t="inlineStr">
        <is>
          <t>Previdência Multimercado Livre</t>
        </is>
      </c>
      <c r="E219" s="4" t="inlineStr">
        <is>
          <t>Crédito High Grade</t>
        </is>
      </c>
      <c r="F219" s="4" t="inlineStr">
        <is>
          <t>ITAU UNIBANCO ASSET MANAGEMENT LTDA.</t>
        </is>
      </c>
      <c r="G219" s="4" t="inlineStr">
        <is>
          <t>Terceiros</t>
        </is>
      </c>
      <c r="H219" s="8" t="n">
        <v>0.7</v>
      </c>
      <c r="I219" s="7" t="n">
        <v>100</v>
      </c>
      <c r="J219" s="5" t="n">
        <v>2</v>
      </c>
      <c r="K219" s="4" t="inlineStr">
        <is>
          <t>Em Funcionamento Normal</t>
        </is>
      </c>
      <c r="L219" s="4" t="inlineStr">
        <is>
          <t>Site (navegador)</t>
        </is>
      </c>
    </row>
    <row r="220">
      <c r="A220" s="4" t="inlineStr">
        <is>
          <t>BTG Pactual</t>
        </is>
      </c>
      <c r="B220" s="4" t="inlineStr">
        <is>
          <t>ARX Income Icatu Prev FIM RL</t>
        </is>
      </c>
      <c r="C220" s="4" t="inlineStr">
        <is>
          <t>03.879.361/0001-48</t>
        </is>
      </c>
      <c r="D220" s="4" t="inlineStr">
        <is>
          <t>Previdência Multimercado Livre</t>
        </is>
      </c>
      <c r="E220" s="4" t="inlineStr">
        <is>
          <t>Renda Variável</t>
        </is>
      </c>
      <c r="F220" s="4" t="inlineStr">
        <is>
          <t>ARX INVESTIMENTOS LTDA</t>
        </is>
      </c>
      <c r="G220" s="4" t="inlineStr">
        <is>
          <t>Terceiros</t>
        </is>
      </c>
      <c r="H220" s="8" t="n">
        <v>1.9</v>
      </c>
      <c r="I220" s="7" t="n">
        <v>1000</v>
      </c>
      <c r="J220" s="5" t="n">
        <v>2</v>
      </c>
      <c r="K220" s="4" t="inlineStr">
        <is>
          <t>Em Funcionamento Normal</t>
        </is>
      </c>
      <c r="L220" s="4" t="inlineStr">
        <is>
          <t>API interna</t>
        </is>
      </c>
    </row>
    <row r="221">
      <c r="A221" s="4" t="inlineStr">
        <is>
          <t>BTG Pactual</t>
        </is>
      </c>
      <c r="B221" s="4" t="inlineStr">
        <is>
          <t>Icatu SEG Vanguarda FICFIRF Plus Prev RL</t>
        </is>
      </c>
      <c r="C221" s="4" t="inlineStr">
        <is>
          <t>04.223.291/0001-38</t>
        </is>
      </c>
      <c r="D221" s="4" t="inlineStr">
        <is>
          <t>Previdência RF Duração Média Grau de Inv</t>
        </is>
      </c>
      <c r="E221" s="4" t="inlineStr">
        <is>
          <t>Renda Fixa</t>
        </is>
      </c>
      <c r="F221" s="4" t="inlineStr">
        <is>
          <t>ICATU VANGUARDA GESTÃO DE RECURSOS LTDA</t>
        </is>
      </c>
      <c r="G221" s="4" t="inlineStr">
        <is>
          <t>Terceiros</t>
        </is>
      </c>
      <c r="H221" s="8" t="n">
        <v>0.45</v>
      </c>
      <c r="I221" s="7" t="n">
        <v>3000</v>
      </c>
      <c r="J221" s="5" t="n">
        <v>2</v>
      </c>
      <c r="K221" s="4" t="inlineStr">
        <is>
          <t>Em Funcionamento Normal</t>
        </is>
      </c>
      <c r="L221" s="4" t="inlineStr">
        <is>
          <t>API interna</t>
        </is>
      </c>
    </row>
    <row r="222">
      <c r="A222" s="4" t="inlineStr">
        <is>
          <t>BTG Pactual</t>
        </is>
      </c>
      <c r="B222" s="4" t="inlineStr">
        <is>
          <t>Icatu Vanguarda FICFIRF Inflacao Longa Prev RL</t>
        </is>
      </c>
      <c r="C222" s="4" t="inlineStr">
        <is>
          <t>04.228.716/0001-00</t>
        </is>
      </c>
      <c r="D222" s="4" t="inlineStr">
        <is>
          <t>Previdência RF Indexados</t>
        </is>
      </c>
      <c r="E222" s="4" t="inlineStr">
        <is>
          <t>Renda Fixa</t>
        </is>
      </c>
      <c r="F222" s="4" t="inlineStr">
        <is>
          <t>ICATU VANGUARDA GESTÃO DE RECURSOS LTDA</t>
        </is>
      </c>
      <c r="G222" s="4" t="inlineStr">
        <is>
          <t>Terceiros</t>
        </is>
      </c>
      <c r="H222" s="8" t="n">
        <v>1.5</v>
      </c>
      <c r="I222" s="7" t="n">
        <v>1000</v>
      </c>
      <c r="J222" s="5" t="n">
        <v>1</v>
      </c>
      <c r="K222" s="4" t="inlineStr">
        <is>
          <t>Em Funcionamento Normal</t>
        </is>
      </c>
      <c r="L222" s="4" t="inlineStr">
        <is>
          <t>API interna</t>
        </is>
      </c>
    </row>
    <row r="223">
      <c r="A223" s="4" t="inlineStr">
        <is>
          <t>BTG Pactual</t>
        </is>
      </c>
      <c r="B223" s="4" t="inlineStr">
        <is>
          <t>Icatu SEG Duration FIRF RL</t>
        </is>
      </c>
      <c r="C223" s="4" t="inlineStr">
        <is>
          <t>04.511.286/0001-20</t>
        </is>
      </c>
      <c r="D223" s="4" t="inlineStr">
        <is>
          <t>Previdência RF Duração Alta Grau de Inv.</t>
        </is>
      </c>
      <c r="E223" s="4" t="inlineStr">
        <is>
          <t>Renda Fixa</t>
        </is>
      </c>
      <c r="F223" s="4" t="inlineStr">
        <is>
          <t>ICATU VANGUARDA GESTÃO DE RECURSOS LTDA</t>
        </is>
      </c>
      <c r="G223" s="4" t="inlineStr">
        <is>
          <t>Terceiros</t>
        </is>
      </c>
      <c r="H223" s="8" t="n">
        <v>1.5</v>
      </c>
      <c r="I223" s="7" t="n">
        <v>1000</v>
      </c>
      <c r="J223" s="5" t="n">
        <v>2</v>
      </c>
      <c r="K223" s="4" t="inlineStr">
        <is>
          <t>Em Funcionamento Normal</t>
        </is>
      </c>
      <c r="L223" s="4" t="inlineStr">
        <is>
          <t>API interna</t>
        </is>
      </c>
    </row>
    <row r="224">
      <c r="A224" s="4" t="inlineStr">
        <is>
          <t>BTG Pactual</t>
        </is>
      </c>
      <c r="B224" s="4" t="inlineStr">
        <is>
          <t>Icatu Vanguarda Minha Aposentadoria 2040 FIM Prev RL</t>
        </is>
      </c>
      <c r="C224" s="4" t="inlineStr">
        <is>
          <t>07.190.735/0001-74</t>
        </is>
      </c>
      <c r="D224" s="4" t="inlineStr">
        <is>
          <t>Previdência Balanceados Data Alvo</t>
        </is>
      </c>
      <c r="E224" s="4" t="inlineStr">
        <is>
          <t>Alocação</t>
        </is>
      </c>
      <c r="F224" s="4" t="inlineStr">
        <is>
          <t>ICATU VANGUARDA GESTÃO DE RECURSOS LTDA</t>
        </is>
      </c>
      <c r="G224" s="4" t="inlineStr">
        <is>
          <t>Terceiros</t>
        </is>
      </c>
      <c r="H224" s="8" t="n">
        <v>0.98</v>
      </c>
      <c r="I224" s="7" t="n">
        <v>1000</v>
      </c>
      <c r="J224" s="5" t="n">
        <v>2</v>
      </c>
      <c r="K224" s="4" t="inlineStr">
        <is>
          <t>Em Funcionamento Normal</t>
        </is>
      </c>
      <c r="L224" s="4" t="inlineStr">
        <is>
          <t>API interna</t>
        </is>
      </c>
    </row>
    <row r="225">
      <c r="A225" s="4" t="inlineStr">
        <is>
          <t>BTG Pactual</t>
        </is>
      </c>
      <c r="B225" s="4" t="inlineStr">
        <is>
          <t>Icatu Vanguarda Minha Aposentadoria 2030 FIM Prev RL</t>
        </is>
      </c>
      <c r="C225" s="4" t="inlineStr">
        <is>
          <t>07.190.746/0001-54</t>
        </is>
      </c>
      <c r="D225" s="4" t="inlineStr">
        <is>
          <t>Previdência Balanceados Data Alvo</t>
        </is>
      </c>
      <c r="E225" s="4" t="inlineStr">
        <is>
          <t>Alocação</t>
        </is>
      </c>
      <c r="F225" s="4" t="inlineStr">
        <is>
          <t>ICATU VANGUARDA GESTÃO DE RECURSOS LTDA</t>
        </is>
      </c>
      <c r="G225" s="4" t="inlineStr">
        <is>
          <t>Terceiros</t>
        </is>
      </c>
      <c r="H225" s="8" t="n">
        <v>0.78</v>
      </c>
      <c r="I225" s="7" t="n">
        <v>1000</v>
      </c>
      <c r="J225" s="5" t="n">
        <v>2</v>
      </c>
      <c r="K225" s="4" t="inlineStr">
        <is>
          <t>Em Funcionamento Normal</t>
        </is>
      </c>
      <c r="L225" s="4" t="inlineStr">
        <is>
          <t>API interna</t>
        </is>
      </c>
    </row>
    <row r="226">
      <c r="A226" s="4" t="inlineStr">
        <is>
          <t>BTG Pactual</t>
        </is>
      </c>
      <c r="B226" s="4" t="inlineStr">
        <is>
          <t>Leblon Icatu Prev FIM RL</t>
        </is>
      </c>
      <c r="C226" s="4" t="inlineStr">
        <is>
          <t>11.098.129/0001-09</t>
        </is>
      </c>
      <c r="D226" s="4" t="inlineStr">
        <is>
          <t>Previdência Multimercado Livre</t>
        </is>
      </c>
      <c r="E226" s="4" t="inlineStr">
        <is>
          <t>Renda Variável</t>
        </is>
      </c>
      <c r="F226" s="4" t="inlineStr">
        <is>
          <t>LEBLON EQUITIES GESTAO DE RECURSOS LTDA</t>
        </is>
      </c>
      <c r="G226" s="4" t="inlineStr">
        <is>
          <t>Terceiros</t>
        </is>
      </c>
      <c r="H226" s="8" t="n">
        <v>2</v>
      </c>
      <c r="I226" s="7" t="n">
        <v>1000</v>
      </c>
      <c r="J226" s="5" t="n">
        <v>5</v>
      </c>
      <c r="K226" s="4" t="inlineStr">
        <is>
          <t>Em Funcionamento Normal</t>
        </is>
      </c>
      <c r="L226" s="4" t="inlineStr">
        <is>
          <t>API interna</t>
        </is>
      </c>
    </row>
    <row r="227">
      <c r="A227" s="4" t="inlineStr">
        <is>
          <t>BTG Pactual</t>
        </is>
      </c>
      <c r="B227" s="4" t="inlineStr">
        <is>
          <t>Icatu Vanguarda FICFIRF Inflacao Curta Prev RL</t>
        </is>
      </c>
      <c r="C227" s="4" t="inlineStr">
        <is>
          <t>12.823.627/0001-21</t>
        </is>
      </c>
      <c r="D227" s="4" t="inlineStr">
        <is>
          <t>Previdência RF Indexados</t>
        </is>
      </c>
      <c r="E227" s="4" t="inlineStr">
        <is>
          <t>Renda Fixa</t>
        </is>
      </c>
      <c r="F227" s="4" t="inlineStr">
        <is>
          <t>ICATU VANGUARDA GESTÃO DE RECURSOS LTDA</t>
        </is>
      </c>
      <c r="G227" s="4" t="inlineStr">
        <is>
          <t>Terceiros</t>
        </is>
      </c>
      <c r="H227" s="8" t="n">
        <v>0.75</v>
      </c>
      <c r="I227" s="7" t="n">
        <v>1000</v>
      </c>
      <c r="J227" s="5" t="n">
        <v>1</v>
      </c>
      <c r="K227" s="4" t="inlineStr">
        <is>
          <t>Em Funcionamento Normal</t>
        </is>
      </c>
      <c r="L227" s="4" t="inlineStr">
        <is>
          <t>API interna</t>
        </is>
      </c>
    </row>
    <row r="228">
      <c r="A228" s="4" t="inlineStr">
        <is>
          <t>BTG Pactual</t>
        </is>
      </c>
      <c r="B228" s="4" t="inlineStr">
        <is>
          <t>Santander Prev Icatu Lark I RF Cred Privado FICFIF RL</t>
        </is>
      </c>
      <c r="C228" s="4" t="inlineStr">
        <is>
          <t>14.325.933/0001-63</t>
        </is>
      </c>
      <c r="D228" s="4" t="inlineStr">
        <is>
          <t>Previdência RF Duração Livre Grau de Inv</t>
        </is>
      </c>
      <c r="E228" s="4" t="inlineStr">
        <is>
          <t>Alocação</t>
        </is>
      </c>
      <c r="F228" s="4" t="inlineStr">
        <is>
          <t>SANTANDER BRASIL GESTÃO DE RECURSOS LTDA</t>
        </is>
      </c>
      <c r="G228" s="4" t="inlineStr">
        <is>
          <t>Terceiros</t>
        </is>
      </c>
      <c r="H228" s="8" t="n">
        <v>1</v>
      </c>
      <c r="I228" s="7" t="n">
        <v>3000</v>
      </c>
      <c r="J228" s="5" t="n">
        <v>1</v>
      </c>
      <c r="K228" s="4" t="inlineStr">
        <is>
          <t>Em Funcionamento Normal</t>
        </is>
      </c>
      <c r="L228" s="4" t="inlineStr">
        <is>
          <t>API interna</t>
        </is>
      </c>
    </row>
    <row r="229">
      <c r="A229" s="4" t="inlineStr">
        <is>
          <t>BTG Pactual</t>
        </is>
      </c>
      <c r="B229" s="4" t="inlineStr">
        <is>
          <t>Icatu Kadima FIE Prev FICFIM RL</t>
        </is>
      </c>
      <c r="C229" s="4" t="inlineStr">
        <is>
          <t>15.862.867/0001-23</t>
        </is>
      </c>
      <c r="D229" s="4" t="inlineStr">
        <is>
          <t>Previdência Multimercado Livre</t>
        </is>
      </c>
      <c r="E229" s="4" t="inlineStr">
        <is>
          <t>Multimercado</t>
        </is>
      </c>
      <c r="F229" s="4" t="inlineStr">
        <is>
          <t>KADIMA GESTAO DE INVESTIMENTOS LTDA</t>
        </is>
      </c>
      <c r="G229" s="4" t="inlineStr">
        <is>
          <t>Terceiros</t>
        </is>
      </c>
      <c r="H229" s="8" t="n">
        <v>2</v>
      </c>
      <c r="I229" s="7" t="n">
        <v>1500</v>
      </c>
      <c r="J229" s="5" t="n">
        <v>3</v>
      </c>
      <c r="K229" s="4" t="inlineStr">
        <is>
          <t>Em Funcionamento Normal</t>
        </is>
      </c>
      <c r="L229" s="4" t="inlineStr">
        <is>
          <t>API interna</t>
        </is>
      </c>
    </row>
    <row r="230">
      <c r="A230" s="4" t="inlineStr">
        <is>
          <t>BTG Pactual</t>
        </is>
      </c>
      <c r="B230" s="4" t="inlineStr">
        <is>
          <t>Santander Prev Icatu Strix Mult FIF RL</t>
        </is>
      </c>
      <c r="C230" s="4" t="inlineStr">
        <is>
          <t>17.340.337/0001-40</t>
        </is>
      </c>
      <c r="D230" s="4" t="inlineStr">
        <is>
          <t>Previdência Multimercados Juros e Moedas</t>
        </is>
      </c>
      <c r="E230" s="4" t="inlineStr">
        <is>
          <t>Renda Fixa</t>
        </is>
      </c>
      <c r="F230" s="4" t="inlineStr">
        <is>
          <t>SANTANDER BRASIL GESTÃO DE RECURSOS LTDA</t>
        </is>
      </c>
      <c r="G230" s="4" t="inlineStr">
        <is>
          <t>Terceiros</t>
        </is>
      </c>
      <c r="H230" s="8" t="n">
        <v>1.5</v>
      </c>
      <c r="I230" s="7" t="n">
        <v>1500</v>
      </c>
      <c r="J230" s="5" t="n">
        <v>1</v>
      </c>
      <c r="K230" s="4" t="inlineStr">
        <is>
          <t>Em Funcionamento Normal</t>
        </is>
      </c>
      <c r="L230" s="4" t="inlineStr">
        <is>
          <t>API interna</t>
        </is>
      </c>
    </row>
    <row r="231">
      <c r="A231" s="4" t="inlineStr">
        <is>
          <t>BTG Pactual</t>
        </is>
      </c>
      <c r="B231" s="4" t="inlineStr">
        <is>
          <t>Occam Icatu Prev FICFIM RL</t>
        </is>
      </c>
      <c r="C231" s="4" t="inlineStr">
        <is>
          <t>17.685.620/0001-04</t>
        </is>
      </c>
      <c r="D231" s="4" t="inlineStr">
        <is>
          <t>Previdência Multimercado Livre</t>
        </is>
      </c>
      <c r="E231" s="4" t="inlineStr">
        <is>
          <t>Renda Variável</t>
        </is>
      </c>
      <c r="F231" s="4" t="inlineStr">
        <is>
          <t>OCCAM BRASIL GESTÃO DE RECURSOS LTDA.</t>
        </is>
      </c>
      <c r="G231" s="4" t="inlineStr">
        <is>
          <t>Terceiros</t>
        </is>
      </c>
      <c r="H231" s="8" t="n">
        <v>1.95</v>
      </c>
      <c r="I231" s="7" t="n">
        <v>1000</v>
      </c>
      <c r="J231" s="5" t="n">
        <v>3</v>
      </c>
      <c r="K231" s="4" t="inlineStr">
        <is>
          <t>Em Funcionamento Normal</t>
        </is>
      </c>
      <c r="L231" s="4" t="inlineStr">
        <is>
          <t>API interna</t>
        </is>
      </c>
    </row>
    <row r="232">
      <c r="A232" s="4" t="inlineStr">
        <is>
          <t>BTG Pactual</t>
        </is>
      </c>
      <c r="B232" s="4" t="inlineStr">
        <is>
          <t>AZ Quest Icatu Multi Prev FICFIM RL</t>
        </is>
      </c>
      <c r="C232" s="4" t="inlineStr">
        <is>
          <t>18.534.967/0001-19</t>
        </is>
      </c>
      <c r="D232" s="4" t="inlineStr">
        <is>
          <t>Previdência Multimercado Livre</t>
        </is>
      </c>
      <c r="E232" s="4" t="inlineStr">
        <is>
          <t>Multimercado</t>
        </is>
      </c>
      <c r="F232" s="4" t="inlineStr">
        <is>
          <t>AZ Quest Prev Ltda.</t>
        </is>
      </c>
      <c r="G232" s="4" t="inlineStr">
        <is>
          <t>Terceiros</t>
        </is>
      </c>
      <c r="H232" s="8" t="n">
        <v>2</v>
      </c>
      <c r="I232" s="7" t="n">
        <v>1500</v>
      </c>
      <c r="J232" s="5" t="n">
        <v>3</v>
      </c>
      <c r="K232" s="4" t="inlineStr">
        <is>
          <t>Em Funcionamento Normal</t>
        </is>
      </c>
      <c r="L232" s="4" t="inlineStr">
        <is>
          <t>API interna</t>
        </is>
      </c>
    </row>
    <row r="233">
      <c r="A233" s="4" t="inlineStr">
        <is>
          <t>BTG Pactual</t>
        </is>
      </c>
      <c r="B233" s="4" t="inlineStr">
        <is>
          <t>BTG Autoinvest Sofisticado Prev FIM CrPr RL</t>
        </is>
      </c>
      <c r="C233" s="4" t="inlineStr">
        <is>
          <t>20.332.753/0001-01</t>
        </is>
      </c>
      <c r="D233" s="4" t="inlineStr">
        <is>
          <t>Previdência Multimercado Livre</t>
        </is>
      </c>
      <c r="E233" s="4" t="inlineStr">
        <is>
          <t>Alocação</t>
        </is>
      </c>
      <c r="F233" s="4" t="inlineStr">
        <is>
          <t>BTG PACTUAL GESTÃO E CONSULTORIA DE INVESTIMENTOS LTDA</t>
        </is>
      </c>
      <c r="G233" s="4" t="inlineStr">
        <is>
          <t>Própria</t>
        </is>
      </c>
      <c r="H233" s="8" t="n">
        <v>1</v>
      </c>
      <c r="I233" s="7" t="n">
        <v>1000</v>
      </c>
      <c r="J233" s="5" t="n">
        <v>2</v>
      </c>
      <c r="K233" s="4" t="inlineStr">
        <is>
          <t>Em Funcionamento Normal</t>
        </is>
      </c>
      <c r="L233" s="4" t="inlineStr">
        <is>
          <t>API interna</t>
        </is>
      </c>
    </row>
    <row r="234">
      <c r="A234" s="4" t="inlineStr">
        <is>
          <t>BTG Pactual</t>
        </is>
      </c>
      <c r="B234" s="4" t="inlineStr">
        <is>
          <t>BTG Pactual Yield Prev FICFIM CrPr RL</t>
        </is>
      </c>
      <c r="C234" s="4" t="inlineStr">
        <is>
          <t>20.997.959/0001-50</t>
        </is>
      </c>
      <c r="D234" s="4" t="inlineStr">
        <is>
          <t>Previdência Multimercado Livre</t>
        </is>
      </c>
      <c r="E234" s="4" t="inlineStr">
        <is>
          <t>Renda Fixa</t>
        </is>
      </c>
      <c r="F234" s="4" t="inlineStr">
        <is>
          <t>BTG PACTUAL ASSET MANAGEMENT S/A DTVM</t>
        </is>
      </c>
      <c r="G234" s="4" t="inlineStr">
        <is>
          <t>Própria</t>
        </is>
      </c>
      <c r="H234" s="8" t="n">
        <v>0.55</v>
      </c>
      <c r="I234" s="7" t="n">
        <v>1000</v>
      </c>
      <c r="J234" s="5" t="n">
        <v>1</v>
      </c>
      <c r="K234" s="4" t="inlineStr">
        <is>
          <t>Em Funcionamento Normal</t>
        </is>
      </c>
      <c r="L234" s="4" t="inlineStr">
        <is>
          <t>API interna</t>
        </is>
      </c>
    </row>
    <row r="235">
      <c r="A235" s="4" t="inlineStr">
        <is>
          <t>BTG Pactual</t>
        </is>
      </c>
      <c r="B235" s="4" t="inlineStr">
        <is>
          <t>Vinci Equilibrio Prev FIM RL</t>
        </is>
      </c>
      <c r="C235" s="4" t="inlineStr">
        <is>
          <t>21.312.800/0001-18</t>
        </is>
      </c>
      <c r="D235" s="4" t="inlineStr">
        <is>
          <t>Previdência Multimercado Livre</t>
        </is>
      </c>
      <c r="E235" s="4" t="inlineStr">
        <is>
          <t>Alocação</t>
        </is>
      </c>
      <c r="F235" s="4" t="inlineStr">
        <is>
          <t>VINCI SOLUÇÕES DE INVESTIMENTOS LTDA</t>
        </is>
      </c>
      <c r="G235" s="4" t="inlineStr">
        <is>
          <t>Terceiros</t>
        </is>
      </c>
      <c r="H235" s="8" t="n">
        <v>2</v>
      </c>
      <c r="I235" s="7" t="n">
        <v>0</v>
      </c>
      <c r="J235" s="5" t="n">
        <v>3</v>
      </c>
      <c r="K235" s="4" t="inlineStr">
        <is>
          <t>Em Funcionamento Normal</t>
        </is>
      </c>
      <c r="L235" s="4" t="inlineStr">
        <is>
          <t>API interna</t>
        </is>
      </c>
    </row>
    <row r="236">
      <c r="A236" s="4" t="inlineStr">
        <is>
          <t>BTG Pactual</t>
        </is>
      </c>
      <c r="B236" s="4" t="inlineStr">
        <is>
          <t>Icatu SEG Western Asset Prev FIM RL</t>
        </is>
      </c>
      <c r="C236" s="4" t="inlineStr">
        <is>
          <t>21.818.801/0001-39</t>
        </is>
      </c>
      <c r="D236" s="4" t="inlineStr">
        <is>
          <t>Previdência Multimercado Livre</t>
        </is>
      </c>
      <c r="E236" s="4" t="inlineStr">
        <is>
          <t>Renda Fixa</t>
        </is>
      </c>
      <c r="F236" s="4" t="inlineStr">
        <is>
          <t>Franklin Templeton Brasil Ltda.</t>
        </is>
      </c>
      <c r="G236" s="4" t="inlineStr">
        <is>
          <t>Terceiros</t>
        </is>
      </c>
      <c r="H236" s="8" t="n">
        <v>1.5</v>
      </c>
      <c r="I236" s="7" t="n">
        <v>1500</v>
      </c>
      <c r="J236" s="5" t="n">
        <v>3</v>
      </c>
      <c r="K236" s="4" t="inlineStr">
        <is>
          <t>Em Funcionamento Normal</t>
        </is>
      </c>
      <c r="L236" s="4" t="inlineStr">
        <is>
          <t>API interna</t>
        </is>
      </c>
    </row>
    <row r="237">
      <c r="A237" s="4" t="inlineStr">
        <is>
          <t>BTG Pactual</t>
        </is>
      </c>
      <c r="B237" s="4" t="inlineStr">
        <is>
          <t>BTG Pactual Prev IMA B FICFIRF de Fundos de RF RL</t>
        </is>
      </c>
      <c r="C237" s="4" t="inlineStr">
        <is>
          <t>22.187.479/0001-50</t>
        </is>
      </c>
      <c r="D237" s="4" t="inlineStr">
        <is>
          <t>Previdência RF Duração Alta Soberano</t>
        </is>
      </c>
      <c r="E237" s="4" t="inlineStr">
        <is>
          <t>Renda Fixa</t>
        </is>
      </c>
      <c r="F237" s="4" t="inlineStr">
        <is>
          <t>BTG PACTUAL ASSET MANAGEMENT S/A DTVM</t>
        </is>
      </c>
      <c r="G237" s="4" t="inlineStr">
        <is>
          <t>Própria</t>
        </is>
      </c>
      <c r="H237" s="8" t="n">
        <v>0.5</v>
      </c>
      <c r="I237" s="7" t="n">
        <v>1000</v>
      </c>
      <c r="J237" s="5" t="n">
        <v>2</v>
      </c>
      <c r="K237" s="4" t="inlineStr">
        <is>
          <t>Em Funcionamento Normal</t>
        </is>
      </c>
      <c r="L237" s="4" t="inlineStr">
        <is>
          <t>API interna</t>
        </is>
      </c>
    </row>
    <row r="238">
      <c r="A238" s="4" t="inlineStr">
        <is>
          <t>BTG Pactual</t>
        </is>
      </c>
      <c r="B238" s="4" t="inlineStr">
        <is>
          <t>Brasil Plural Cred Corp Icatu Prev FICFIRF CrPr RL</t>
        </is>
      </c>
      <c r="C238" s="4" t="inlineStr">
        <is>
          <t>23.263.359/0001-57</t>
        </is>
      </c>
      <c r="D238" s="4" t="inlineStr">
        <is>
          <t>Previdência RF Duração Livre Crédito Liv</t>
        </is>
      </c>
      <c r="E238" s="4" t="inlineStr">
        <is>
          <t>Renda Fixa</t>
        </is>
      </c>
      <c r="F238" s="4" t="inlineStr">
        <is>
          <t>PLURAL GESTÃO DE RECURSOS LTDA</t>
        </is>
      </c>
      <c r="G238" s="4" t="inlineStr">
        <is>
          <t>Terceiros</t>
        </is>
      </c>
      <c r="H238" s="8" t="n">
        <v>0.8</v>
      </c>
      <c r="I238" s="7" t="n">
        <v>3000</v>
      </c>
      <c r="J238" s="5" t="n">
        <v>4</v>
      </c>
      <c r="K238" s="4" t="inlineStr">
        <is>
          <t>Em Funcionamento Normal</t>
        </is>
      </c>
      <c r="L238" s="4" t="inlineStr">
        <is>
          <t>API interna</t>
        </is>
      </c>
    </row>
    <row r="239">
      <c r="A239" s="4" t="inlineStr">
        <is>
          <t>BTG Pactual</t>
        </is>
      </c>
      <c r="B239" s="4" t="inlineStr">
        <is>
          <t>Verde AM Icatu Prev FICFIM RL</t>
        </is>
      </c>
      <c r="C239" s="4" t="inlineStr">
        <is>
          <t>23.339.936/0001-47</t>
        </is>
      </c>
      <c r="D239" s="4" t="inlineStr">
        <is>
          <t>Previdência Multimercado Livre</t>
        </is>
      </c>
      <c r="E239" s="4" t="inlineStr">
        <is>
          <t>Multimercado</t>
        </is>
      </c>
      <c r="F239" s="4" t="inlineStr">
        <is>
          <t>VERDE ASSET MANAGEMENT S.A.</t>
        </is>
      </c>
      <c r="G239" s="4" t="inlineStr">
        <is>
          <t>Terceiros</t>
        </is>
      </c>
      <c r="H239" s="8" t="n">
        <v>2</v>
      </c>
      <c r="I239" s="7" t="n">
        <v>1500</v>
      </c>
      <c r="J239" s="5" t="n">
        <v>3</v>
      </c>
      <c r="K239" s="4" t="inlineStr">
        <is>
          <t>Em Funcionamento Normal</t>
        </is>
      </c>
      <c r="L239" s="4" t="inlineStr">
        <is>
          <t>API interna</t>
        </is>
      </c>
    </row>
    <row r="240">
      <c r="A240" s="4" t="inlineStr">
        <is>
          <t>BTG Pactual</t>
        </is>
      </c>
      <c r="B240" s="4" t="inlineStr">
        <is>
          <t>Safari Prev FICFIM RL</t>
        </is>
      </c>
      <c r="C240" s="4" t="inlineStr">
        <is>
          <t>23.502.724/0001-39</t>
        </is>
      </c>
      <c r="D240" s="4" t="inlineStr">
        <is>
          <t>Previdência Multimercado Livre</t>
        </is>
      </c>
      <c r="E240" s="4" t="inlineStr">
        <is>
          <t>Renda Variável</t>
        </is>
      </c>
      <c r="F240" s="4" t="inlineStr">
        <is>
          <t>SAFARI CAPITAL GESTÃO DE RECURSOS LTDA.</t>
        </is>
      </c>
      <c r="G240" s="4" t="inlineStr">
        <is>
          <t>Terceiros</t>
        </is>
      </c>
      <c r="H240" s="8" t="n">
        <v>2</v>
      </c>
      <c r="I240" s="7" t="n">
        <v>1000</v>
      </c>
      <c r="J240" s="5" t="n">
        <v>9</v>
      </c>
      <c r="K240" s="4" t="inlineStr">
        <is>
          <t>Em Funcionamento Normal</t>
        </is>
      </c>
      <c r="L240" s="4" t="inlineStr">
        <is>
          <t>API interna</t>
        </is>
      </c>
    </row>
    <row r="241">
      <c r="A241" s="4" t="inlineStr">
        <is>
          <t>BTG Pactual</t>
        </is>
      </c>
      <c r="B241" s="4" t="inlineStr">
        <is>
          <t>Western Asset Icatu RF Ativo Prev FIF RL</t>
        </is>
      </c>
      <c r="C241" s="4" t="inlineStr">
        <is>
          <t>23.872.787/0001-87</t>
        </is>
      </c>
      <c r="D241" s="4" t="inlineStr">
        <is>
          <t>Previdência RF Duração Livre Grau de Inv</t>
        </is>
      </c>
      <c r="E241" s="4" t="inlineStr">
        <is>
          <t>Renda Fixa</t>
        </is>
      </c>
      <c r="F241" s="4" t="inlineStr">
        <is>
          <t>Franklin Templeton Brasil Ltda.</t>
        </is>
      </c>
      <c r="G241" s="4" t="inlineStr">
        <is>
          <t>Terceiros</t>
        </is>
      </c>
      <c r="H241" s="8" t="n">
        <v>0.8</v>
      </c>
      <c r="I241" s="7" t="n">
        <v>1500</v>
      </c>
      <c r="J241" s="5" t="n">
        <v>1</v>
      </c>
      <c r="K241" s="4" t="inlineStr">
        <is>
          <t>Em Funcionamento Normal</t>
        </is>
      </c>
      <c r="L241" s="4" t="inlineStr">
        <is>
          <t>API interna</t>
        </is>
      </c>
    </row>
    <row r="242">
      <c r="A242" s="4" t="inlineStr">
        <is>
          <t>BTG Pactual</t>
        </is>
      </c>
      <c r="B242" s="4" t="inlineStr">
        <is>
          <t>AZ Quest Prev Icatu Luce FICFIRF CrPr RL</t>
        </is>
      </c>
      <c r="C242" s="4" t="inlineStr">
        <is>
          <t>23.883.385/0001-88</t>
        </is>
      </c>
      <c r="D242" s="4" t="inlineStr">
        <is>
          <t>Previdência RF Duração Livre Crédito Liv</t>
        </is>
      </c>
      <c r="E242" s="4" t="inlineStr">
        <is>
          <t>Renda Fixa</t>
        </is>
      </c>
      <c r="F242" s="4" t="inlineStr">
        <is>
          <t>AZ Quest Prev Ltda.</t>
        </is>
      </c>
      <c r="G242" s="4" t="inlineStr">
        <is>
          <t>Terceiros</t>
        </is>
      </c>
      <c r="H242" s="8" t="n">
        <v>0.55</v>
      </c>
      <c r="I242" s="7" t="n">
        <v>3000</v>
      </c>
      <c r="J242" s="5" t="n">
        <v>3</v>
      </c>
      <c r="K242" s="4" t="inlineStr">
        <is>
          <t>Em Funcionamento Normal</t>
        </is>
      </c>
      <c r="L242" s="4" t="inlineStr">
        <is>
          <t>API interna</t>
        </is>
      </c>
    </row>
    <row r="243">
      <c r="A243" s="4" t="inlineStr">
        <is>
          <t>BTG Pactual</t>
        </is>
      </c>
      <c r="B243" s="4" t="inlineStr">
        <is>
          <t>Canvas Icatu Prev FICFIM Prev RL</t>
        </is>
      </c>
      <c r="C243" s="4" t="inlineStr">
        <is>
          <t>24.405.282/0001-75</t>
        </is>
      </c>
      <c r="D243" s="4" t="inlineStr">
        <is>
          <t>Previdência Multimercado Livre</t>
        </is>
      </c>
      <c r="E243" s="4" t="inlineStr">
        <is>
          <t>Multimercado</t>
        </is>
      </c>
      <c r="F243" s="4" t="inlineStr">
        <is>
          <t>CANVAS CAPITAL S.A.</t>
        </is>
      </c>
      <c r="G243" s="4" t="inlineStr">
        <is>
          <t>Terceiros</t>
        </is>
      </c>
      <c r="H243" s="8" t="n">
        <v>2</v>
      </c>
      <c r="I243" s="7" t="n">
        <v>1500</v>
      </c>
      <c r="J243" s="5" t="n">
        <v>3</v>
      </c>
      <c r="K243" s="4" t="inlineStr">
        <is>
          <t>Em Funcionamento Normal</t>
        </is>
      </c>
      <c r="L243" s="4" t="inlineStr">
        <is>
          <t>API interna</t>
        </is>
      </c>
    </row>
    <row r="244">
      <c r="A244" s="4" t="inlineStr">
        <is>
          <t>BTG Pactual</t>
        </is>
      </c>
      <c r="B244" s="4" t="inlineStr">
        <is>
          <t>Adam BP Prev FICFIM RL</t>
        </is>
      </c>
      <c r="C244" s="4" t="inlineStr">
        <is>
          <t>24.751.504/0001-01</t>
        </is>
      </c>
      <c r="D244" s="4" t="inlineStr">
        <is>
          <t>Previdência Multimercado Livre</t>
        </is>
      </c>
      <c r="E244" s="4" t="inlineStr">
        <is>
          <t>Multimercado</t>
        </is>
      </c>
      <c r="F244" s="4" t="inlineStr">
        <is>
          <t>ADAMCAPITAL GESTÃO DE RECURSOS LTDA.</t>
        </is>
      </c>
      <c r="G244" s="4" t="inlineStr">
        <is>
          <t>Terceiros</t>
        </is>
      </c>
      <c r="H244" s="8" t="n">
        <v>2</v>
      </c>
      <c r="I244" s="7" t="n">
        <v>1000</v>
      </c>
      <c r="J244" s="5" t="n">
        <v>2</v>
      </c>
      <c r="K244" s="4" t="inlineStr">
        <is>
          <t>Em Funcionamento Normal</t>
        </is>
      </c>
      <c r="L244" s="4" t="inlineStr">
        <is>
          <t>API interna</t>
        </is>
      </c>
    </row>
    <row r="245">
      <c r="A245" s="4" t="inlineStr">
        <is>
          <t>BTG Pactual</t>
        </is>
      </c>
      <c r="B245" s="4" t="inlineStr">
        <is>
          <t>ASA Hedge Icatu Prev FICFIM RL</t>
        </is>
      </c>
      <c r="C245" s="4" t="inlineStr">
        <is>
          <t>26.343.792/0001-90</t>
        </is>
      </c>
      <c r="D245" s="4" t="inlineStr">
        <is>
          <t>Previdência Multimercado Livre</t>
        </is>
      </c>
      <c r="E245" s="4" t="inlineStr">
        <is>
          <t>Multimercado</t>
        </is>
      </c>
      <c r="F245" s="4" t="inlineStr">
        <is>
          <t>ASA ASSET MANAGEMENT LTDA.</t>
        </is>
      </c>
      <c r="G245" s="4" t="inlineStr">
        <is>
          <t>Terceiros</t>
        </is>
      </c>
      <c r="H245" s="8" t="n">
        <v>0.9500000000000001</v>
      </c>
      <c r="I245" s="7" t="n">
        <v>1000</v>
      </c>
      <c r="J245" s="5" t="n">
        <v>3</v>
      </c>
      <c r="K245" s="4" t="inlineStr">
        <is>
          <t>Em Funcionamento Normal</t>
        </is>
      </c>
      <c r="L245" s="4" t="inlineStr">
        <is>
          <t>API interna</t>
        </is>
      </c>
    </row>
    <row r="246">
      <c r="A246" s="4" t="inlineStr">
        <is>
          <t>BTG Pactual</t>
        </is>
      </c>
      <c r="B246" s="4" t="inlineStr">
        <is>
          <t>Icatu Vanguarda LB Prev FICFIM RL</t>
        </is>
      </c>
      <c r="C246" s="4" t="inlineStr">
        <is>
          <t>27.328.750/0001-43</t>
        </is>
      </c>
      <c r="D246" s="4" t="inlineStr">
        <is>
          <t>Previdência Multimercado Livre</t>
        </is>
      </c>
      <c r="E246" s="4" t="inlineStr">
        <is>
          <t>Renda Variável</t>
        </is>
      </c>
      <c r="F246" s="4" t="inlineStr">
        <is>
          <t>ICATU SEGUROS S/A</t>
        </is>
      </c>
      <c r="G246" s="4" t="inlineStr">
        <is>
          <t>Terceiros</t>
        </is>
      </c>
      <c r="H246" s="8" t="n">
        <v>2</v>
      </c>
      <c r="I246" s="7" t="n">
        <v>1500</v>
      </c>
      <c r="J246" s="5" t="n">
        <v>3</v>
      </c>
      <c r="K246" s="4" t="inlineStr">
        <is>
          <t>Em Funcionamento Normal</t>
        </is>
      </c>
      <c r="L246" s="4" t="inlineStr">
        <is>
          <t>API interna</t>
        </is>
      </c>
    </row>
    <row r="247">
      <c r="A247" s="4" t="inlineStr">
        <is>
          <t>BTG Pactual</t>
        </is>
      </c>
      <c r="B247" s="4" t="inlineStr">
        <is>
          <t>BTG Pactual Tesouro Ipca Longo Prev FICFIRF de RF RL</t>
        </is>
      </c>
      <c r="C247" s="4" t="inlineStr">
        <is>
          <t>27.762.397/0001-05</t>
        </is>
      </c>
      <c r="D247" s="4" t="inlineStr">
        <is>
          <t>Previdência RF Duração Alta Soberano</t>
        </is>
      </c>
      <c r="E247" s="4" t="inlineStr">
        <is>
          <t>Renda Fixa</t>
        </is>
      </c>
      <c r="F247" s="4" t="inlineStr">
        <is>
          <t>BTG PACTUAL ASSET MANAGEMENT S/A DTVM</t>
        </is>
      </c>
      <c r="G247" s="4" t="inlineStr">
        <is>
          <t>Própria</t>
        </is>
      </c>
      <c r="H247" s="8" t="n">
        <v>0.75</v>
      </c>
      <c r="I247" s="7" t="n">
        <v>1000</v>
      </c>
      <c r="J247" s="5" t="n">
        <v>1</v>
      </c>
      <c r="K247" s="4" t="inlineStr">
        <is>
          <t>Em Funcionamento Normal</t>
        </is>
      </c>
      <c r="L247" s="4" t="inlineStr">
        <is>
          <t>API interna</t>
        </is>
      </c>
    </row>
    <row r="248">
      <c r="A248" s="4" t="inlineStr">
        <is>
          <t>BTG Pactual</t>
        </is>
      </c>
      <c r="B248" s="4" t="inlineStr">
        <is>
          <t>Icatu Vanguarda Hedge FIM Prev RL</t>
        </is>
      </c>
      <c r="C248" s="4" t="inlineStr">
        <is>
          <t>28.557.920/0001-24</t>
        </is>
      </c>
      <c r="D248" s="4" t="inlineStr">
        <is>
          <t>Previdência Multimercado Livre</t>
        </is>
      </c>
      <c r="E248" s="4" t="inlineStr">
        <is>
          <t>Multimercado</t>
        </is>
      </c>
      <c r="F248" s="4" t="inlineStr">
        <is>
          <t>ICATU VANGUARDA GESTÃO DE RECURSOS LTDA</t>
        </is>
      </c>
      <c r="G248" s="4" t="inlineStr">
        <is>
          <t>Terceiros</t>
        </is>
      </c>
      <c r="H248" s="8" t="n">
        <v>0.75</v>
      </c>
      <c r="I248" s="7" t="n">
        <v>3000</v>
      </c>
      <c r="J248" s="5" t="n">
        <v>1</v>
      </c>
      <c r="K248" s="4" t="inlineStr">
        <is>
          <t>Em Funcionamento Normal</t>
        </is>
      </c>
      <c r="L248" s="4" t="inlineStr">
        <is>
          <t>API interna</t>
        </is>
      </c>
    </row>
    <row r="249">
      <c r="A249" s="4" t="inlineStr">
        <is>
          <t>BTG Pactual</t>
        </is>
      </c>
      <c r="B249" s="4" t="inlineStr">
        <is>
          <t>Icatu SEG Global Equity Income 10 FIM Prev RL</t>
        </is>
      </c>
      <c r="C249" s="4" t="inlineStr">
        <is>
          <t>28.557.951/0001-85</t>
        </is>
      </c>
      <c r="D249" s="4" t="inlineStr">
        <is>
          <t>Previdência Multimercado Livre</t>
        </is>
      </c>
      <c r="E249" s="4" t="inlineStr">
        <is>
          <t>Multimercado</t>
        </is>
      </c>
      <c r="F249" s="4" t="inlineStr">
        <is>
          <t>ICATU VANGUARDA GESTÃO DE RECURSOS LTDA</t>
        </is>
      </c>
      <c r="G249" s="4" t="inlineStr">
        <is>
          <t>Terceiros</t>
        </is>
      </c>
      <c r="H249" s="8" t="n">
        <v>0.88</v>
      </c>
      <c r="I249" s="7" t="n">
        <v>1000</v>
      </c>
      <c r="J249" s="5" t="n">
        <v>3</v>
      </c>
      <c r="K249" s="4" t="inlineStr">
        <is>
          <t>Em Funcionamento Normal</t>
        </is>
      </c>
      <c r="L249" s="4" t="inlineStr">
        <is>
          <t>API interna</t>
        </is>
      </c>
    </row>
    <row r="250">
      <c r="A250" s="4" t="inlineStr">
        <is>
          <t>BTG Pactual</t>
        </is>
      </c>
      <c r="B250" s="4" t="inlineStr">
        <is>
          <t>Butia Excellence Prev FICFIM RL</t>
        </is>
      </c>
      <c r="C250" s="4" t="inlineStr">
        <is>
          <t>28.819.628/0001-32</t>
        </is>
      </c>
      <c r="D250" s="4" t="inlineStr">
        <is>
          <t>Previdência Multimercado Livre</t>
        </is>
      </c>
      <c r="E250" s="4" t="inlineStr">
        <is>
          <t>Alocação</t>
        </is>
      </c>
      <c r="F250" s="4" t="inlineStr">
        <is>
          <t>BUTIÁ GESTÃO DE INVESTIMENTOS LTDA.</t>
        </is>
      </c>
      <c r="G250" s="4" t="inlineStr">
        <is>
          <t>Terceiros</t>
        </is>
      </c>
      <c r="H250" s="8" t="n"/>
      <c r="I250" s="7" t="n">
        <v>0</v>
      </c>
      <c r="J250" s="5" t="n">
        <v>3</v>
      </c>
      <c r="K250" s="4" t="inlineStr">
        <is>
          <t>Em Funcionamento Normal</t>
        </is>
      </c>
      <c r="L250" s="4" t="inlineStr">
        <is>
          <t>API interna</t>
        </is>
      </c>
    </row>
    <row r="251">
      <c r="A251" s="4" t="inlineStr">
        <is>
          <t>BTG Pactual</t>
        </is>
      </c>
      <c r="B251" s="4" t="inlineStr">
        <is>
          <t>BTG Pactual Tesouro Selic Prev FIRF Ref. DI RL</t>
        </is>
      </c>
      <c r="C251" s="4" t="inlineStr">
        <is>
          <t>29.078.039/0001-03</t>
        </is>
      </c>
      <c r="D251" s="4" t="inlineStr">
        <is>
          <t>Previdência RF Duração Livre Soberano</t>
        </is>
      </c>
      <c r="E251" s="4" t="inlineStr">
        <is>
          <t>Renda Fixa</t>
        </is>
      </c>
      <c r="F251" s="4" t="inlineStr">
        <is>
          <t>BTG PACTUAL ASSET MANAGEMENT S/A DTVM</t>
        </is>
      </c>
      <c r="G251" s="4" t="inlineStr">
        <is>
          <t>Própria</t>
        </is>
      </c>
      <c r="H251" s="8" t="n">
        <v>0</v>
      </c>
      <c r="I251" s="7" t="n">
        <v>1000</v>
      </c>
      <c r="J251" s="5" t="n">
        <v>1</v>
      </c>
      <c r="K251" s="4" t="inlineStr">
        <is>
          <t>Em Funcionamento Normal</t>
        </is>
      </c>
      <c r="L251" s="4" t="inlineStr">
        <is>
          <t>API interna</t>
        </is>
      </c>
    </row>
    <row r="252">
      <c r="A252" s="4" t="inlineStr">
        <is>
          <t>BTG Pactual</t>
        </is>
      </c>
      <c r="B252" s="4" t="inlineStr">
        <is>
          <t>BTG Pactual Discovery Prev FICFIM RL</t>
        </is>
      </c>
      <c r="C252" s="4" t="inlineStr">
        <is>
          <t>29.178.343/0001-22</t>
        </is>
      </c>
      <c r="D252" s="4" t="inlineStr">
        <is>
          <t>Previdência Multimercado Livre</t>
        </is>
      </c>
      <c r="E252" s="4" t="inlineStr">
        <is>
          <t>Multimercado</t>
        </is>
      </c>
      <c r="F252" s="4" t="inlineStr">
        <is>
          <t>BTG PACTUAL ASSET MANAGEMENT S/A DTVM</t>
        </is>
      </c>
      <c r="G252" s="4" t="inlineStr">
        <is>
          <t>Própria</t>
        </is>
      </c>
      <c r="H252" s="8" t="n">
        <v>2</v>
      </c>
      <c r="I252" s="7" t="n">
        <v>0</v>
      </c>
      <c r="J252" s="5" t="n">
        <v>7</v>
      </c>
      <c r="K252" s="4" t="inlineStr">
        <is>
          <t>Em Funcionamento Normal</t>
        </is>
      </c>
      <c r="L252" s="4" t="inlineStr">
        <is>
          <t>API interna</t>
        </is>
      </c>
    </row>
    <row r="253">
      <c r="A253" s="4" t="inlineStr">
        <is>
          <t>BTG Pactual</t>
        </is>
      </c>
      <c r="B253" s="4" t="inlineStr">
        <is>
          <t>Absolute Icatu I Prev FICFIM RL</t>
        </is>
      </c>
      <c r="C253" s="4" t="inlineStr">
        <is>
          <t>29.242.441/0001-81</t>
        </is>
      </c>
      <c r="D253" s="4" t="inlineStr">
        <is>
          <t>Previdência Multimercado Livre</t>
        </is>
      </c>
      <c r="E253" s="4" t="inlineStr">
        <is>
          <t>Multimercado</t>
        </is>
      </c>
      <c r="F253" s="4" t="inlineStr">
        <is>
          <t>ABSOLUTE GESTAO DE INVESTIMENTOS LTDA</t>
        </is>
      </c>
      <c r="G253" s="4" t="inlineStr">
        <is>
          <t>Terceiros</t>
        </is>
      </c>
      <c r="H253" s="8" t="n">
        <v>2</v>
      </c>
      <c r="I253" s="7" t="n">
        <v>1500</v>
      </c>
      <c r="J253" s="5" t="n">
        <v>3</v>
      </c>
      <c r="K253" s="4" t="inlineStr">
        <is>
          <t>Em Funcionamento Normal</t>
        </is>
      </c>
      <c r="L253" s="4" t="inlineStr">
        <is>
          <t>API interna</t>
        </is>
      </c>
    </row>
    <row r="254">
      <c r="A254" s="4" t="inlineStr">
        <is>
          <t>BTG Pactual</t>
        </is>
      </c>
      <c r="B254" s="4" t="inlineStr">
        <is>
          <t>Constellation 70 Prev FIM RL</t>
        </is>
      </c>
      <c r="C254" s="4" t="inlineStr">
        <is>
          <t>29.550.612/0001-30</t>
        </is>
      </c>
      <c r="D254" s="4" t="inlineStr">
        <is>
          <t>Previdência Multimercado Livre</t>
        </is>
      </c>
      <c r="E254" s="4" t="inlineStr">
        <is>
          <t>Renda Variável</t>
        </is>
      </c>
      <c r="F254" s="4" t="inlineStr">
        <is>
          <t>CONSTELLATION INVESTIMENTOS E PARTICIPAÇÕES LTDA</t>
        </is>
      </c>
      <c r="G254" s="4" t="inlineStr">
        <is>
          <t>Terceiros</t>
        </is>
      </c>
      <c r="H254" s="8" t="n"/>
      <c r="I254" s="7" t="n">
        <v>5000</v>
      </c>
      <c r="J254" s="5" t="n">
        <v>8</v>
      </c>
      <c r="K254" s="4" t="inlineStr">
        <is>
          <t>Em Funcionamento Normal</t>
        </is>
      </c>
      <c r="L254" s="4" t="inlineStr">
        <is>
          <t>API interna</t>
        </is>
      </c>
    </row>
    <row r="255">
      <c r="A255" s="4" t="inlineStr">
        <is>
          <t>BTG Pactual</t>
        </is>
      </c>
      <c r="B255" s="4" t="inlineStr">
        <is>
          <t>Indie 70 Icatu Prev FIM RL</t>
        </is>
      </c>
      <c r="C255" s="4" t="inlineStr">
        <is>
          <t>29.732.967/0001-40</t>
        </is>
      </c>
      <c r="D255" s="4" t="inlineStr">
        <is>
          <t>Previdência Multimercado Livre</t>
        </is>
      </c>
      <c r="E255" s="4" t="inlineStr">
        <is>
          <t>Renda Variável</t>
        </is>
      </c>
      <c r="F255" s="4" t="inlineStr">
        <is>
          <t>INDIE CAPITAL INVESTIMENTOS LTDA.</t>
        </is>
      </c>
      <c r="G255" s="4" t="inlineStr">
        <is>
          <t>Terceiros</t>
        </is>
      </c>
      <c r="H255" s="8" t="n">
        <v>1.75</v>
      </c>
      <c r="I255" s="7" t="n">
        <v>1500</v>
      </c>
      <c r="J255" s="5" t="n">
        <v>9</v>
      </c>
      <c r="K255" s="4" t="inlineStr">
        <is>
          <t>Em Funcionamento Normal</t>
        </is>
      </c>
      <c r="L255" s="4" t="inlineStr">
        <is>
          <t>API interna</t>
        </is>
      </c>
    </row>
    <row r="256">
      <c r="A256" s="4" t="inlineStr">
        <is>
          <t>BTG Pactual</t>
        </is>
      </c>
      <c r="B256" s="4" t="inlineStr">
        <is>
          <t>HIX Icatu Prev Long Only Qualificado FICFIM 100 RL</t>
        </is>
      </c>
      <c r="C256" s="4" t="inlineStr">
        <is>
          <t>29.800.227/0001-01</t>
        </is>
      </c>
      <c r="D256" s="4" t="inlineStr">
        <is>
          <t>Previdência Multimercado Livre</t>
        </is>
      </c>
      <c r="E256" s="4" t="inlineStr">
        <is>
          <t>Renda Variável</t>
        </is>
      </c>
      <c r="F256" s="4" t="inlineStr">
        <is>
          <t>HIX INVESTIMENTOS LTDA</t>
        </is>
      </c>
      <c r="G256" s="4" t="inlineStr">
        <is>
          <t>Terceiros</t>
        </is>
      </c>
      <c r="H256" s="8" t="n">
        <v>2</v>
      </c>
      <c r="I256" s="7" t="n">
        <v>5000</v>
      </c>
      <c r="J256" s="5" t="n">
        <v>63</v>
      </c>
      <c r="K256" s="4" t="inlineStr">
        <is>
          <t>Em Funcionamento Normal</t>
        </is>
      </c>
      <c r="L256" s="4" t="inlineStr">
        <is>
          <t>API interna</t>
        </is>
      </c>
    </row>
    <row r="257">
      <c r="A257" s="4" t="inlineStr">
        <is>
          <t>BTG Pactual</t>
        </is>
      </c>
      <c r="B257" s="4" t="inlineStr">
        <is>
          <t>Itau Optimus Prev BTG Dist. FICFIRF LP RL</t>
        </is>
      </c>
      <c r="C257" s="4" t="inlineStr">
        <is>
          <t>30.419.083/0001-19</t>
        </is>
      </c>
      <c r="D257" s="4" t="inlineStr">
        <is>
          <t>Previdência RF Duração Livre Crédito Liv</t>
        </is>
      </c>
      <c r="E257" s="4" t="inlineStr">
        <is>
          <t>Renda Fixa</t>
        </is>
      </c>
      <c r="F257" s="4" t="inlineStr">
        <is>
          <t>ITAU UNIBANCO ASSET MANAGEMENT LTDA.</t>
        </is>
      </c>
      <c r="G257" s="4" t="inlineStr">
        <is>
          <t>Terceiros</t>
        </is>
      </c>
      <c r="H257" s="8" t="n">
        <v>0.9</v>
      </c>
      <c r="I257" s="7" t="n">
        <v>1000</v>
      </c>
      <c r="J257" s="5" t="n">
        <v>1</v>
      </c>
      <c r="K257" s="4" t="inlineStr">
        <is>
          <t>Em Funcionamento Normal</t>
        </is>
      </c>
      <c r="L257" s="4" t="inlineStr">
        <is>
          <t>API interna</t>
        </is>
      </c>
    </row>
    <row r="258">
      <c r="A258" s="4" t="inlineStr">
        <is>
          <t>BTG Pactual</t>
        </is>
      </c>
      <c r="B258" s="4" t="inlineStr">
        <is>
          <t>Butia TOP Icatu SEG Prev FIRF CrPr RL</t>
        </is>
      </c>
      <c r="C258" s="4" t="inlineStr">
        <is>
          <t>30.507.510/0001-10</t>
        </is>
      </c>
      <c r="D258" s="4" t="inlineStr">
        <is>
          <t>Previdência RF Duração Livre Crédito Liv</t>
        </is>
      </c>
      <c r="E258" s="4" t="inlineStr">
        <is>
          <t>Renda Fixa</t>
        </is>
      </c>
      <c r="F258" s="4" t="inlineStr">
        <is>
          <t>BUTIÁ GESTÃO DE INVESTIMENTOS LTDA.</t>
        </is>
      </c>
      <c r="G258" s="4" t="inlineStr">
        <is>
          <t>Terceiros</t>
        </is>
      </c>
      <c r="H258" s="8" t="n">
        <v>0.5</v>
      </c>
      <c r="I258" s="7" t="n">
        <v>3000</v>
      </c>
      <c r="J258" s="5" t="n">
        <v>7</v>
      </c>
      <c r="K258" s="4" t="inlineStr">
        <is>
          <t>Em Funcionamento Normal</t>
        </is>
      </c>
      <c r="L258" s="4" t="inlineStr">
        <is>
          <t>API interna</t>
        </is>
      </c>
    </row>
    <row r="259">
      <c r="A259" s="4" t="inlineStr">
        <is>
          <t>BTG Pactual</t>
        </is>
      </c>
      <c r="B259" s="4" t="inlineStr">
        <is>
          <t>Riza Icatu Prev Low Vol FIM RL</t>
        </is>
      </c>
      <c r="C259" s="4" t="inlineStr">
        <is>
          <t>31.248.460/0001-67</t>
        </is>
      </c>
      <c r="D259" s="4" t="inlineStr">
        <is>
          <t>Previdência Multimercado Livre</t>
        </is>
      </c>
      <c r="E259" s="4" t="inlineStr">
        <is>
          <t>Renda Fixa</t>
        </is>
      </c>
      <c r="F259" s="4" t="inlineStr">
        <is>
          <t>RIZA LÍQUIDOS GESTORA DE RECURSOS LTDA.</t>
        </is>
      </c>
      <c r="G259" s="4" t="inlineStr">
        <is>
          <t>Terceiros</t>
        </is>
      </c>
      <c r="H259" s="8" t="n">
        <v>0.8</v>
      </c>
      <c r="I259" s="7" t="n">
        <v>1500</v>
      </c>
      <c r="J259" s="5" t="n">
        <v>4</v>
      </c>
      <c r="K259" s="4" t="inlineStr">
        <is>
          <t>Em Funcionamento Normal</t>
        </is>
      </c>
      <c r="L259" s="4" t="inlineStr">
        <is>
          <t>API interna</t>
        </is>
      </c>
    </row>
    <row r="260">
      <c r="A260" s="4" t="inlineStr">
        <is>
          <t>BTG Pactual</t>
        </is>
      </c>
      <c r="B260" s="4" t="inlineStr">
        <is>
          <t>Sparta Prev B FICFIRF CrPr RL</t>
        </is>
      </c>
      <c r="C260" s="4" t="inlineStr">
        <is>
          <t>31.392.530/0001-56</t>
        </is>
      </c>
      <c r="D260" s="4" t="inlineStr">
        <is>
          <t>Previdência RF Duração Média Crédito Liv</t>
        </is>
      </c>
      <c r="E260" s="4" t="inlineStr">
        <is>
          <t>Renda Fixa</t>
        </is>
      </c>
      <c r="F260" s="4" t="inlineStr">
        <is>
          <t>SPARTA ADMINISTRADORA DE RECURSOS LTDA</t>
        </is>
      </c>
      <c r="G260" s="4" t="inlineStr">
        <is>
          <t>Terceiros</t>
        </is>
      </c>
      <c r="H260" s="8" t="n"/>
      <c r="I260" s="7" t="n">
        <v>1000</v>
      </c>
      <c r="J260" s="5" t="n">
        <v>6</v>
      </c>
      <c r="K260" s="4" t="inlineStr">
        <is>
          <t>Em Funcionamento Normal</t>
        </is>
      </c>
      <c r="L260" s="4" t="inlineStr">
        <is>
          <t>API interna</t>
        </is>
      </c>
    </row>
    <row r="261">
      <c r="A261" s="4" t="inlineStr">
        <is>
          <t>BTG Pactual</t>
        </is>
      </c>
      <c r="B261" s="4" t="inlineStr">
        <is>
          <t>Itau Macro Opportunities Mult Prev Dist. BTG FICFIM RL</t>
        </is>
      </c>
      <c r="C261" s="4" t="inlineStr">
        <is>
          <t>31.820.618/0001-21</t>
        </is>
      </c>
      <c r="D261" s="4" t="inlineStr">
        <is>
          <t>Previdência Multimercado Livre</t>
        </is>
      </c>
      <c r="E261" s="4" t="inlineStr">
        <is>
          <t>Multimercado</t>
        </is>
      </c>
      <c r="F261" s="4" t="inlineStr">
        <is>
          <t>ITAU UNIBANCO ASSET MANAGEMENT LTDA.</t>
        </is>
      </c>
      <c r="G261" s="4" t="inlineStr">
        <is>
          <t>Terceiros</t>
        </is>
      </c>
      <c r="H261" s="8" t="n">
        <v>2</v>
      </c>
      <c r="I261" s="7" t="n">
        <v>0</v>
      </c>
      <c r="J261" s="5" t="n">
        <v>22</v>
      </c>
      <c r="K261" s="4" t="inlineStr">
        <is>
          <t>Em Funcionamento Normal</t>
        </is>
      </c>
      <c r="L261" s="4" t="inlineStr">
        <is>
          <t>API interna</t>
        </is>
      </c>
    </row>
    <row r="262">
      <c r="A262" s="4" t="inlineStr">
        <is>
          <t>BTG Pactual</t>
        </is>
      </c>
      <c r="B262" s="4" t="inlineStr">
        <is>
          <t>Reach Prev Moderado FIM Prev MM RL</t>
        </is>
      </c>
      <c r="C262" s="4" t="inlineStr">
        <is>
          <t>32.398.441/0001-80</t>
        </is>
      </c>
      <c r="D262" s="4" t="inlineStr">
        <is>
          <t>Previdência Multimercado Livre</t>
        </is>
      </c>
      <c r="E262" s="4" t="inlineStr">
        <is>
          <t>Renda Variável</t>
        </is>
      </c>
      <c r="F262" s="4" t="inlineStr">
        <is>
          <t>REACH CAPITAL INVESTIMENTOS S.A</t>
        </is>
      </c>
      <c r="G262" s="4" t="inlineStr">
        <is>
          <t>Terceiros</t>
        </is>
      </c>
      <c r="H262" s="8" t="n">
        <v>2</v>
      </c>
      <c r="I262" s="7" t="n">
        <v>1000</v>
      </c>
      <c r="J262" s="5" t="n">
        <v>10</v>
      </c>
      <c r="K262" s="4" t="inlineStr">
        <is>
          <t>Em Funcionamento Normal</t>
        </is>
      </c>
      <c r="L262" s="4" t="inlineStr">
        <is>
          <t>API interna</t>
        </is>
      </c>
    </row>
    <row r="263">
      <c r="A263" s="4" t="inlineStr">
        <is>
          <t>BTG Pactual</t>
        </is>
      </c>
      <c r="B263" s="4" t="inlineStr">
        <is>
          <t>Trigono BP 70 Prev FICFIM RL</t>
        </is>
      </c>
      <c r="C263" s="4" t="inlineStr">
        <is>
          <t>33.146.130/0001-96</t>
        </is>
      </c>
      <c r="D263" s="4" t="inlineStr">
        <is>
          <t>Previdência Multimercado Livre</t>
        </is>
      </c>
      <c r="E263" s="4" t="inlineStr">
        <is>
          <t>Renda Variável</t>
        </is>
      </c>
      <c r="F263" s="4" t="inlineStr">
        <is>
          <t>TRÍGONO CAPITAL LTDA</t>
        </is>
      </c>
      <c r="G263" s="4" t="inlineStr">
        <is>
          <t>Terceiros</t>
        </is>
      </c>
      <c r="H263" s="8" t="n">
        <v>2</v>
      </c>
      <c r="I263" s="7" t="n">
        <v>1000</v>
      </c>
      <c r="J263" s="5" t="n">
        <v>9</v>
      </c>
      <c r="K263" s="4" t="inlineStr">
        <is>
          <t>Em Funcionamento Normal</t>
        </is>
      </c>
      <c r="L263" s="4" t="inlineStr">
        <is>
          <t>API interna</t>
        </is>
      </c>
    </row>
    <row r="264">
      <c r="A264" s="4" t="inlineStr">
        <is>
          <t>BTG Pactual</t>
        </is>
      </c>
      <c r="B264" s="4" t="inlineStr">
        <is>
          <t>ARX K2 Prev FICFIM CrPr RL</t>
        </is>
      </c>
      <c r="C264" s="4" t="inlineStr">
        <is>
          <t>33.165.244/0001-83</t>
        </is>
      </c>
      <c r="D264" s="4" t="inlineStr">
        <is>
          <t>Previdência Multimercado Livre</t>
        </is>
      </c>
      <c r="E264" s="4" t="inlineStr">
        <is>
          <t>Renda Fixa</t>
        </is>
      </c>
      <c r="F264" s="4" t="inlineStr">
        <is>
          <t>ARX INVESTIMENTOS LTDA</t>
        </is>
      </c>
      <c r="G264" s="4" t="inlineStr">
        <is>
          <t>Terceiros</t>
        </is>
      </c>
      <c r="H264" s="8" t="n">
        <v>1.1</v>
      </c>
      <c r="I264" s="7" t="n">
        <v>0</v>
      </c>
      <c r="J264" s="5" t="n">
        <v>7</v>
      </c>
      <c r="K264" s="4" t="inlineStr">
        <is>
          <t>Em Funcionamento Normal</t>
        </is>
      </c>
      <c r="L264" s="4" t="inlineStr">
        <is>
          <t>API interna</t>
        </is>
      </c>
    </row>
    <row r="265">
      <c r="A265" s="4" t="inlineStr">
        <is>
          <t>BTG Pactual</t>
        </is>
      </c>
      <c r="B265" s="4" t="inlineStr">
        <is>
          <t>Empiricus FoF Superprevidencia Arrojado Icatu Prev FIM RL</t>
        </is>
      </c>
      <c r="C265" s="4" t="inlineStr">
        <is>
          <t>33.269.222/0001-63</t>
        </is>
      </c>
      <c r="D265" s="4" t="inlineStr">
        <is>
          <t>Previdência Multimercado Livre</t>
        </is>
      </c>
      <c r="E265" s="4" t="inlineStr">
        <is>
          <t>Renda Variável</t>
        </is>
      </c>
      <c r="F265" s="4" t="inlineStr">
        <is>
          <t>BTG PACTUAL GESTÃO E CONSULTORIA DE INVESTIMENTOS LTDA</t>
        </is>
      </c>
      <c r="G265" s="4" t="inlineStr">
        <is>
          <t>Própria</t>
        </is>
      </c>
      <c r="H265" s="8" t="n">
        <v>0.75</v>
      </c>
      <c r="I265" s="7" t="n">
        <v>1000</v>
      </c>
      <c r="J265" s="5" t="n">
        <v>7</v>
      </c>
      <c r="K265" s="4" t="inlineStr">
        <is>
          <t>Em Funcionamento Normal</t>
        </is>
      </c>
      <c r="L265" s="4" t="inlineStr">
        <is>
          <t>API interna</t>
        </is>
      </c>
    </row>
    <row r="266">
      <c r="A266" s="4" t="inlineStr">
        <is>
          <t>BTG Pactual</t>
        </is>
      </c>
      <c r="B266" s="4" t="inlineStr">
        <is>
          <t>Icatu Vanguarda POS Fixado FIRF Prev RL</t>
        </is>
      </c>
      <c r="C266" s="4" t="inlineStr">
        <is>
          <t>33.520.901/0001-63</t>
        </is>
      </c>
      <c r="D266" s="4" t="inlineStr">
        <is>
          <t>Previdência RF Duração Livre Crédito Liv</t>
        </is>
      </c>
      <c r="E266" s="4" t="inlineStr">
        <is>
          <t>Renda Fixa</t>
        </is>
      </c>
      <c r="F266" s="4" t="inlineStr">
        <is>
          <t>ICATU VANGUARDA GESTÃO DE RECURSOS LTDA</t>
        </is>
      </c>
      <c r="G266" s="4" t="inlineStr">
        <is>
          <t>Terceiros</t>
        </is>
      </c>
      <c r="H266" s="8" t="n">
        <v>0.35</v>
      </c>
      <c r="I266" s="7" t="n">
        <v>30000</v>
      </c>
      <c r="J266" s="5" t="n">
        <v>1</v>
      </c>
      <c r="K266" s="4" t="inlineStr">
        <is>
          <t>Em Funcionamento Normal</t>
        </is>
      </c>
      <c r="L266" s="4" t="inlineStr">
        <is>
          <t>API interna</t>
        </is>
      </c>
    </row>
    <row r="267">
      <c r="A267" s="4" t="inlineStr">
        <is>
          <t>BTG Pactual</t>
        </is>
      </c>
      <c r="B267" s="4" t="inlineStr">
        <is>
          <t>Atlas ONE Icatu 70 Prev FIM RL</t>
        </is>
      </c>
      <c r="C267" s="4" t="inlineStr">
        <is>
          <t>33.520.932/0001-14</t>
        </is>
      </c>
      <c r="D267" s="4" t="inlineStr">
        <is>
          <t>Previdência Multimercado Livre</t>
        </is>
      </c>
      <c r="E267" s="4" t="inlineStr">
        <is>
          <t>Renda Variável</t>
        </is>
      </c>
      <c r="F267" s="4" t="inlineStr">
        <is>
          <t>ATLAS ONE INVESTIMENTOS GESTÃO DE RECURSOS LTDA.</t>
        </is>
      </c>
      <c r="G267" s="4" t="inlineStr">
        <is>
          <t>Terceiros</t>
        </is>
      </c>
      <c r="H267" s="8" t="n">
        <v>0.55</v>
      </c>
      <c r="I267" s="7" t="n">
        <v>1500</v>
      </c>
      <c r="J267" s="5" t="n">
        <v>9</v>
      </c>
      <c r="K267" s="4" t="inlineStr">
        <is>
          <t>Em Funcionamento Normal</t>
        </is>
      </c>
      <c r="L267" s="4" t="inlineStr">
        <is>
          <t>API interna</t>
        </is>
      </c>
    </row>
    <row r="268">
      <c r="A268" s="4" t="inlineStr">
        <is>
          <t>BTG Pactual</t>
        </is>
      </c>
      <c r="B268" s="4" t="inlineStr">
        <is>
          <t>Real Investor 70 Prev FIM RL</t>
        </is>
      </c>
      <c r="C268" s="4" t="inlineStr">
        <is>
          <t>33.588.607/0001-93</t>
        </is>
      </c>
      <c r="D268" s="4" t="inlineStr">
        <is>
          <t>Previdência Multimercado Livre</t>
        </is>
      </c>
      <c r="E268" s="4" t="inlineStr">
        <is>
          <t>Renda Variável</t>
        </is>
      </c>
      <c r="F268" s="4" t="inlineStr">
        <is>
          <t>REAL INVESTOR ASSET MANAGEMENT LTDA</t>
        </is>
      </c>
      <c r="G268" s="4" t="inlineStr">
        <is>
          <t>Terceiros</t>
        </is>
      </c>
      <c r="H268" s="8" t="n"/>
      <c r="I268" s="7" t="n">
        <v>1000</v>
      </c>
      <c r="J268" s="5" t="n">
        <v>9</v>
      </c>
      <c r="K268" s="4" t="inlineStr">
        <is>
          <t>Em Funcionamento Normal</t>
        </is>
      </c>
      <c r="L268" s="4" t="inlineStr">
        <is>
          <t>API interna</t>
        </is>
      </c>
    </row>
    <row r="269">
      <c r="A269" s="4" t="inlineStr">
        <is>
          <t>BTG Pactual</t>
        </is>
      </c>
      <c r="B269" s="4" t="inlineStr">
        <is>
          <t>SUL America Prev FICFIRF CrPr RL</t>
        </is>
      </c>
      <c r="C269" s="4" t="inlineStr">
        <is>
          <t>33.701.820/0001-60</t>
        </is>
      </c>
      <c r="D269" s="4" t="inlineStr">
        <is>
          <t>Previdência RF Duração Livre Crédito Liv</t>
        </is>
      </c>
      <c r="E269" s="4" t="inlineStr">
        <is>
          <t>Renda Fixa</t>
        </is>
      </c>
      <c r="F269" s="4" t="inlineStr">
        <is>
          <t>SUL AMÉRICA INVESTIMENTOS GESTORA DE RECURSOS S.A.</t>
        </is>
      </c>
      <c r="G269" s="4" t="inlineStr">
        <is>
          <t>Terceiros</t>
        </is>
      </c>
      <c r="H269" s="8" t="n">
        <v>1</v>
      </c>
      <c r="I269" s="7" t="n">
        <v>1000</v>
      </c>
      <c r="J269" s="5" t="n">
        <v>2</v>
      </c>
      <c r="K269" s="4" t="inlineStr">
        <is>
          <t>Em Funcionamento Normal</t>
        </is>
      </c>
      <c r="L269" s="4" t="inlineStr">
        <is>
          <t>API interna</t>
        </is>
      </c>
    </row>
    <row r="270">
      <c r="A270" s="4" t="inlineStr">
        <is>
          <t>BTG Pactual</t>
        </is>
      </c>
      <c r="B270" s="4" t="inlineStr">
        <is>
          <t>Empiricus FoF Superprevidencia Conservador Icatu FIRF Prev RL</t>
        </is>
      </c>
      <c r="C270" s="4" t="inlineStr">
        <is>
          <t>33.884.185/0001-01</t>
        </is>
      </c>
      <c r="D270" s="4" t="inlineStr">
        <is>
          <t>Previdência RF Duração Livre Crédito Liv</t>
        </is>
      </c>
      <c r="E270" s="4" t="inlineStr">
        <is>
          <t>Renda Fixa</t>
        </is>
      </c>
      <c r="F270" s="4" t="inlineStr">
        <is>
          <t>BTG PACTUAL GESTÃO E CONSULTORIA DE INVESTIMENTOS LTDA</t>
        </is>
      </c>
      <c r="G270" s="4" t="inlineStr">
        <is>
          <t>Própria</t>
        </is>
      </c>
      <c r="H270" s="8" t="n">
        <v>0.3</v>
      </c>
      <c r="I270" s="7" t="n">
        <v>1000</v>
      </c>
      <c r="J270" s="5" t="n">
        <v>7</v>
      </c>
      <c r="K270" s="4" t="inlineStr">
        <is>
          <t>Em Funcionamento Normal</t>
        </is>
      </c>
      <c r="L270" s="4" t="inlineStr">
        <is>
          <t>API interna</t>
        </is>
      </c>
    </row>
    <row r="271">
      <c r="A271" s="4" t="inlineStr">
        <is>
          <t>BTG Pactual</t>
        </is>
      </c>
      <c r="B271" s="4" t="inlineStr">
        <is>
          <t>Kinea Prev XTR II Planos Icatu FICFIM RL</t>
        </is>
      </c>
      <c r="C271" s="4" t="inlineStr">
        <is>
          <t>34.143.959/0001-06</t>
        </is>
      </c>
      <c r="D271" s="4" t="inlineStr">
        <is>
          <t>Previdência Multimercado Livre</t>
        </is>
      </c>
      <c r="E271" s="4" t="inlineStr">
        <is>
          <t>Multimercado</t>
        </is>
      </c>
      <c r="F271" s="4" t="inlineStr">
        <is>
          <t>KINEA INVESTIMENTOS LTDA.</t>
        </is>
      </c>
      <c r="G271" s="4" t="inlineStr">
        <is>
          <t>Terceiros</t>
        </is>
      </c>
      <c r="H271" s="8" t="n">
        <v>1.5</v>
      </c>
      <c r="I271" s="7" t="n">
        <v>3000</v>
      </c>
      <c r="J271" s="5" t="n">
        <v>1</v>
      </c>
      <c r="K271" s="4" t="inlineStr">
        <is>
          <t>Em Funcionamento Normal</t>
        </is>
      </c>
      <c r="L271" s="4" t="inlineStr">
        <is>
          <t>API interna</t>
        </is>
      </c>
    </row>
    <row r="272">
      <c r="A272" s="4" t="inlineStr">
        <is>
          <t>BTG Pactual</t>
        </is>
      </c>
      <c r="B272" s="4" t="inlineStr">
        <is>
          <t>Capitania Prev BP FIRF CrPr RL</t>
        </is>
      </c>
      <c r="C272" s="4" t="inlineStr">
        <is>
          <t>34.270.943/0001-56</t>
        </is>
      </c>
      <c r="D272" s="4" t="inlineStr">
        <is>
          <t>Previdência RF Duração Livre Crédito Liv</t>
        </is>
      </c>
      <c r="E272" s="4" t="inlineStr">
        <is>
          <t>Renda Fixa</t>
        </is>
      </c>
      <c r="F272" s="4" t="inlineStr">
        <is>
          <t>CAPITANIA PREV S.A.</t>
        </is>
      </c>
      <c r="G272" s="4" t="inlineStr">
        <is>
          <t>Terceiros</t>
        </is>
      </c>
      <c r="H272" s="8" t="n"/>
      <c r="I272" s="7" t="n">
        <v>0</v>
      </c>
      <c r="J272" s="5" t="n">
        <v>6</v>
      </c>
      <c r="K272" s="4" t="inlineStr">
        <is>
          <t>Em Funcionamento Normal</t>
        </is>
      </c>
      <c r="L272" s="4" t="inlineStr">
        <is>
          <t>API interna</t>
        </is>
      </c>
    </row>
    <row r="273">
      <c r="A273" s="4" t="inlineStr">
        <is>
          <t>BTG Pactual</t>
        </is>
      </c>
      <c r="B273" s="4" t="inlineStr">
        <is>
          <t>AZ Quest Inflacao Ativo Prev FIE I FICFIRF RL</t>
        </is>
      </c>
      <c r="C273" s="4" t="inlineStr">
        <is>
          <t>34.442.059/0001-51</t>
        </is>
      </c>
      <c r="D273" s="4" t="inlineStr">
        <is>
          <t>Previdência RF Duração Alta Soberano</t>
        </is>
      </c>
      <c r="E273" s="4" t="inlineStr">
        <is>
          <t>Renda Fixa</t>
        </is>
      </c>
      <c r="F273" s="4" t="inlineStr">
        <is>
          <t>AZ Quest Prev Ltda.</t>
        </is>
      </c>
      <c r="G273" s="4" t="inlineStr">
        <is>
          <t>Terceiros</t>
        </is>
      </c>
      <c r="H273" s="8" t="n">
        <v>0.55</v>
      </c>
      <c r="I273" s="7" t="n">
        <v>1500</v>
      </c>
      <c r="J273" s="5" t="n">
        <v>1</v>
      </c>
      <c r="K273" s="4" t="inlineStr">
        <is>
          <t>Em Funcionamento Normal</t>
        </is>
      </c>
      <c r="L273" s="4" t="inlineStr">
        <is>
          <t>API interna</t>
        </is>
      </c>
    </row>
    <row r="274">
      <c r="A274" s="4" t="inlineStr">
        <is>
          <t>BTG Pactual</t>
        </is>
      </c>
      <c r="B274" s="4" t="inlineStr">
        <is>
          <t>Forpus 70 Prev FIM RL</t>
        </is>
      </c>
      <c r="C274" s="4" t="inlineStr">
        <is>
          <t>34.474.917/0001-40</t>
        </is>
      </c>
      <c r="D274" s="4" t="inlineStr">
        <is>
          <t>Previdência Multimercado Livre</t>
        </is>
      </c>
      <c r="E274" s="4" t="inlineStr">
        <is>
          <t>Renda Variável</t>
        </is>
      </c>
      <c r="F274" s="4" t="inlineStr">
        <is>
          <t>FORPUS CAPITAL GESTÃO DE RECURSOS LTDA.</t>
        </is>
      </c>
      <c r="G274" s="4" t="inlineStr">
        <is>
          <t>Terceiros</t>
        </is>
      </c>
      <c r="H274" s="8" t="n">
        <v>2</v>
      </c>
      <c r="I274" s="7" t="n">
        <v>1000</v>
      </c>
      <c r="J274" s="5" t="n">
        <v>10</v>
      </c>
      <c r="K274" s="4" t="inlineStr">
        <is>
          <t>Em Funcionamento Normal</t>
        </is>
      </c>
      <c r="L274" s="4" t="inlineStr">
        <is>
          <t>API interna</t>
        </is>
      </c>
    </row>
    <row r="275">
      <c r="A275" s="4" t="inlineStr">
        <is>
          <t>BTG Pactual</t>
        </is>
      </c>
      <c r="B275" s="4" t="inlineStr">
        <is>
          <t>BTG Pactual Absoluto Prev FICFIM CrPr RL</t>
        </is>
      </c>
      <c r="C275" s="4" t="inlineStr">
        <is>
          <t>35.002.894/0001-33</t>
        </is>
      </c>
      <c r="D275" s="4" t="inlineStr">
        <is>
          <t>Previdência Multimercado Livre</t>
        </is>
      </c>
      <c r="E275" s="4" t="inlineStr">
        <is>
          <t>Renda Variável</t>
        </is>
      </c>
      <c r="F275" s="4" t="inlineStr">
        <is>
          <t>BTG PACTUAL ASSET MANAGEMENT S/A DTVM</t>
        </is>
      </c>
      <c r="G275" s="4" t="inlineStr">
        <is>
          <t>Própria</t>
        </is>
      </c>
      <c r="H275" s="8" t="n">
        <v>1.75</v>
      </c>
      <c r="I275" s="7" t="n">
        <v>0</v>
      </c>
      <c r="J275" s="5" t="n">
        <v>9</v>
      </c>
      <c r="K275" s="4" t="inlineStr">
        <is>
          <t>Em Funcionamento Normal</t>
        </is>
      </c>
      <c r="L275" s="4" t="inlineStr">
        <is>
          <t>API interna</t>
        </is>
      </c>
    </row>
    <row r="276">
      <c r="A276" s="4" t="inlineStr">
        <is>
          <t>BTG Pactual</t>
        </is>
      </c>
      <c r="B276" s="4" t="inlineStr">
        <is>
          <t>Kadima Long Short Prev FICFIM RL</t>
        </is>
      </c>
      <c r="C276" s="4" t="inlineStr">
        <is>
          <t>35.020.129/0001-46</t>
        </is>
      </c>
      <c r="D276" s="4" t="inlineStr">
        <is>
          <t>Previdência Multimercado Livre</t>
        </is>
      </c>
      <c r="E276" s="4" t="inlineStr">
        <is>
          <t>Renda Variável</t>
        </is>
      </c>
      <c r="F276" s="4" t="inlineStr">
        <is>
          <t>KADIMA GESTAO DE INVESTIMENTOS LTDA</t>
        </is>
      </c>
      <c r="G276" s="4" t="inlineStr">
        <is>
          <t>Terceiros</t>
        </is>
      </c>
      <c r="H276" s="8" t="n"/>
      <c r="I276" s="7" t="n">
        <v>1000</v>
      </c>
      <c r="J276" s="5" t="n">
        <v>7</v>
      </c>
      <c r="K276" s="4" t="inlineStr">
        <is>
          <t>Em Funcionamento Normal</t>
        </is>
      </c>
      <c r="L276" s="4" t="inlineStr">
        <is>
          <t>API interna</t>
        </is>
      </c>
    </row>
    <row r="277">
      <c r="A277" s="4" t="inlineStr">
        <is>
          <t>BTG Pactual</t>
        </is>
      </c>
      <c r="B277" s="4" t="inlineStr">
        <is>
          <t>Leblon 100 Icatu Prev FIM RL</t>
        </is>
      </c>
      <c r="C277" s="4" t="inlineStr">
        <is>
          <t>35.314.803/0001-03</t>
        </is>
      </c>
      <c r="D277" s="4" t="inlineStr">
        <is>
          <t>Previdência Multimercado Livre</t>
        </is>
      </c>
      <c r="E277" s="4" t="inlineStr">
        <is>
          <t>Renda Variável</t>
        </is>
      </c>
      <c r="F277" s="4" t="inlineStr">
        <is>
          <t>LEBLON EQUITIES GESTAO DE RECURSOS LTDA</t>
        </is>
      </c>
      <c r="G277" s="4" t="inlineStr">
        <is>
          <t>Terceiros</t>
        </is>
      </c>
      <c r="H277" s="8" t="n">
        <v>2</v>
      </c>
      <c r="I277" s="7" t="n">
        <v>5000</v>
      </c>
      <c r="J277" s="5" t="n">
        <v>30</v>
      </c>
      <c r="K277" s="4" t="inlineStr">
        <is>
          <t>Em Funcionamento Normal</t>
        </is>
      </c>
      <c r="L277" s="4" t="inlineStr">
        <is>
          <t>API interna</t>
        </is>
      </c>
    </row>
    <row r="278">
      <c r="A278" s="4" t="inlineStr">
        <is>
          <t>BTG Pactual</t>
        </is>
      </c>
      <c r="B278" s="4" t="inlineStr">
        <is>
          <t>Equitas Prev II Icatu FICFIA RL</t>
        </is>
      </c>
      <c r="C278" s="4" t="inlineStr">
        <is>
          <t>35.354.896/0001-91</t>
        </is>
      </c>
      <c r="D278" s="4" t="inlineStr">
        <is>
          <t>Previdência Ações Ativo</t>
        </is>
      </c>
      <c r="E278" s="4" t="inlineStr">
        <is>
          <t>Renda Variável</t>
        </is>
      </c>
      <c r="F278" s="4" t="inlineStr">
        <is>
          <t>DRYS CAPITAL LTDA</t>
        </is>
      </c>
      <c r="G278" s="4" t="inlineStr">
        <is>
          <t>Terceiros</t>
        </is>
      </c>
      <c r="H278" s="8" t="n">
        <v>2</v>
      </c>
      <c r="I278" s="7" t="n">
        <v>5000</v>
      </c>
      <c r="J278" s="5" t="n">
        <v>24</v>
      </c>
      <c r="K278" s="4" t="inlineStr">
        <is>
          <t>Em Funcionamento Normal</t>
        </is>
      </c>
      <c r="L278" s="4" t="inlineStr">
        <is>
          <t>API interna</t>
        </is>
      </c>
    </row>
    <row r="279">
      <c r="A279" s="4" t="inlineStr">
        <is>
          <t>BTG Pactual</t>
        </is>
      </c>
      <c r="B279" s="4" t="inlineStr">
        <is>
          <t>Verde AM Long Bias 70 Icatu Prev FIE FIM RL</t>
        </is>
      </c>
      <c r="C279" s="4" t="inlineStr">
        <is>
          <t>35.363.972/0001-25</t>
        </is>
      </c>
      <c r="D279" s="4" t="inlineStr">
        <is>
          <t>Previdência Multimercado Livre</t>
        </is>
      </c>
      <c r="E279" s="4" t="inlineStr">
        <is>
          <t>Renda Variável</t>
        </is>
      </c>
      <c r="F279" s="4" t="inlineStr">
        <is>
          <t>VERDE ASSET MANAGEMENT S.A.</t>
        </is>
      </c>
      <c r="G279" s="4" t="inlineStr">
        <is>
          <t>Terceiros</t>
        </is>
      </c>
      <c r="H279" s="8" t="n">
        <v>2.2</v>
      </c>
      <c r="I279" s="7" t="n">
        <v>1000</v>
      </c>
      <c r="J279" s="5" t="n">
        <v>3</v>
      </c>
      <c r="K279" s="4" t="inlineStr">
        <is>
          <t>Em Funcionamento Normal</t>
        </is>
      </c>
      <c r="L279" s="4" t="inlineStr">
        <is>
          <t>API interna</t>
        </is>
      </c>
    </row>
    <row r="280">
      <c r="A280" s="4" t="inlineStr">
        <is>
          <t>BTG Pactual</t>
        </is>
      </c>
      <c r="B280" s="4" t="inlineStr">
        <is>
          <t>Trigono Icatu 100 FIA Prev RL</t>
        </is>
      </c>
      <c r="C280" s="4" t="inlineStr">
        <is>
          <t>35.610.342/0001-08</t>
        </is>
      </c>
      <c r="D280" s="4" t="inlineStr">
        <is>
          <t>Previdência Ações Ativo</t>
        </is>
      </c>
      <c r="E280" s="4" t="inlineStr">
        <is>
          <t>Renda Variável</t>
        </is>
      </c>
      <c r="F280" s="4" t="inlineStr">
        <is>
          <t>TRÍGONO CAPITAL LTDA</t>
        </is>
      </c>
      <c r="G280" s="4" t="inlineStr">
        <is>
          <t>Terceiros</t>
        </is>
      </c>
      <c r="H280" s="8" t="n">
        <v>2</v>
      </c>
      <c r="I280" s="7" t="n">
        <v>5000</v>
      </c>
      <c r="J280" s="5" t="n">
        <v>32</v>
      </c>
      <c r="K280" s="4" t="inlineStr">
        <is>
          <t>Em Funcionamento Normal</t>
        </is>
      </c>
      <c r="L280" s="4" t="inlineStr">
        <is>
          <t>API interna</t>
        </is>
      </c>
    </row>
    <row r="281">
      <c r="A281" s="4" t="inlineStr">
        <is>
          <t>BTG Pactual</t>
        </is>
      </c>
      <c r="B281" s="4" t="inlineStr">
        <is>
          <t>Icatu Vanguarda Minha Aposentadoria 2050 FICFIM Prev RL</t>
        </is>
      </c>
      <c r="C281" s="4" t="inlineStr">
        <is>
          <t>35.636.610/0001-60</t>
        </is>
      </c>
      <c r="D281" s="4" t="inlineStr">
        <is>
          <t>Previdência Multimercado Livre</t>
        </is>
      </c>
      <c r="E281" s="4" t="inlineStr">
        <is>
          <t>Alocação</t>
        </is>
      </c>
      <c r="F281" s="4" t="inlineStr">
        <is>
          <t>ICATU VANGUARDA GESTÃO DE RECURSOS LTDA</t>
        </is>
      </c>
      <c r="G281" s="4" t="inlineStr">
        <is>
          <t>Terceiros</t>
        </is>
      </c>
      <c r="H281" s="8" t="n">
        <v>1.2</v>
      </c>
      <c r="I281" s="7" t="n">
        <v>1000</v>
      </c>
      <c r="J281" s="5" t="n">
        <v>7</v>
      </c>
      <c r="K281" s="4" t="inlineStr">
        <is>
          <t>Em Funcionamento Normal</t>
        </is>
      </c>
      <c r="L281" s="4" t="inlineStr">
        <is>
          <t>API interna</t>
        </is>
      </c>
    </row>
    <row r="282">
      <c r="A282" s="4" t="inlineStr">
        <is>
          <t>BTG Pactual</t>
        </is>
      </c>
      <c r="B282" s="4" t="inlineStr">
        <is>
          <t>Regia Acoes ESG 100 Prev Icatu Seguros FICFIA IS RL</t>
        </is>
      </c>
      <c r="C282" s="4" t="inlineStr">
        <is>
          <t>35.807.793/0001-30</t>
        </is>
      </c>
      <c r="D282" s="4" t="inlineStr">
        <is>
          <t>Previdência Ações Ativo</t>
        </is>
      </c>
      <c r="E282" s="4" t="inlineStr">
        <is>
          <t>Renda Variável</t>
        </is>
      </c>
      <c r="F282" s="4" t="inlineStr">
        <is>
          <t>REGIA CAPITAL LTDA</t>
        </is>
      </c>
      <c r="G282" s="4" t="inlineStr">
        <is>
          <t>Terceiros</t>
        </is>
      </c>
      <c r="H282" s="8" t="n">
        <v>1.85</v>
      </c>
      <c r="I282" s="7" t="n">
        <v>5000</v>
      </c>
      <c r="J282" s="5" t="n">
        <v>4</v>
      </c>
      <c r="K282" s="4" t="inlineStr">
        <is>
          <t>Em Funcionamento Normal</t>
        </is>
      </c>
      <c r="L282" s="4" t="inlineStr">
        <is>
          <t>API interna</t>
        </is>
      </c>
    </row>
    <row r="283">
      <c r="A283" s="4" t="inlineStr">
        <is>
          <t>BTG Pactual</t>
        </is>
      </c>
      <c r="B283" s="4" t="inlineStr">
        <is>
          <t>Indie 100 Icatu Prev FICFIM RL</t>
        </is>
      </c>
      <c r="C283" s="4" t="inlineStr">
        <is>
          <t>35.844.884/0001-45</t>
        </is>
      </c>
      <c r="D283" s="4" t="inlineStr">
        <is>
          <t>Previdência Multimercado Livre</t>
        </is>
      </c>
      <c r="E283" s="4" t="inlineStr">
        <is>
          <t>Renda Variável</t>
        </is>
      </c>
      <c r="F283" s="4" t="inlineStr">
        <is>
          <t>INDIE CAPITAL INVESTIMENTOS LTDA.</t>
        </is>
      </c>
      <c r="G283" s="4" t="inlineStr">
        <is>
          <t>Terceiros</t>
        </is>
      </c>
      <c r="H283" s="8" t="n">
        <v>2</v>
      </c>
      <c r="I283" s="7" t="n">
        <v>5000</v>
      </c>
      <c r="J283" s="5" t="n">
        <v>32</v>
      </c>
      <c r="K283" s="4" t="inlineStr">
        <is>
          <t>Em Funcionamento Normal</t>
        </is>
      </c>
      <c r="L283" s="4" t="inlineStr">
        <is>
          <t>API interna</t>
        </is>
      </c>
    </row>
    <row r="284">
      <c r="A284" s="4" t="inlineStr">
        <is>
          <t>BTG Pactual</t>
        </is>
      </c>
      <c r="B284" s="4" t="inlineStr">
        <is>
          <t>Empiricus FoF Superprevidencia Acoes Icatu FIA RL</t>
        </is>
      </c>
      <c r="C284" s="4" t="inlineStr">
        <is>
          <t>35.844.969/0001-23</t>
        </is>
      </c>
      <c r="D284" s="4" t="inlineStr">
        <is>
          <t>Previdência Multimercado Livre</t>
        </is>
      </c>
      <c r="E284" s="4" t="inlineStr">
        <is>
          <t>Renda Variável</t>
        </is>
      </c>
      <c r="F284" s="4" t="inlineStr">
        <is>
          <t>BTG PACTUAL GESTÃO E CONSULTORIA DE INVESTIMENTOS LTDA</t>
        </is>
      </c>
      <c r="G284" s="4" t="inlineStr">
        <is>
          <t>Própria</t>
        </is>
      </c>
      <c r="H284" s="8" t="n">
        <v>0.75</v>
      </c>
      <c r="I284" s="7" t="n">
        <v>1000</v>
      </c>
      <c r="J284" s="5" t="n">
        <v>43</v>
      </c>
      <c r="K284" s="4" t="inlineStr">
        <is>
          <t>Em Funcionamento Normal</t>
        </is>
      </c>
      <c r="L284" s="4" t="inlineStr">
        <is>
          <t>API interna</t>
        </is>
      </c>
    </row>
    <row r="285">
      <c r="A285" s="4" t="inlineStr">
        <is>
          <t>BTG Pactual</t>
        </is>
      </c>
      <c r="B285" s="4" t="inlineStr">
        <is>
          <t>Giant Prev BTG FIE FICFIM RL</t>
        </is>
      </c>
      <c r="C285" s="4" t="inlineStr">
        <is>
          <t>36.327.405/0001-86</t>
        </is>
      </c>
      <c r="D285" s="4" t="inlineStr">
        <is>
          <t>Previdência Multimercado Livre</t>
        </is>
      </c>
      <c r="E285" s="4" t="inlineStr">
        <is>
          <t>Multimercado</t>
        </is>
      </c>
      <c r="F285" s="4" t="inlineStr">
        <is>
          <t>GIANT STEPS CAPITAL INVESTIMENTOS</t>
        </is>
      </c>
      <c r="G285" s="4" t="inlineStr">
        <is>
          <t>Terceiros</t>
        </is>
      </c>
      <c r="H285" s="8" t="n">
        <v>1.45</v>
      </c>
      <c r="I285" s="7" t="n">
        <v>1</v>
      </c>
      <c r="J285" s="5" t="n">
        <v>9</v>
      </c>
      <c r="K285" s="4" t="inlineStr">
        <is>
          <t>Em Funcionamento Normal</t>
        </is>
      </c>
      <c r="L285" s="4" t="inlineStr">
        <is>
          <t>API interna</t>
        </is>
      </c>
    </row>
    <row r="286">
      <c r="A286" s="4" t="inlineStr">
        <is>
          <t>BTG Pactual</t>
        </is>
      </c>
      <c r="B286" s="4" t="inlineStr">
        <is>
          <t>Icatu Vanguarda Credito Global Prev FICFIM CrPr RL</t>
        </is>
      </c>
      <c r="C286" s="4" t="inlineStr">
        <is>
          <t>36.352.241/0001-47</t>
        </is>
      </c>
      <c r="D286" s="4" t="inlineStr">
        <is>
          <t>Previdência Multimercado Livre</t>
        </is>
      </c>
      <c r="E286" s="4" t="inlineStr">
        <is>
          <t>Renda Fixa</t>
        </is>
      </c>
      <c r="F286" s="4" t="inlineStr">
        <is>
          <t>ICATU VANGUARDA GESTÃO DE RECURSOS LTDA</t>
        </is>
      </c>
      <c r="G286" s="4" t="inlineStr">
        <is>
          <t>Terceiros</t>
        </is>
      </c>
      <c r="H286" s="8" t="n">
        <v>0.9</v>
      </c>
      <c r="I286" s="7" t="n">
        <v>5000</v>
      </c>
      <c r="J286" s="5" t="n">
        <v>23</v>
      </c>
      <c r="K286" s="4" t="inlineStr">
        <is>
          <t>Em Funcionamento Normal</t>
        </is>
      </c>
      <c r="L286" s="4" t="inlineStr">
        <is>
          <t>API interna</t>
        </is>
      </c>
    </row>
    <row r="287">
      <c r="A287" s="4" t="inlineStr">
        <is>
          <t>BTG Pactual</t>
        </is>
      </c>
      <c r="B287" s="4" t="inlineStr">
        <is>
          <t>Tork Icatu Prev FIE I FICFIA RL</t>
        </is>
      </c>
      <c r="C287" s="4" t="inlineStr">
        <is>
          <t>36.352.410/0001-49</t>
        </is>
      </c>
      <c r="D287" s="4" t="inlineStr">
        <is>
          <t>Previdência Ações Ativo</t>
        </is>
      </c>
      <c r="E287" s="4" t="inlineStr">
        <is>
          <t>Renda Variável</t>
        </is>
      </c>
      <c r="F287" s="4" t="inlineStr">
        <is>
          <t>ATLAS ONE INVESTIMENTOS GESTÃO DE RECURSOS LTDA.</t>
        </is>
      </c>
      <c r="G287" s="4" t="inlineStr">
        <is>
          <t>Terceiros</t>
        </is>
      </c>
      <c r="H287" s="8" t="n">
        <v>2.2</v>
      </c>
      <c r="I287" s="7" t="n">
        <v>5000</v>
      </c>
      <c r="J287" s="5" t="n">
        <v>32</v>
      </c>
      <c r="K287" s="4" t="inlineStr">
        <is>
          <t>Em Funcionamento Normal</t>
        </is>
      </c>
      <c r="L287" s="4" t="inlineStr">
        <is>
          <t>API interna</t>
        </is>
      </c>
    </row>
    <row r="288">
      <c r="A288" s="4" t="inlineStr">
        <is>
          <t>BTG Pactual</t>
        </is>
      </c>
      <c r="B288" s="4" t="inlineStr">
        <is>
          <t>Empiricus Icatu Carteira Universa Prev FIM CrPr RL</t>
        </is>
      </c>
      <c r="C288" s="4" t="inlineStr">
        <is>
          <t>36.517.971/0001-50</t>
        </is>
      </c>
      <c r="D288" s="4" t="inlineStr">
        <is>
          <t>Previdência Multimercado Livre</t>
        </is>
      </c>
      <c r="E288" s="4" t="inlineStr">
        <is>
          <t>Multimercado</t>
        </is>
      </c>
      <c r="F288" s="4" t="inlineStr">
        <is>
          <t>BTG PACTUAL ASSET MANAGEMENT S/A DTVM</t>
        </is>
      </c>
      <c r="G288" s="4" t="inlineStr">
        <is>
          <t>Própria</t>
        </is>
      </c>
      <c r="H288" s="8" t="n">
        <v>1.25</v>
      </c>
      <c r="I288" s="7" t="n">
        <v>1000</v>
      </c>
      <c r="J288" s="5" t="n">
        <v>43</v>
      </c>
      <c r="K288" s="4" t="inlineStr">
        <is>
          <t>Em Funcionamento Normal</t>
        </is>
      </c>
      <c r="L288" s="4" t="inlineStr">
        <is>
          <t>API interna</t>
        </is>
      </c>
    </row>
    <row r="289">
      <c r="A289" s="4" t="inlineStr">
        <is>
          <t>BTG Pactual</t>
        </is>
      </c>
      <c r="B289" s="4" t="inlineStr">
        <is>
          <t>Dahlia 100 Prev FICFIM RL</t>
        </is>
      </c>
      <c r="C289" s="4" t="inlineStr">
        <is>
          <t>37.128.109/0001-19</t>
        </is>
      </c>
      <c r="D289" s="4" t="inlineStr">
        <is>
          <t>Previdência Multimercado Livre</t>
        </is>
      </c>
      <c r="E289" s="4" t="inlineStr">
        <is>
          <t>Renda Variável</t>
        </is>
      </c>
      <c r="F289" s="4" t="inlineStr">
        <is>
          <t>DAHLIA CAPITAL GESTÃO DE RECURSOS LTDA.</t>
        </is>
      </c>
      <c r="G289" s="4" t="inlineStr">
        <is>
          <t>Terceiros</t>
        </is>
      </c>
      <c r="H289" s="8" t="n">
        <v>1.85</v>
      </c>
      <c r="I289" s="7" t="n">
        <v>0</v>
      </c>
      <c r="J289" s="5" t="n">
        <v>12</v>
      </c>
      <c r="K289" s="4" t="inlineStr">
        <is>
          <t>Em Funcionamento Normal</t>
        </is>
      </c>
      <c r="L289" s="4" t="inlineStr">
        <is>
          <t>API interna</t>
        </is>
      </c>
    </row>
    <row r="290">
      <c r="A290" s="4" t="inlineStr">
        <is>
          <t>BTG Pactual</t>
        </is>
      </c>
      <c r="B290" s="4" t="inlineStr">
        <is>
          <t>Alaska Prev 100 Long Only FICFIM RL</t>
        </is>
      </c>
      <c r="C290" s="4" t="inlineStr">
        <is>
          <t>37.313.900/0001-07</t>
        </is>
      </c>
      <c r="D290" s="4" t="inlineStr">
        <is>
          <t>Previdência Multimercado Livre</t>
        </is>
      </c>
      <c r="E290" s="4" t="inlineStr">
        <is>
          <t>Renda Variável</t>
        </is>
      </c>
      <c r="F290" s="4" t="inlineStr">
        <is>
          <t>ALASKA INVESTIMENTOS LTDA.</t>
        </is>
      </c>
      <c r="G290" s="4" t="inlineStr">
        <is>
          <t>Terceiros</t>
        </is>
      </c>
      <c r="H290" s="8" t="n">
        <v>1.5</v>
      </c>
      <c r="I290" s="7" t="n">
        <v>0</v>
      </c>
      <c r="J290" s="5" t="n">
        <v>8</v>
      </c>
      <c r="K290" s="4" t="inlineStr">
        <is>
          <t>Em Funcionamento Normal</t>
        </is>
      </c>
      <c r="L290" s="4" t="inlineStr">
        <is>
          <t>API interna</t>
        </is>
      </c>
    </row>
    <row r="291">
      <c r="A291" s="4" t="inlineStr">
        <is>
          <t>BTG Pactual</t>
        </is>
      </c>
      <c r="B291" s="4" t="inlineStr">
        <is>
          <t>Btgp Multi Acoes 100 Prev Fundo de Invstimento em Cotas de FICFIA RL</t>
        </is>
      </c>
      <c r="C291" s="4" t="inlineStr">
        <is>
          <t>37.320.765/0001-19</t>
        </is>
      </c>
      <c r="D291" s="4" t="inlineStr">
        <is>
          <t>Previdência Ações Ativo</t>
        </is>
      </c>
      <c r="E291" s="4" t="inlineStr">
        <is>
          <t>Renda Variável</t>
        </is>
      </c>
      <c r="F291" s="4" t="inlineStr">
        <is>
          <t>BTG PACTUAL GESTÃO E CONSULTORIA DE INVESTIMENTOS LTDA</t>
        </is>
      </c>
      <c r="G291" s="4" t="inlineStr">
        <is>
          <t>Própria</t>
        </is>
      </c>
      <c r="H291" s="8" t="n">
        <v>0.5</v>
      </c>
      <c r="I291" s="7" t="n">
        <v>1000</v>
      </c>
      <c r="J291" s="5" t="n">
        <v>62</v>
      </c>
      <c r="K291" s="4" t="inlineStr">
        <is>
          <t>Em Funcionamento Normal</t>
        </is>
      </c>
      <c r="L291" s="4" t="inlineStr">
        <is>
          <t>API interna</t>
        </is>
      </c>
    </row>
    <row r="292">
      <c r="A292" s="4" t="inlineStr">
        <is>
          <t>BTG Pactual</t>
        </is>
      </c>
      <c r="B292" s="4" t="inlineStr">
        <is>
          <t>ARX Income Icatu Prev 100 FICFIA RL</t>
        </is>
      </c>
      <c r="C292" s="4" t="inlineStr">
        <is>
          <t>37.355.672/0001-20</t>
        </is>
      </c>
      <c r="D292" s="4" t="inlineStr">
        <is>
          <t>Previdência Ações Ativo</t>
        </is>
      </c>
      <c r="E292" s="4" t="inlineStr">
        <is>
          <t>Renda Variável</t>
        </is>
      </c>
      <c r="F292" s="4" t="inlineStr">
        <is>
          <t>ARX INVESTIMENTOS LTDA</t>
        </is>
      </c>
      <c r="G292" s="4" t="inlineStr">
        <is>
          <t>Terceiros</t>
        </is>
      </c>
      <c r="H292" s="8" t="n">
        <v>2</v>
      </c>
      <c r="I292" s="7" t="n">
        <v>5000</v>
      </c>
      <c r="J292" s="5" t="n">
        <v>8</v>
      </c>
      <c r="K292" s="4" t="inlineStr">
        <is>
          <t>Em Funcionamento Normal</t>
        </is>
      </c>
      <c r="L292" s="4" t="inlineStr">
        <is>
          <t>API interna</t>
        </is>
      </c>
    </row>
    <row r="293">
      <c r="A293" s="4" t="inlineStr">
        <is>
          <t>BTG Pactual</t>
        </is>
      </c>
      <c r="B293" s="4" t="inlineStr">
        <is>
          <t>Dahlia Global 50 Prev FICFIM RL</t>
        </is>
      </c>
      <c r="C293" s="4" t="inlineStr">
        <is>
          <t>37.626.895/0001-84</t>
        </is>
      </c>
      <c r="D293" s="4" t="inlineStr">
        <is>
          <t>Previdência Multimercado Livre</t>
        </is>
      </c>
      <c r="E293" s="4" t="inlineStr">
        <is>
          <t>Multimercado</t>
        </is>
      </c>
      <c r="F293" s="4" t="inlineStr">
        <is>
          <t>DAHLIA CAPITAL GESTÃO DE RECURSOS LTDA.</t>
        </is>
      </c>
      <c r="G293" s="4" t="inlineStr">
        <is>
          <t>Terceiros</t>
        </is>
      </c>
      <c r="H293" s="8" t="n">
        <v>1.1</v>
      </c>
      <c r="I293" s="7" t="n">
        <v>0</v>
      </c>
      <c r="J293" s="5" t="n">
        <v>9</v>
      </c>
      <c r="K293" s="4" t="inlineStr">
        <is>
          <t>Em Funcionamento Normal</t>
        </is>
      </c>
      <c r="L293" s="4" t="inlineStr">
        <is>
          <t>API interna</t>
        </is>
      </c>
    </row>
    <row r="294">
      <c r="A294" s="4" t="inlineStr">
        <is>
          <t>BTG Pactual</t>
        </is>
      </c>
      <c r="B294" s="4" t="inlineStr">
        <is>
          <t>BTG Pactual Absoluto LS Prev FICFIM RL</t>
        </is>
      </c>
      <c r="C294" s="4" t="inlineStr">
        <is>
          <t>37.681.077/0001-84</t>
        </is>
      </c>
      <c r="D294" s="4" t="inlineStr">
        <is>
          <t>Previdência Multimercado Livre</t>
        </is>
      </c>
      <c r="E294" s="4" t="inlineStr">
        <is>
          <t>Renda Variável</t>
        </is>
      </c>
      <c r="F294" s="4" t="inlineStr">
        <is>
          <t>BTG PACTUAL ASSET MANAGEMENT S/A DTVM</t>
        </is>
      </c>
      <c r="G294" s="4" t="inlineStr">
        <is>
          <t>Própria</t>
        </is>
      </c>
      <c r="H294" s="8" t="n">
        <v>2</v>
      </c>
      <c r="I294" s="7" t="n">
        <v>1000</v>
      </c>
      <c r="J294" s="5" t="n">
        <v>8</v>
      </c>
      <c r="K294" s="4" t="inlineStr">
        <is>
          <t>Em Funcionamento Normal</t>
        </is>
      </c>
      <c r="L294" s="4" t="inlineStr">
        <is>
          <t>API interna</t>
        </is>
      </c>
    </row>
    <row r="295">
      <c r="A295" s="4" t="inlineStr">
        <is>
          <t>BTG Pactual</t>
        </is>
      </c>
      <c r="B295" s="4" t="inlineStr">
        <is>
          <t>Kinea Prev Atlas BTG Pactual FICFIM RL</t>
        </is>
      </c>
      <c r="C295" s="4" t="inlineStr">
        <is>
          <t>37.728.756/0001-61</t>
        </is>
      </c>
      <c r="D295" s="4" t="inlineStr">
        <is>
          <t>Previdência Multimercado Livre</t>
        </is>
      </c>
      <c r="E295" s="4" t="inlineStr">
        <is>
          <t>Multimercado</t>
        </is>
      </c>
      <c r="F295" s="4" t="inlineStr">
        <is>
          <t>BTG PACTUAL GESTÃO E CONSULTORIA DE INVESTIMENTOS LTDA</t>
        </is>
      </c>
      <c r="G295" s="4" t="inlineStr">
        <is>
          <t>Própria</t>
        </is>
      </c>
      <c r="H295" s="8" t="n">
        <v>2</v>
      </c>
      <c r="I295" s="7" t="n">
        <v>1000</v>
      </c>
      <c r="J295" s="5" t="n">
        <v>21</v>
      </c>
      <c r="K295" s="4" t="inlineStr">
        <is>
          <t>Em Funcionamento Normal</t>
        </is>
      </c>
      <c r="L295" s="4" t="inlineStr">
        <is>
          <t>API interna</t>
        </is>
      </c>
    </row>
    <row r="296">
      <c r="A296" s="4" t="inlineStr">
        <is>
          <t>BTG Pactual</t>
        </is>
      </c>
      <c r="B296" s="4" t="inlineStr">
        <is>
          <t>Icatu Vanguarda LB Qualificado FIE I Prev FICFIM de FIM CrPr RL</t>
        </is>
      </c>
      <c r="C296" s="4" t="inlineStr">
        <is>
          <t>37.821.575/0001-85</t>
        </is>
      </c>
      <c r="D296" s="4" t="inlineStr">
        <is>
          <t>Previdência Multimercado Livre</t>
        </is>
      </c>
      <c r="E296" s="4" t="inlineStr">
        <is>
          <t>Renda Variável</t>
        </is>
      </c>
      <c r="F296" s="4" t="inlineStr">
        <is>
          <t>ICATU SEGUROS S/A</t>
        </is>
      </c>
      <c r="G296" s="4" t="inlineStr">
        <is>
          <t>Terceiros</t>
        </is>
      </c>
      <c r="H296" s="8" t="n">
        <v>2</v>
      </c>
      <c r="I296" s="7" t="n">
        <v>5000</v>
      </c>
      <c r="J296" s="5" t="n">
        <v>24</v>
      </c>
      <c r="K296" s="4" t="inlineStr">
        <is>
          <t>Em Funcionamento Normal</t>
        </is>
      </c>
      <c r="L296" s="4" t="inlineStr">
        <is>
          <t>API interna</t>
        </is>
      </c>
    </row>
    <row r="297">
      <c r="A297" s="4" t="inlineStr">
        <is>
          <t>BTG Pactual</t>
        </is>
      </c>
      <c r="B297" s="4" t="inlineStr">
        <is>
          <t>Legacy Capital BS Prev FICFIM RL</t>
        </is>
      </c>
      <c r="C297" s="4" t="inlineStr">
        <is>
          <t>37.829.233/0001-01</t>
        </is>
      </c>
      <c r="D297" s="4" t="inlineStr">
        <is>
          <t>Previdência Multimercado Livre</t>
        </is>
      </c>
      <c r="E297" s="4" t="inlineStr">
        <is>
          <t>Multimercado</t>
        </is>
      </c>
      <c r="F297" s="4" t="inlineStr">
        <is>
          <t>LEGACY CAPITAL GESTORA DE RECURSOS LTDA.</t>
        </is>
      </c>
      <c r="G297" s="4" t="inlineStr">
        <is>
          <t>Terceiros</t>
        </is>
      </c>
      <c r="H297" s="8" t="n">
        <v>1.95</v>
      </c>
      <c r="I297" s="7" t="n">
        <v>1000</v>
      </c>
      <c r="J297" s="5" t="n">
        <v>4</v>
      </c>
      <c r="K297" s="4" t="inlineStr">
        <is>
          <t>Em Funcionamento Normal</t>
        </is>
      </c>
      <c r="L297" s="4" t="inlineStr">
        <is>
          <t>API interna</t>
        </is>
      </c>
    </row>
    <row r="298">
      <c r="A298" s="4" t="inlineStr">
        <is>
          <t>BTG Pactual</t>
        </is>
      </c>
      <c r="B298" s="4" t="inlineStr">
        <is>
          <t>Brasil Capital 100 B Prev FICFIA RL</t>
        </is>
      </c>
      <c r="C298" s="4" t="inlineStr">
        <is>
          <t>38.015.734/0001-17</t>
        </is>
      </c>
      <c r="D298" s="4" t="inlineStr">
        <is>
          <t>Previdência Ações Ativo</t>
        </is>
      </c>
      <c r="E298" s="4" t="inlineStr">
        <is>
          <t>Renda Variável</t>
        </is>
      </c>
      <c r="F298" s="4" t="inlineStr">
        <is>
          <t>BC GESTÃO DE RECURSOS LTDA</t>
        </is>
      </c>
      <c r="G298" s="4" t="inlineStr">
        <is>
          <t>Terceiros</t>
        </is>
      </c>
      <c r="H298" s="8" t="n">
        <v>2</v>
      </c>
      <c r="I298" s="7" t="n">
        <v>1000</v>
      </c>
      <c r="J298" s="5" t="n">
        <v>24</v>
      </c>
      <c r="K298" s="4" t="inlineStr">
        <is>
          <t>Em Funcionamento Normal</t>
        </is>
      </c>
      <c r="L298" s="4" t="inlineStr">
        <is>
          <t>API interna</t>
        </is>
      </c>
    </row>
    <row r="299">
      <c r="A299" s="4" t="inlineStr">
        <is>
          <t>BTG Pactual</t>
        </is>
      </c>
      <c r="B299" s="4" t="inlineStr">
        <is>
          <t>JGP BP Prev FICFIM CrPr RL</t>
        </is>
      </c>
      <c r="C299" s="4" t="inlineStr">
        <is>
          <t>38.075.290/0001-05</t>
        </is>
      </c>
      <c r="D299" s="4" t="inlineStr">
        <is>
          <t>Previdência Multimercado Livre</t>
        </is>
      </c>
      <c r="E299" s="4" t="inlineStr">
        <is>
          <t>Multimercado</t>
        </is>
      </c>
      <c r="F299" s="4" t="inlineStr">
        <is>
          <t>JGP GESTÃO DE RECURSOS LTDA</t>
        </is>
      </c>
      <c r="G299" s="4" t="inlineStr">
        <is>
          <t>Terceiros</t>
        </is>
      </c>
      <c r="H299" s="8" t="n">
        <v>2</v>
      </c>
      <c r="I299" s="7" t="n">
        <v>1000</v>
      </c>
      <c r="J299" s="5" t="n">
        <v>3</v>
      </c>
      <c r="K299" s="4" t="inlineStr">
        <is>
          <t>Em Funcionamento Normal</t>
        </is>
      </c>
      <c r="L299" s="4" t="inlineStr">
        <is>
          <t>API interna</t>
        </is>
      </c>
    </row>
    <row r="300">
      <c r="A300" s="4" t="inlineStr">
        <is>
          <t>BTG Pactual</t>
        </is>
      </c>
      <c r="B300" s="4" t="inlineStr">
        <is>
          <t>Forpus 100 Icatu Prev Qual FICFIA RL</t>
        </is>
      </c>
      <c r="C300" s="4" t="inlineStr">
        <is>
          <t>38.281.397/0001-00</t>
        </is>
      </c>
      <c r="D300" s="4" t="inlineStr">
        <is>
          <t>Previdência Ações Ativo</t>
        </is>
      </c>
      <c r="E300" s="4" t="inlineStr">
        <is>
          <t>Renda Variável</t>
        </is>
      </c>
      <c r="F300" s="4" t="inlineStr">
        <is>
          <t>FORPUS CAPITAL GESTÃO DE RECURSOS LTDA.</t>
        </is>
      </c>
      <c r="G300" s="4" t="inlineStr">
        <is>
          <t>Terceiros</t>
        </is>
      </c>
      <c r="H300" s="8" t="n">
        <v>2</v>
      </c>
      <c r="I300" s="7" t="n">
        <v>5000</v>
      </c>
      <c r="J300" s="5" t="n">
        <v>10</v>
      </c>
      <c r="K300" s="4" t="inlineStr">
        <is>
          <t>Em Funcionamento Normal</t>
        </is>
      </c>
      <c r="L300" s="4" t="inlineStr">
        <is>
          <t>API interna</t>
        </is>
      </c>
    </row>
    <row r="301">
      <c r="A301" s="4" t="inlineStr">
        <is>
          <t>BTG Pactual</t>
        </is>
      </c>
      <c r="B301" s="4" t="inlineStr">
        <is>
          <t>IP Prev Icatu Qualificado FICFIM RL</t>
        </is>
      </c>
      <c r="C301" s="4" t="inlineStr">
        <is>
          <t>39.723.078/0001-70</t>
        </is>
      </c>
      <c r="D301" s="4" t="inlineStr">
        <is>
          <t>Previdência Multimercado Livre</t>
        </is>
      </c>
      <c r="E301" s="4" t="inlineStr">
        <is>
          <t>Renda Variável</t>
        </is>
      </c>
      <c r="F301" s="4" t="inlineStr">
        <is>
          <t>INVESTIDOR PROFISSIONAL GESTÃO DE RECURSOS LTDA</t>
        </is>
      </c>
      <c r="G301" s="4" t="inlineStr">
        <is>
          <t>Terceiros</t>
        </is>
      </c>
      <c r="H301" s="8" t="n">
        <v>2</v>
      </c>
      <c r="I301" s="7" t="n">
        <v>5000</v>
      </c>
      <c r="J301" s="5" t="n">
        <v>22</v>
      </c>
      <c r="K301" s="4" t="inlineStr">
        <is>
          <t>Em Funcionamento Normal</t>
        </is>
      </c>
      <c r="L301" s="4" t="inlineStr">
        <is>
          <t>API interna</t>
        </is>
      </c>
    </row>
    <row r="302">
      <c r="A302" s="4" t="inlineStr">
        <is>
          <t>BTG Pactual</t>
        </is>
      </c>
      <c r="B302" s="4" t="inlineStr">
        <is>
          <t>Real Investor 100 Icatu Prev Qualificado FICFIA RL</t>
        </is>
      </c>
      <c r="C302" s="4" t="inlineStr">
        <is>
          <t>40.213.012/0001-19</t>
        </is>
      </c>
      <c r="D302" s="4" t="inlineStr">
        <is>
          <t>Previdência Ações Ativo</t>
        </is>
      </c>
      <c r="E302" s="4" t="inlineStr">
        <is>
          <t>Renda Variável</t>
        </is>
      </c>
      <c r="F302" s="4" t="inlineStr">
        <is>
          <t>REAL INVESTOR ASSET MANAGEMENT LTDA</t>
        </is>
      </c>
      <c r="G302" s="4" t="inlineStr">
        <is>
          <t>Terceiros</t>
        </is>
      </c>
      <c r="H302" s="8" t="n">
        <v>2</v>
      </c>
      <c r="I302" s="7" t="n">
        <v>5000</v>
      </c>
      <c r="J302" s="5" t="n">
        <v>22</v>
      </c>
      <c r="K302" s="4" t="inlineStr">
        <is>
          <t>Em Funcionamento Normal</t>
        </is>
      </c>
      <c r="L302" s="4" t="inlineStr">
        <is>
          <t>API interna</t>
        </is>
      </c>
    </row>
    <row r="303">
      <c r="A303" s="4" t="inlineStr">
        <is>
          <t>BTG Pactual</t>
        </is>
      </c>
      <c r="B303" s="4" t="inlineStr">
        <is>
          <t>STK Long Biased Prev Icatu Qualificado FIE FIA RL</t>
        </is>
      </c>
      <c r="C303" s="4" t="inlineStr">
        <is>
          <t>40.885.815/0001-10</t>
        </is>
      </c>
      <c r="D303" s="4" t="inlineStr">
        <is>
          <t>Previdência Ações Ativo</t>
        </is>
      </c>
      <c r="E303" s="4" t="inlineStr">
        <is>
          <t>Renda Variável</t>
        </is>
      </c>
      <c r="F303" s="4" t="inlineStr">
        <is>
          <t>STK CAPITAL GESTORA DE RECURSOS LTDA.</t>
        </is>
      </c>
      <c r="G303" s="4" t="inlineStr">
        <is>
          <t>Terceiros</t>
        </is>
      </c>
      <c r="H303" s="8" t="n">
        <v>2</v>
      </c>
      <c r="I303" s="7" t="n">
        <v>5000</v>
      </c>
      <c r="J303" s="5" t="n">
        <v>22</v>
      </c>
      <c r="K303" s="4" t="inlineStr">
        <is>
          <t>Em Funcionamento Normal</t>
        </is>
      </c>
      <c r="L303" s="4" t="inlineStr">
        <is>
          <t>API interna</t>
        </is>
      </c>
    </row>
    <row r="304">
      <c r="A304" s="4" t="inlineStr">
        <is>
          <t>BTG Pactual</t>
        </is>
      </c>
      <c r="B304" s="4" t="inlineStr">
        <is>
          <t>SPX Prev Long Bias BP Prev FICFIM RL</t>
        </is>
      </c>
      <c r="C304" s="4" t="inlineStr">
        <is>
          <t>41.063.234/0001-65</t>
        </is>
      </c>
      <c r="D304" s="4" t="inlineStr">
        <is>
          <t>Previdência Multimercado Livre</t>
        </is>
      </c>
      <c r="E304" s="4" t="inlineStr">
        <is>
          <t>Renda Variável</t>
        </is>
      </c>
      <c r="F304" s="4" t="inlineStr">
        <is>
          <t>BTG PACTUAL GESTÃO E CONSULTORIA DE INVESTIMENTOS LTDA</t>
        </is>
      </c>
      <c r="G304" s="4" t="inlineStr">
        <is>
          <t>Própria</t>
        </is>
      </c>
      <c r="H304" s="8" t="n">
        <v>2</v>
      </c>
      <c r="I304" s="7" t="n">
        <v>1000</v>
      </c>
      <c r="J304" s="5" t="n">
        <v>32</v>
      </c>
      <c r="K304" s="4" t="inlineStr">
        <is>
          <t>Em Funcionamento Normal</t>
        </is>
      </c>
      <c r="L304" s="4" t="inlineStr">
        <is>
          <t>API interna</t>
        </is>
      </c>
    </row>
    <row r="305">
      <c r="A305" s="4" t="inlineStr">
        <is>
          <t>BTG Pactual</t>
        </is>
      </c>
      <c r="B305" s="4" t="inlineStr">
        <is>
          <t>Kapitalo K10 Global BP Prev FICFIM CrPr RL</t>
        </is>
      </c>
      <c r="C305" s="4" t="inlineStr">
        <is>
          <t>41.498.482/0001-39</t>
        </is>
      </c>
      <c r="D305" s="4" t="inlineStr">
        <is>
          <t>Previdência Multimercado Livre</t>
        </is>
      </c>
      <c r="E305" s="4" t="inlineStr">
        <is>
          <t>Multimercado</t>
        </is>
      </c>
      <c r="F305" s="4" t="inlineStr">
        <is>
          <t>BTG PACTUAL GESTÃO E CONSULTORIA DE INVESTIMENTOS LTDA</t>
        </is>
      </c>
      <c r="G305" s="4" t="inlineStr">
        <is>
          <t>Própria</t>
        </is>
      </c>
      <c r="H305" s="8" t="n">
        <v>0.75</v>
      </c>
      <c r="I305" s="7" t="n">
        <v>0</v>
      </c>
      <c r="J305" s="5" t="n">
        <v>9</v>
      </c>
      <c r="K305" s="4" t="inlineStr">
        <is>
          <t>Em Funcionamento Normal</t>
        </is>
      </c>
      <c r="L305" s="4" t="inlineStr">
        <is>
          <t>API interna</t>
        </is>
      </c>
    </row>
    <row r="306">
      <c r="A306" s="4" t="inlineStr">
        <is>
          <t>BTG Pactual</t>
        </is>
      </c>
      <c r="B306" s="4" t="inlineStr">
        <is>
          <t>MAG Prev BP FIRF CrPr RL</t>
        </is>
      </c>
      <c r="C306" s="4" t="inlineStr">
        <is>
          <t>41.579.176/0001-27</t>
        </is>
      </c>
      <c r="D306" s="4" t="inlineStr">
        <is>
          <t>Previdência RF Duração Livre Crédito Liv</t>
        </is>
      </c>
      <c r="E306" s="4" t="inlineStr">
        <is>
          <t>Renda Fixa</t>
        </is>
      </c>
      <c r="F306" s="4" t="inlineStr">
        <is>
          <t>MONGERAL AEGON INVESTIMENTOS LTDA</t>
        </is>
      </c>
      <c r="G306" s="4" t="inlineStr">
        <is>
          <t>Terceiros</t>
        </is>
      </c>
      <c r="H306" s="8" t="n">
        <v>0.8</v>
      </c>
      <c r="I306" s="7" t="n">
        <v>1000</v>
      </c>
      <c r="J306" s="5" t="n">
        <v>2</v>
      </c>
      <c r="K306" s="4" t="inlineStr">
        <is>
          <t>Em Funcionamento Normal</t>
        </is>
      </c>
      <c r="L306" s="4" t="inlineStr">
        <is>
          <t>API interna</t>
        </is>
      </c>
    </row>
    <row r="307">
      <c r="A307" s="4" t="inlineStr">
        <is>
          <t>BTG Pactual</t>
        </is>
      </c>
      <c r="B307" s="4" t="inlineStr">
        <is>
          <t>Kapitalo Kappa BP Qualificado Prev FICFIM RL</t>
        </is>
      </c>
      <c r="C307" s="4" t="inlineStr">
        <is>
          <t>41.745.725/0001-96</t>
        </is>
      </c>
      <c r="D307" s="4" t="inlineStr">
        <is>
          <t>Previdência Multimercado Livre</t>
        </is>
      </c>
      <c r="E307" s="4" t="inlineStr">
        <is>
          <t>Multimercado</t>
        </is>
      </c>
      <c r="F307" s="4" t="inlineStr">
        <is>
          <t>BTG PACTUAL GESTÃO E CONSULTORIA DE INVESTIMENTOS LTDA</t>
        </is>
      </c>
      <c r="G307" s="4" t="inlineStr">
        <is>
          <t>Própria</t>
        </is>
      </c>
      <c r="H307" s="8" t="n">
        <v>0.75</v>
      </c>
      <c r="I307" s="7" t="n">
        <v>0</v>
      </c>
      <c r="J307" s="5" t="n">
        <v>24</v>
      </c>
      <c r="K307" s="4" t="inlineStr">
        <is>
          <t>Em Funcionamento Normal</t>
        </is>
      </c>
      <c r="L307" s="4" t="inlineStr">
        <is>
          <t>API interna</t>
        </is>
      </c>
    </row>
    <row r="308">
      <c r="A308" s="4" t="inlineStr">
        <is>
          <t>BTG Pactual</t>
        </is>
      </c>
      <c r="B308" s="4" t="inlineStr">
        <is>
          <t>BTG Pactual Cred Corp Plus Prev FIE FICFIM CrPr RL</t>
        </is>
      </c>
      <c r="C308" s="4" t="inlineStr">
        <is>
          <t>41.801.819/0001-35</t>
        </is>
      </c>
      <c r="D308" s="4" t="inlineStr">
        <is>
          <t>Previdência RF Duração Livre Crédito Liv</t>
        </is>
      </c>
      <c r="E308" s="4" t="inlineStr">
        <is>
          <t>Renda Fixa</t>
        </is>
      </c>
      <c r="F308" s="4" t="inlineStr">
        <is>
          <t>BTG PACTUAL ASSET MANAGEMENT S/A DTVM</t>
        </is>
      </c>
      <c r="G308" s="4" t="inlineStr">
        <is>
          <t>Própria</t>
        </is>
      </c>
      <c r="H308" s="8" t="n">
        <v>1.1</v>
      </c>
      <c r="I308" s="7" t="n">
        <v>1000</v>
      </c>
      <c r="J308" s="5" t="n">
        <v>9</v>
      </c>
      <c r="K308" s="4" t="inlineStr">
        <is>
          <t>Em Funcionamento Normal</t>
        </is>
      </c>
      <c r="L308" s="4" t="inlineStr">
        <is>
          <t>API interna</t>
        </is>
      </c>
    </row>
    <row r="309">
      <c r="A309" s="4" t="inlineStr">
        <is>
          <t>BTG Pactual</t>
        </is>
      </c>
      <c r="B309" s="4" t="inlineStr">
        <is>
          <t>Alaska Long Only Prev 70 FICFIM RL</t>
        </is>
      </c>
      <c r="C309" s="4" t="inlineStr">
        <is>
          <t>41.881.132/0001-57</t>
        </is>
      </c>
      <c r="D309" s="4" t="inlineStr">
        <is>
          <t>Previdência Multimercado Livre</t>
        </is>
      </c>
      <c r="E309" s="4" t="inlineStr">
        <is>
          <t>Renda Variável</t>
        </is>
      </c>
      <c r="F309" s="4" t="inlineStr">
        <is>
          <t>ALASKA INVESTIMENTOS LTDA.</t>
        </is>
      </c>
      <c r="G309" s="4" t="inlineStr">
        <is>
          <t>Terceiros</t>
        </is>
      </c>
      <c r="H309" s="8" t="n">
        <v>1.65</v>
      </c>
      <c r="I309" s="7" t="n">
        <v>1000</v>
      </c>
      <c r="J309" s="5" t="n">
        <v>8</v>
      </c>
      <c r="K309" s="4" t="inlineStr">
        <is>
          <t>Em Funcionamento Normal</t>
        </is>
      </c>
      <c r="L309" s="4" t="inlineStr">
        <is>
          <t>API interna</t>
        </is>
      </c>
    </row>
    <row r="310">
      <c r="A310" s="4" t="inlineStr">
        <is>
          <t>BTG Pactual</t>
        </is>
      </c>
      <c r="B310" s="4" t="inlineStr">
        <is>
          <t>Btgp Multigestor Total Return Prev FICFIM CrPr RL</t>
        </is>
      </c>
      <c r="C310" s="4" t="inlineStr">
        <is>
          <t>41.884.249/0001-94</t>
        </is>
      </c>
      <c r="D310" s="4" t="inlineStr">
        <is>
          <t>Previdência Multimercado Livre</t>
        </is>
      </c>
      <c r="E310" s="4" t="inlineStr">
        <is>
          <t>Multimercado</t>
        </is>
      </c>
      <c r="F310" s="4" t="inlineStr">
        <is>
          <t>BTG PACTUAL GESTÃO E CONSULTORIA DE INVESTIMENTOS LTDA</t>
        </is>
      </c>
      <c r="G310" s="4" t="inlineStr">
        <is>
          <t>Própria</t>
        </is>
      </c>
      <c r="H310" s="8" t="n">
        <v>0.5</v>
      </c>
      <c r="I310" s="7" t="n">
        <v>10000</v>
      </c>
      <c r="J310" s="5" t="n">
        <v>31</v>
      </c>
      <c r="K310" s="4" t="inlineStr">
        <is>
          <t>Em Funcionamento Normal</t>
        </is>
      </c>
      <c r="L310" s="4" t="inlineStr">
        <is>
          <t>API interna</t>
        </is>
      </c>
    </row>
    <row r="311">
      <c r="A311" s="4" t="inlineStr">
        <is>
          <t>BTG Pactual</t>
        </is>
      </c>
      <c r="B311" s="4" t="inlineStr">
        <is>
          <t>BTG Pactual NTN B 2035 Yield Prev FIRF RL</t>
        </is>
      </c>
      <c r="C311" s="4" t="inlineStr">
        <is>
          <t>42.357.379/0001-31</t>
        </is>
      </c>
      <c r="D311" s="4" t="inlineStr">
        <is>
          <t>Previdência RF Duração Livre Soberano</t>
        </is>
      </c>
      <c r="E311" s="4" t="inlineStr">
        <is>
          <t>Renda Fixa</t>
        </is>
      </c>
      <c r="F311" s="4" t="inlineStr">
        <is>
          <t>BTG PACTUAL ASSET MANAGEMENT S/A DTVM</t>
        </is>
      </c>
      <c r="G311" s="4" t="inlineStr">
        <is>
          <t>Própria</t>
        </is>
      </c>
      <c r="H311" s="8" t="n">
        <v>0.25</v>
      </c>
      <c r="I311" s="7" t="n">
        <v>1000</v>
      </c>
      <c r="J311" s="5" t="n">
        <v>3</v>
      </c>
      <c r="K311" s="4" t="inlineStr">
        <is>
          <t>Em Funcionamento Normal</t>
        </is>
      </c>
      <c r="L311" s="4" t="inlineStr">
        <is>
          <t>API interna</t>
        </is>
      </c>
    </row>
    <row r="312">
      <c r="A312" s="4" t="inlineStr">
        <is>
          <t>BTG Pactual</t>
        </is>
      </c>
      <c r="B312" s="4" t="inlineStr">
        <is>
          <t>Genoa Capital Cruise Prev BTG FICFIM RL</t>
        </is>
      </c>
      <c r="C312" s="4" t="inlineStr">
        <is>
          <t>42.535.251/0001-10</t>
        </is>
      </c>
      <c r="D312" s="4" t="inlineStr">
        <is>
          <t>Previdência Multimercado Livre</t>
        </is>
      </c>
      <c r="E312" s="4" t="inlineStr">
        <is>
          <t>Multimercado</t>
        </is>
      </c>
      <c r="F312" s="4" t="inlineStr">
        <is>
          <t>GENOA CAPITAL GESTORA DE RECURSOS LTDA</t>
        </is>
      </c>
      <c r="G312" s="4" t="inlineStr">
        <is>
          <t>Terceiros</t>
        </is>
      </c>
      <c r="H312" s="8" t="n">
        <v>2</v>
      </c>
      <c r="I312" s="7" t="n">
        <v>1000</v>
      </c>
      <c r="J312" s="5" t="n">
        <v>7</v>
      </c>
      <c r="K312" s="4" t="inlineStr">
        <is>
          <t>Em Funcionamento Normal</t>
        </is>
      </c>
      <c r="L312" s="4" t="inlineStr">
        <is>
          <t>API interna</t>
        </is>
      </c>
    </row>
    <row r="313">
      <c r="A313" s="4" t="inlineStr">
        <is>
          <t>BTG Pactual</t>
        </is>
      </c>
      <c r="B313" s="4" t="inlineStr">
        <is>
          <t>Exes Prev FIE FICFIM CrPr RL</t>
        </is>
      </c>
      <c r="C313" s="4" t="inlineStr">
        <is>
          <t>42.730.600/0001-55</t>
        </is>
      </c>
      <c r="D313" s="4" t="inlineStr">
        <is>
          <t>Previdência Multimercado Livre</t>
        </is>
      </c>
      <c r="E313" s="4" t="inlineStr">
        <is>
          <t>Renda Fixa</t>
        </is>
      </c>
      <c r="F313" s="4" t="inlineStr">
        <is>
          <t>EXES GESTORA DE RECURSOS LTDA.</t>
        </is>
      </c>
      <c r="G313" s="4" t="inlineStr">
        <is>
          <t>Terceiros</t>
        </is>
      </c>
      <c r="H313" s="8" t="n"/>
      <c r="I313" s="7" t="n">
        <v>5000</v>
      </c>
      <c r="J313" s="5" t="n">
        <v>180</v>
      </c>
      <c r="K313" s="4" t="inlineStr">
        <is>
          <t>Em Funcionamento Normal</t>
        </is>
      </c>
      <c r="L313" s="4" t="inlineStr">
        <is>
          <t>API interna</t>
        </is>
      </c>
    </row>
    <row r="314">
      <c r="A314" s="4" t="inlineStr">
        <is>
          <t>BTG Pactual</t>
        </is>
      </c>
      <c r="B314" s="4" t="inlineStr">
        <is>
          <t>RPS Prev Absoluto BP Prev FICFIM RL</t>
        </is>
      </c>
      <c r="C314" s="4" t="inlineStr">
        <is>
          <t>42.730.862/0001-10</t>
        </is>
      </c>
      <c r="D314" s="4" t="inlineStr">
        <is>
          <t>Previdência Multimercado Livre</t>
        </is>
      </c>
      <c r="E314" s="4" t="inlineStr">
        <is>
          <t>Renda Variável</t>
        </is>
      </c>
      <c r="F314" s="4" t="inlineStr">
        <is>
          <t>RPS CAPITAL ADMINISTRADORA DE RECURSOS LTDA</t>
        </is>
      </c>
      <c r="G314" s="4" t="inlineStr">
        <is>
          <t>Terceiros</t>
        </is>
      </c>
      <c r="H314" s="8" t="n"/>
      <c r="I314" s="7" t="n">
        <v>0</v>
      </c>
      <c r="J314" s="5" t="n">
        <v>5</v>
      </c>
      <c r="K314" s="4" t="inlineStr">
        <is>
          <t>Em Funcionamento Normal</t>
        </is>
      </c>
      <c r="L314" s="4" t="inlineStr">
        <is>
          <t>API interna</t>
        </is>
      </c>
    </row>
    <row r="315">
      <c r="A315" s="4" t="inlineStr">
        <is>
          <t>BTG Pactual</t>
        </is>
      </c>
      <c r="B315" s="4" t="inlineStr">
        <is>
          <t>Patria Pioneiro Long Only 100 Icatu Qualificado Prev FIE FICFIM RL</t>
        </is>
      </c>
      <c r="C315" s="4" t="inlineStr">
        <is>
          <t>42.774.044/0001-19</t>
        </is>
      </c>
      <c r="D315" s="4" t="inlineStr">
        <is>
          <t>Previdência Multimercado Livre</t>
        </is>
      </c>
      <c r="E315" s="4" t="inlineStr">
        <is>
          <t>Renda Variável</t>
        </is>
      </c>
      <c r="F315" s="4" t="inlineStr">
        <is>
          <t>PÁTRIA INVESTIMENTOS LTDA.</t>
        </is>
      </c>
      <c r="G315" s="4" t="inlineStr">
        <is>
          <t>Terceiros</t>
        </is>
      </c>
      <c r="H315" s="8" t="n">
        <v>2</v>
      </c>
      <c r="I315" s="7" t="n">
        <v>5000</v>
      </c>
      <c r="J315" s="5" t="n">
        <v>24</v>
      </c>
      <c r="K315" s="4" t="inlineStr">
        <is>
          <t>Em Funcionamento Normal</t>
        </is>
      </c>
      <c r="L315" s="4" t="inlineStr">
        <is>
          <t>API interna</t>
        </is>
      </c>
    </row>
    <row r="316">
      <c r="A316" s="4" t="inlineStr">
        <is>
          <t>BTG Pactual</t>
        </is>
      </c>
      <c r="B316" s="4" t="inlineStr">
        <is>
          <t>Itau High Yield Prev P Dist. BP Prev Fundo CrPr RL</t>
        </is>
      </c>
      <c r="C316" s="4" t="inlineStr">
        <is>
          <t>42.827.330/0001-03</t>
        </is>
      </c>
      <c r="D316" s="4" t="inlineStr">
        <is>
          <t>Previdência RF Duração Livre Crédito Liv</t>
        </is>
      </c>
      <c r="E316" s="4" t="inlineStr">
        <is>
          <t>Renda Fixa</t>
        </is>
      </c>
      <c r="F316" s="4" t="inlineStr">
        <is>
          <t>ITAU UNIBANCO ASSET MANAGEMENT LTDA.</t>
        </is>
      </c>
      <c r="G316" s="4" t="inlineStr">
        <is>
          <t>Terceiros</t>
        </is>
      </c>
      <c r="H316" s="8" t="n"/>
      <c r="I316" s="7" t="n">
        <v>1000</v>
      </c>
      <c r="J316" s="5" t="n">
        <v>3</v>
      </c>
      <c r="K316" s="4" t="inlineStr">
        <is>
          <t>Em Funcionamento Normal</t>
        </is>
      </c>
      <c r="L316" s="4" t="inlineStr">
        <is>
          <t>API interna</t>
        </is>
      </c>
    </row>
    <row r="317">
      <c r="A317" s="4" t="inlineStr">
        <is>
          <t>BTG Pactual</t>
        </is>
      </c>
      <c r="B317" s="4" t="inlineStr">
        <is>
          <t>Arca Grao Prev FICFIM Access RL</t>
        </is>
      </c>
      <c r="C317" s="4" t="inlineStr">
        <is>
          <t>42.848.021/0001-01</t>
        </is>
      </c>
      <c r="D317" s="4" t="inlineStr">
        <is>
          <t>Previdência Multimercado Livre</t>
        </is>
      </c>
      <c r="E317" s="4" t="inlineStr">
        <is>
          <t>Alocação</t>
        </is>
      </c>
      <c r="F317" s="4" t="inlineStr">
        <is>
          <t>GRÃO GESTÃO DE RECURSOS LTDA.</t>
        </is>
      </c>
      <c r="G317" s="4" t="inlineStr">
        <is>
          <t>Terceiros</t>
        </is>
      </c>
      <c r="H317" s="8" t="n">
        <v>0.59</v>
      </c>
      <c r="I317" s="7" t="n">
        <v>1000</v>
      </c>
      <c r="J317" s="5" t="n">
        <v>9</v>
      </c>
      <c r="K317" s="4" t="inlineStr">
        <is>
          <t>Em Funcionamento Normal</t>
        </is>
      </c>
      <c r="L317" s="4" t="inlineStr">
        <is>
          <t>API interna</t>
        </is>
      </c>
    </row>
    <row r="318">
      <c r="A318" s="4" t="inlineStr">
        <is>
          <t>BTG Pactual</t>
        </is>
      </c>
      <c r="B318" s="4" t="inlineStr">
        <is>
          <t>Sparta Prev Inflacao B FICFIRF CrPr RL</t>
        </is>
      </c>
      <c r="C318" s="4" t="inlineStr">
        <is>
          <t>42.870.517/0001-81</t>
        </is>
      </c>
      <c r="D318" s="4" t="inlineStr">
        <is>
          <t>Previdência RF Duração Média Grau de Inv</t>
        </is>
      </c>
      <c r="E318" s="4" t="inlineStr">
        <is>
          <t>Renda Fixa</t>
        </is>
      </c>
      <c r="F318" s="4" t="inlineStr">
        <is>
          <t>SPARTA ADMINISTRADORA DE RECURSOS LTDA</t>
        </is>
      </c>
      <c r="G318" s="4" t="inlineStr">
        <is>
          <t>Terceiros</t>
        </is>
      </c>
      <c r="H318" s="8" t="n">
        <v>1.35</v>
      </c>
      <c r="I318" s="7" t="n">
        <v>1000</v>
      </c>
      <c r="J318" s="5" t="n">
        <v>6</v>
      </c>
      <c r="K318" s="4" t="inlineStr">
        <is>
          <t>Em Funcionamento Normal</t>
        </is>
      </c>
      <c r="L318" s="4" t="inlineStr">
        <is>
          <t>API interna</t>
        </is>
      </c>
    </row>
    <row r="319">
      <c r="A319" s="4" t="inlineStr">
        <is>
          <t>BTG Pactual</t>
        </is>
      </c>
      <c r="B319" s="4" t="inlineStr">
        <is>
          <t>BTG Pactual Cred Corp Prev Ipca FIRF CrPr RL</t>
        </is>
      </c>
      <c r="C319" s="4" t="inlineStr">
        <is>
          <t>43.103.846/0001-60</t>
        </is>
      </c>
      <c r="D319" s="4" t="inlineStr">
        <is>
          <t>Previdência RF Duração Livre Crédito Liv</t>
        </is>
      </c>
      <c r="E319" s="4" t="inlineStr">
        <is>
          <t>Renda Fixa</t>
        </is>
      </c>
      <c r="F319" s="4" t="inlineStr">
        <is>
          <t>BTG PACTUAL ASSET MANAGEMENT S/A DTVM</t>
        </is>
      </c>
      <c r="G319" s="4" t="inlineStr">
        <is>
          <t>Própria</t>
        </is>
      </c>
      <c r="H319" s="8" t="n">
        <v>0.8</v>
      </c>
      <c r="I319" s="7" t="n">
        <v>5000</v>
      </c>
      <c r="J319" s="5" t="n">
        <v>7</v>
      </c>
      <c r="K319" s="4" t="inlineStr">
        <is>
          <t>Em Funcionamento Normal</t>
        </is>
      </c>
      <c r="L319" s="4" t="inlineStr">
        <is>
          <t>API interna</t>
        </is>
      </c>
    </row>
    <row r="320">
      <c r="A320" s="4" t="inlineStr">
        <is>
          <t>BTG Pactual</t>
        </is>
      </c>
      <c r="B320" s="4" t="inlineStr">
        <is>
          <t>SPX Lancer Plus XXX Prev FICFIM Access RL</t>
        </is>
      </c>
      <c r="C320" s="4" t="inlineStr">
        <is>
          <t>43.164.533/0001-11</t>
        </is>
      </c>
      <c r="D320" s="4" t="inlineStr">
        <is>
          <t>Previdência Multimercado Livre</t>
        </is>
      </c>
      <c r="E320" s="4" t="inlineStr">
        <is>
          <t>Multimercado</t>
        </is>
      </c>
      <c r="F320" s="4" t="inlineStr">
        <is>
          <t>BTG PACTUAL GESTÃO E CONSULTORIA DE INVESTIMENTOS LTDA</t>
        </is>
      </c>
      <c r="G320" s="4" t="inlineStr">
        <is>
          <t>Própria</t>
        </is>
      </c>
      <c r="H320" s="8" t="n">
        <v>2</v>
      </c>
      <c r="I320" s="7" t="n">
        <v>1000</v>
      </c>
      <c r="J320" s="5" t="n">
        <v>5</v>
      </c>
      <c r="K320" s="4" t="inlineStr">
        <is>
          <t>Em Funcionamento Normal</t>
        </is>
      </c>
      <c r="L320" s="4" t="inlineStr">
        <is>
          <t>API interna</t>
        </is>
      </c>
    </row>
    <row r="321">
      <c r="A321" s="4" t="inlineStr">
        <is>
          <t>BTG Pactual</t>
        </is>
      </c>
      <c r="B321" s="4" t="inlineStr">
        <is>
          <t>HIX Prev III Prev FICFIA RL</t>
        </is>
      </c>
      <c r="C321" s="4" t="inlineStr">
        <is>
          <t>43.507.741/0001-76</t>
        </is>
      </c>
      <c r="D321" s="4" t="inlineStr">
        <is>
          <t>Previdência Ações Ativo</t>
        </is>
      </c>
      <c r="E321" s="4" t="inlineStr">
        <is>
          <t>Renda Variável</t>
        </is>
      </c>
      <c r="F321" s="4" t="inlineStr">
        <is>
          <t>HIX INVESTIMENTOS LTDA</t>
        </is>
      </c>
      <c r="G321" s="4" t="inlineStr">
        <is>
          <t>Terceiros</t>
        </is>
      </c>
      <c r="H321" s="8" t="n"/>
      <c r="I321" s="7" t="n">
        <v>1000</v>
      </c>
      <c r="J321" s="5" t="n">
        <v>62</v>
      </c>
      <c r="K321" s="4" t="inlineStr">
        <is>
          <t>Em Funcionamento Normal</t>
        </is>
      </c>
      <c r="L321" s="4" t="inlineStr">
        <is>
          <t>API interna</t>
        </is>
      </c>
    </row>
    <row r="322">
      <c r="A322" s="4" t="inlineStr">
        <is>
          <t>BTG Pactual</t>
        </is>
      </c>
      <c r="B322" s="4" t="inlineStr">
        <is>
          <t>Absolute Vertex Prev FIM Access RL</t>
        </is>
      </c>
      <c r="C322" s="4" t="inlineStr">
        <is>
          <t>43.509.130/0001-67</t>
        </is>
      </c>
      <c r="D322" s="4" t="inlineStr">
        <is>
          <t>Previdência Multimercado Livre</t>
        </is>
      </c>
      <c r="E322" s="4" t="inlineStr">
        <is>
          <t>Multimercado</t>
        </is>
      </c>
      <c r="F322" s="4" t="inlineStr">
        <is>
          <t>BTG PACTUAL GESTÃO E CONSULTORIA DE INVESTIMENTOS LTDA</t>
        </is>
      </c>
      <c r="G322" s="4" t="inlineStr">
        <is>
          <t>Própria</t>
        </is>
      </c>
      <c r="H322" s="8" t="n">
        <v>2</v>
      </c>
      <c r="I322" s="7" t="n">
        <v>1000</v>
      </c>
      <c r="J322" s="5" t="n">
        <v>22</v>
      </c>
      <c r="K322" s="4" t="inlineStr">
        <is>
          <t>Em Funcionamento Normal</t>
        </is>
      </c>
      <c r="L322" s="4" t="inlineStr">
        <is>
          <t>API interna</t>
        </is>
      </c>
    </row>
    <row r="323">
      <c r="A323" s="4" t="inlineStr">
        <is>
          <t>BTG Pactual</t>
        </is>
      </c>
      <c r="B323" s="4" t="inlineStr">
        <is>
          <t>Constellation BP 100 Prev FICFIA</t>
        </is>
      </c>
      <c r="C323" s="4" t="inlineStr">
        <is>
          <t>43.619.032/0001-82</t>
        </is>
      </c>
      <c r="D323" s="4" t="inlineStr">
        <is>
          <t>Previdência Ações Indexados</t>
        </is>
      </c>
      <c r="E323" s="4" t="inlineStr">
        <is>
          <t>Renda Variável</t>
        </is>
      </c>
      <c r="F323" s="4" t="inlineStr">
        <is>
          <t>CONSTELLATION INVESTIMENTOS E PARTICIPAÇÕES LTDA</t>
        </is>
      </c>
      <c r="G323" s="4" t="inlineStr">
        <is>
          <t>Terceiros</t>
        </is>
      </c>
      <c r="H323" s="8" t="n"/>
      <c r="I323" s="7" t="n">
        <v>0</v>
      </c>
      <c r="J323" s="5" t="n">
        <v>42</v>
      </c>
      <c r="K323" s="4" t="inlineStr">
        <is>
          <t>Em Funcionamento Normal</t>
        </is>
      </c>
      <c r="L323" s="4" t="inlineStr">
        <is>
          <t>API interna</t>
        </is>
      </c>
    </row>
    <row r="324">
      <c r="A324" s="4" t="inlineStr">
        <is>
          <t>BTG Pactual</t>
        </is>
      </c>
      <c r="B324" s="4" t="inlineStr">
        <is>
          <t>Vinland Macro P V Prev FICFIM RL</t>
        </is>
      </c>
      <c r="C324" s="4" t="inlineStr">
        <is>
          <t>43.794.322/0001-62</t>
        </is>
      </c>
      <c r="D324" s="4" t="inlineStr">
        <is>
          <t>Previdência Multimercado Livre</t>
        </is>
      </c>
      <c r="E324" s="4" t="inlineStr">
        <is>
          <t>Multimercado</t>
        </is>
      </c>
      <c r="F324" s="4" t="inlineStr">
        <is>
          <t>VINLAND CAPITAL MANAGEMENT GESTORA DE RECURSOS LTDA.</t>
        </is>
      </c>
      <c r="G324" s="4" t="inlineStr">
        <is>
          <t>Terceiros</t>
        </is>
      </c>
      <c r="H324" s="8" t="n">
        <v>2</v>
      </c>
      <c r="I324" s="7" t="n">
        <v>1000</v>
      </c>
      <c r="J324" s="5" t="n">
        <v>10</v>
      </c>
      <c r="K324" s="4" t="inlineStr">
        <is>
          <t>Em Funcionamento Normal</t>
        </is>
      </c>
      <c r="L324" s="4" t="inlineStr">
        <is>
          <t>API interna</t>
        </is>
      </c>
    </row>
    <row r="325">
      <c r="A325" s="4" t="inlineStr">
        <is>
          <t>BTG Pactual</t>
        </is>
      </c>
      <c r="B325" s="4" t="inlineStr">
        <is>
          <t>BTG Pactual Macro HF FIE Prev FICFIM RL</t>
        </is>
      </c>
      <c r="C325" s="4" t="inlineStr">
        <is>
          <t>43.915.616/0001-03</t>
        </is>
      </c>
      <c r="D325" s="4" t="inlineStr">
        <is>
          <t>Previdência Multimercado Livre</t>
        </is>
      </c>
      <c r="E325" s="4" t="inlineStr">
        <is>
          <t>Multimercado</t>
        </is>
      </c>
      <c r="F325" s="4" t="inlineStr">
        <is>
          <t>BTG PACTUAL ASSET MANAGEMENT S/A DTVM</t>
        </is>
      </c>
      <c r="G325" s="4" t="inlineStr">
        <is>
          <t>Própria</t>
        </is>
      </c>
      <c r="H325" s="8" t="n">
        <v>2.5</v>
      </c>
      <c r="I325" s="7" t="n">
        <v>1000</v>
      </c>
      <c r="J325" s="5" t="n">
        <v>9</v>
      </c>
      <c r="K325" s="4" t="inlineStr">
        <is>
          <t>Em Funcionamento Normal</t>
        </is>
      </c>
      <c r="L325" s="4" t="inlineStr">
        <is>
          <t>API interna</t>
        </is>
      </c>
    </row>
    <row r="326">
      <c r="A326" s="4" t="inlineStr">
        <is>
          <t>BTG Pactual</t>
        </is>
      </c>
      <c r="B326" s="4" t="inlineStr">
        <is>
          <t>SPX Seahawk Plus Prev FICFIM Access CrPr RL</t>
        </is>
      </c>
      <c r="C326" s="4" t="inlineStr">
        <is>
          <t>43.985.398/0001-75</t>
        </is>
      </c>
      <c r="D326" s="4" t="inlineStr">
        <is>
          <t>Previdência Multimercado Livre</t>
        </is>
      </c>
      <c r="E326" s="4" t="inlineStr">
        <is>
          <t>Renda Fixa</t>
        </is>
      </c>
      <c r="F326" s="4" t="inlineStr">
        <is>
          <t>BTG PACTUAL GESTÃO E CONSULTORIA DE INVESTIMENTOS LTDA</t>
        </is>
      </c>
      <c r="G326" s="4" t="inlineStr">
        <is>
          <t>Própria</t>
        </is>
      </c>
      <c r="H326" s="8" t="n">
        <v>0.8</v>
      </c>
      <c r="I326" s="7" t="n">
        <v>1000</v>
      </c>
      <c r="J326" s="5" t="n">
        <v>9</v>
      </c>
      <c r="K326" s="4" t="inlineStr">
        <is>
          <t>Em Funcionamento Normal</t>
        </is>
      </c>
      <c r="L326" s="4" t="inlineStr">
        <is>
          <t>API interna</t>
        </is>
      </c>
    </row>
    <row r="327">
      <c r="A327" s="4" t="inlineStr">
        <is>
          <t>BTG Pactual</t>
        </is>
      </c>
      <c r="B327" s="4" t="inlineStr">
        <is>
          <t>BTG Pactual Cred Corp II Prev FICFIM CrPr RL</t>
        </is>
      </c>
      <c r="C327" s="4" t="inlineStr">
        <is>
          <t>44.025.282/0001-57</t>
        </is>
      </c>
      <c r="D327" s="4" t="inlineStr">
        <is>
          <t>Previdência Multimercado Livre</t>
        </is>
      </c>
      <c r="E327" s="4" t="inlineStr">
        <is>
          <t>Renda Fixa</t>
        </is>
      </c>
      <c r="F327" s="4" t="inlineStr">
        <is>
          <t>BTG PACTUAL ASSET MANAGEMENT S/A DTVM</t>
        </is>
      </c>
      <c r="G327" s="4" t="inlineStr">
        <is>
          <t>Própria</t>
        </is>
      </c>
      <c r="H327" s="8" t="n">
        <v>0.9</v>
      </c>
      <c r="I327" s="7" t="n">
        <v>0</v>
      </c>
      <c r="J327" s="5" t="n">
        <v>7</v>
      </c>
      <c r="K327" s="4" t="inlineStr">
        <is>
          <t>Em Funcionamento Normal</t>
        </is>
      </c>
      <c r="L327" s="4" t="inlineStr">
        <is>
          <t>API interna</t>
        </is>
      </c>
    </row>
    <row r="328">
      <c r="A328" s="4" t="inlineStr">
        <is>
          <t>BTG Pactual</t>
        </is>
      </c>
      <c r="B328" s="4" t="inlineStr">
        <is>
          <t>BTG Pactual Reference S&amp;P500 USD Prev FIM RL</t>
        </is>
      </c>
      <c r="C328" s="4" t="inlineStr">
        <is>
          <t>44.025.397/0001-41</t>
        </is>
      </c>
      <c r="D328" s="4" t="inlineStr">
        <is>
          <t>Previdência Multimercado Livre</t>
        </is>
      </c>
      <c r="E328" s="4" t="inlineStr">
        <is>
          <t>Multimercado</t>
        </is>
      </c>
      <c r="F328" s="4" t="inlineStr">
        <is>
          <t>BTG PACTUAL ASSET MANAGEMENT S/A DTVM</t>
        </is>
      </c>
      <c r="G328" s="4" t="inlineStr">
        <is>
          <t>Própria</t>
        </is>
      </c>
      <c r="H328" s="8" t="n"/>
      <c r="I328" s="7" t="n">
        <v>1000</v>
      </c>
      <c r="J328" s="5" t="n">
        <v>3</v>
      </c>
      <c r="K328" s="4" t="inlineStr">
        <is>
          <t>Em Funcionamento Normal</t>
        </is>
      </c>
      <c r="L328" s="4" t="inlineStr">
        <is>
          <t>API interna</t>
        </is>
      </c>
    </row>
    <row r="329">
      <c r="A329" s="4" t="inlineStr">
        <is>
          <t>BTG Pactual</t>
        </is>
      </c>
      <c r="B329" s="4" t="inlineStr">
        <is>
          <t>BTG Pactual Hedge Sigma Prev FIE FICFIM RL</t>
        </is>
      </c>
      <c r="C329" s="4" t="inlineStr">
        <is>
          <t>44.025.612/0001-04</t>
        </is>
      </c>
      <c r="D329" s="4" t="inlineStr">
        <is>
          <t>Previdência Multimercado Livre</t>
        </is>
      </c>
      <c r="E329" s="4" t="inlineStr">
        <is>
          <t>Renda Fixa</t>
        </is>
      </c>
      <c r="F329" s="4" t="inlineStr">
        <is>
          <t>BTG PACTUAL ASSET MANAGEMENT S/A DTVM</t>
        </is>
      </c>
      <c r="G329" s="4" t="inlineStr">
        <is>
          <t>Própria</t>
        </is>
      </c>
      <c r="H329" s="8" t="n">
        <v>1</v>
      </c>
      <c r="I329" s="7" t="n">
        <v>1000</v>
      </c>
      <c r="J329" s="5" t="n">
        <v>3</v>
      </c>
      <c r="K329" s="4" t="inlineStr">
        <is>
          <t>Em Funcionamento Normal</t>
        </is>
      </c>
      <c r="L329" s="4" t="inlineStr">
        <is>
          <t>API interna</t>
        </is>
      </c>
    </row>
    <row r="330">
      <c r="A330" s="4" t="inlineStr">
        <is>
          <t>BTG Pactual</t>
        </is>
      </c>
      <c r="B330" s="4" t="inlineStr">
        <is>
          <t>Empiricus Oportunidades de UMA Vida Prev FIA RL</t>
        </is>
      </c>
      <c r="C330" s="4" t="inlineStr">
        <is>
          <t>44.026.984/0001-55</t>
        </is>
      </c>
      <c r="D330" s="4" t="inlineStr">
        <is>
          <t>Previdência Ações Indexados</t>
        </is>
      </c>
      <c r="E330" s="4" t="inlineStr">
        <is>
          <t>Renda Variável</t>
        </is>
      </c>
      <c r="F330" s="4" t="inlineStr">
        <is>
          <t>BTG PACTUAL ASSET MANAGEMENT S/A DTVM</t>
        </is>
      </c>
      <c r="G330" s="4" t="inlineStr">
        <is>
          <t>Própria</t>
        </is>
      </c>
      <c r="H330" s="8" t="n">
        <v>1.4</v>
      </c>
      <c r="I330" s="7" t="n">
        <v>1000</v>
      </c>
      <c r="J330" s="5" t="n">
        <v>9</v>
      </c>
      <c r="K330" s="4" t="inlineStr">
        <is>
          <t>Em Funcionamento Normal</t>
        </is>
      </c>
      <c r="L330" s="4" t="inlineStr">
        <is>
          <t>API interna</t>
        </is>
      </c>
    </row>
    <row r="331">
      <c r="A331" s="4" t="inlineStr">
        <is>
          <t>BTG Pactual</t>
        </is>
      </c>
      <c r="B331" s="4" t="inlineStr">
        <is>
          <t>Empiricus FoF Nova Superprevidencia Prev FIM RL</t>
        </is>
      </c>
      <c r="C331" s="4" t="inlineStr">
        <is>
          <t>44.027.199/0001-17</t>
        </is>
      </c>
      <c r="D331" s="4" t="inlineStr">
        <is>
          <t>Previdência Multimercado Livre</t>
        </is>
      </c>
      <c r="E331" s="4" t="inlineStr">
        <is>
          <t>Alocação</t>
        </is>
      </c>
      <c r="F331" s="4" t="inlineStr">
        <is>
          <t>BTG PACTUAL GESTÃO E CONSULTORIA DE INVESTIMENTOS LTDA</t>
        </is>
      </c>
      <c r="G331" s="4" t="inlineStr">
        <is>
          <t>Própria</t>
        </is>
      </c>
      <c r="H331" s="8" t="n">
        <v>0.75</v>
      </c>
      <c r="I331" s="7" t="n">
        <v>1000</v>
      </c>
      <c r="J331" s="5" t="n">
        <v>7</v>
      </c>
      <c r="K331" s="4" t="inlineStr">
        <is>
          <t>Em Funcionamento Normal</t>
        </is>
      </c>
      <c r="L331" s="4" t="inlineStr">
        <is>
          <t>API interna</t>
        </is>
      </c>
    </row>
    <row r="332">
      <c r="A332" s="4" t="inlineStr">
        <is>
          <t>BTG Pactual</t>
        </is>
      </c>
      <c r="B332" s="4" t="inlineStr">
        <is>
          <t>Empiricus Global Real Return Prev FIM RL</t>
        </is>
      </c>
      <c r="C332" s="4" t="inlineStr">
        <is>
          <t>44.027.256/0001-68</t>
        </is>
      </c>
      <c r="D332" s="4" t="inlineStr">
        <is>
          <t>Previdência Multimercado Livre</t>
        </is>
      </c>
      <c r="E332" s="4" t="inlineStr">
        <is>
          <t>Multimercado</t>
        </is>
      </c>
      <c r="F332" s="4" t="inlineStr">
        <is>
          <t>BTG PACTUAL ASSET MANAGEMENT S/A DTVM</t>
        </is>
      </c>
      <c r="G332" s="4" t="inlineStr">
        <is>
          <t>Própria</t>
        </is>
      </c>
      <c r="H332" s="8" t="n"/>
      <c r="I332" s="7" t="n">
        <v>1000</v>
      </c>
      <c r="J332" s="5" t="n">
        <v>9</v>
      </c>
      <c r="K332" s="4" t="inlineStr">
        <is>
          <t>Em Funcionamento Normal</t>
        </is>
      </c>
      <c r="L332" s="4" t="inlineStr">
        <is>
          <t>API interna</t>
        </is>
      </c>
    </row>
    <row r="333">
      <c r="A333" s="4" t="inlineStr">
        <is>
          <t>BTG Pactual</t>
        </is>
      </c>
      <c r="B333" s="4" t="inlineStr">
        <is>
          <t>Empiricus Cripto Prev 20 FIM RL</t>
        </is>
      </c>
      <c r="C333" s="4" t="inlineStr">
        <is>
          <t>44.027.398/0001-25</t>
        </is>
      </c>
      <c r="D333" s="4" t="inlineStr">
        <is>
          <t>Previdência Multimercado Livre</t>
        </is>
      </c>
      <c r="E333" s="4" t="inlineStr">
        <is>
          <t>Alternativos</t>
        </is>
      </c>
      <c r="F333" s="4" t="inlineStr">
        <is>
          <t>BTG PACTUAL ASSET MANAGEMENT S/A DTVM</t>
        </is>
      </c>
      <c r="G333" s="4" t="inlineStr">
        <is>
          <t>Própria</t>
        </is>
      </c>
      <c r="H333" s="8" t="n"/>
      <c r="I333" s="7" t="n">
        <v>1000</v>
      </c>
      <c r="J333" s="5" t="n">
        <v>9</v>
      </c>
      <c r="K333" s="4" t="inlineStr">
        <is>
          <t>Em Funcionamento Normal</t>
        </is>
      </c>
      <c r="L333" s="4" t="inlineStr">
        <is>
          <t>API interna</t>
        </is>
      </c>
    </row>
    <row r="334">
      <c r="A334" s="4" t="inlineStr">
        <is>
          <t>BTG Pactual</t>
        </is>
      </c>
      <c r="B334" s="4" t="inlineStr">
        <is>
          <t>JGP BP Cred Prev Ipca FICFIRF LP CrPr RL</t>
        </is>
      </c>
      <c r="C334" s="4" t="inlineStr">
        <is>
          <t>44.643.217/0001-95</t>
        </is>
      </c>
      <c r="D334" s="4" t="inlineStr">
        <is>
          <t>Previdência RF Duração Livre Crédito Liv</t>
        </is>
      </c>
      <c r="E334" s="4" t="inlineStr">
        <is>
          <t>Renda Fixa</t>
        </is>
      </c>
      <c r="F334" s="4" t="inlineStr">
        <is>
          <t>LETO ASSET MANAGEMENT LTDA</t>
        </is>
      </c>
      <c r="G334" s="4" t="inlineStr">
        <is>
          <t>Terceiros</t>
        </is>
      </c>
      <c r="H334" s="8" t="n">
        <v>1.2</v>
      </c>
      <c r="I334" s="7" t="n">
        <v>1000</v>
      </c>
      <c r="J334" s="5" t="n">
        <v>7</v>
      </c>
      <c r="K334" s="4" t="inlineStr">
        <is>
          <t>Em Funcionamento Normal</t>
        </is>
      </c>
      <c r="L334" s="4" t="inlineStr">
        <is>
          <t>API interna</t>
        </is>
      </c>
    </row>
    <row r="335">
      <c r="A335" s="4" t="inlineStr">
        <is>
          <t>BTG Pactual</t>
        </is>
      </c>
      <c r="B335" s="4" t="inlineStr">
        <is>
          <t>Ibiuna Credit Prev FICFIM Access CrPr RL</t>
        </is>
      </c>
      <c r="C335" s="4" t="inlineStr">
        <is>
          <t>44.672.703/0001-31</t>
        </is>
      </c>
      <c r="D335" s="4" t="inlineStr">
        <is>
          <t>Previdência Multimercado Livre</t>
        </is>
      </c>
      <c r="E335" s="4" t="inlineStr">
        <is>
          <t>Renda Fixa</t>
        </is>
      </c>
      <c r="F335" s="4" t="inlineStr">
        <is>
          <t>BTG PACTUAL GESTÃO E CONSULTORIA DE INVESTIMENTOS LTDA</t>
        </is>
      </c>
      <c r="G335" s="4" t="inlineStr">
        <is>
          <t>Própria</t>
        </is>
      </c>
      <c r="H335" s="8" t="n">
        <v>0.8</v>
      </c>
      <c r="I335" s="7" t="n">
        <v>1000</v>
      </c>
      <c r="J335" s="5" t="n">
        <v>31</v>
      </c>
      <c r="K335" s="4" t="inlineStr">
        <is>
          <t>Em Funcionamento Normal</t>
        </is>
      </c>
      <c r="L335" s="4" t="inlineStr">
        <is>
          <t>API interna</t>
        </is>
      </c>
    </row>
    <row r="336">
      <c r="A336" s="4" t="inlineStr">
        <is>
          <t>BTG Pactual</t>
        </is>
      </c>
      <c r="B336" s="4" t="inlineStr">
        <is>
          <t>Ibiuna ST Prev FICFIM Access CrPr RL</t>
        </is>
      </c>
      <c r="C336" s="4" t="inlineStr">
        <is>
          <t>44.672.717/0001-55</t>
        </is>
      </c>
      <c r="D336" s="4" t="inlineStr">
        <is>
          <t>Previdência Multimercado Livre</t>
        </is>
      </c>
      <c r="E336" s="4" t="inlineStr">
        <is>
          <t>Multimercado</t>
        </is>
      </c>
      <c r="F336" s="4" t="inlineStr">
        <is>
          <t>BTG PACTUAL GESTÃO E CONSULTORIA DE INVESTIMENTOS LTDA</t>
        </is>
      </c>
      <c r="G336" s="4" t="inlineStr">
        <is>
          <t>Própria</t>
        </is>
      </c>
      <c r="H336" s="8" t="n">
        <v>2</v>
      </c>
      <c r="I336" s="7" t="n">
        <v>1000</v>
      </c>
      <c r="J336" s="5" t="n">
        <v>31</v>
      </c>
      <c r="K336" s="4" t="inlineStr">
        <is>
          <t>Em Funcionamento Normal</t>
        </is>
      </c>
      <c r="L336" s="4" t="inlineStr">
        <is>
          <t>API interna</t>
        </is>
      </c>
    </row>
    <row r="337">
      <c r="A337" s="4" t="inlineStr">
        <is>
          <t>BTG Pactual</t>
        </is>
      </c>
      <c r="B337" s="4" t="inlineStr">
        <is>
          <t>BTG Autoinvest Balanceado Prev FIM CrPr RL</t>
        </is>
      </c>
      <c r="C337" s="4" t="inlineStr">
        <is>
          <t>44.672.908/0001-17</t>
        </is>
      </c>
      <c r="D337" s="4" t="inlineStr">
        <is>
          <t>Previdência Multimercado Livre</t>
        </is>
      </c>
      <c r="E337" s="4" t="inlineStr">
        <is>
          <t>Alocação</t>
        </is>
      </c>
      <c r="F337" s="4" t="inlineStr">
        <is>
          <t>BTG PACTUAL GESTÃO E CONSULTORIA DE INVESTIMENTOS LTDA</t>
        </is>
      </c>
      <c r="G337" s="4" t="inlineStr">
        <is>
          <t>Própria</t>
        </is>
      </c>
      <c r="H337" s="8" t="n">
        <v>0.5</v>
      </c>
      <c r="I337" s="7" t="n">
        <v>1000</v>
      </c>
      <c r="J337" s="5" t="n">
        <v>9</v>
      </c>
      <c r="K337" s="4" t="inlineStr">
        <is>
          <t>Em Funcionamento Normal</t>
        </is>
      </c>
      <c r="L337" s="4" t="inlineStr">
        <is>
          <t>API interna</t>
        </is>
      </c>
    </row>
    <row r="338">
      <c r="A338" s="4" t="inlineStr">
        <is>
          <t>BTG Pactual</t>
        </is>
      </c>
      <c r="B338" s="4" t="inlineStr">
        <is>
          <t>Verde FIE Prev FIM Access RL</t>
        </is>
      </c>
      <c r="C338" s="4" t="inlineStr">
        <is>
          <t>44.803.273/0001-40</t>
        </is>
      </c>
      <c r="D338" s="4" t="inlineStr">
        <is>
          <t>Previdência Multimercado Livre</t>
        </is>
      </c>
      <c r="E338" s="4" t="inlineStr">
        <is>
          <t>Multimercado</t>
        </is>
      </c>
      <c r="F338" s="4" t="inlineStr">
        <is>
          <t>BTG PACTUAL GESTÃO E CONSULTORIA DE INVESTIMENTOS LTDA</t>
        </is>
      </c>
      <c r="G338" s="4" t="inlineStr">
        <is>
          <t>Própria</t>
        </is>
      </c>
      <c r="H338" s="8" t="n">
        <v>2</v>
      </c>
      <c r="I338" s="7" t="n">
        <v>1000</v>
      </c>
      <c r="J338" s="5" t="n">
        <v>3</v>
      </c>
      <c r="K338" s="4" t="inlineStr">
        <is>
          <t>Em Funcionamento Normal</t>
        </is>
      </c>
      <c r="L338" s="4" t="inlineStr">
        <is>
          <t>API interna</t>
        </is>
      </c>
    </row>
    <row r="339">
      <c r="A339" s="4" t="inlineStr">
        <is>
          <t>BTG Pactual</t>
        </is>
      </c>
      <c r="B339" s="4" t="inlineStr">
        <is>
          <t>Sharp Equity Value 100 P Prev FICFIA RL</t>
        </is>
      </c>
      <c r="C339" s="4" t="inlineStr">
        <is>
          <t>44.803.356/0001-39</t>
        </is>
      </c>
      <c r="D339" s="4" t="inlineStr">
        <is>
          <t>Previdência Ações Ativo</t>
        </is>
      </c>
      <c r="E339" s="4" t="inlineStr">
        <is>
          <t>Renda Variável</t>
        </is>
      </c>
      <c r="F339" s="4" t="inlineStr">
        <is>
          <t>SHARP CAPITAL GESTORA DE RECURSOS LTDA</t>
        </is>
      </c>
      <c r="G339" s="4" t="inlineStr">
        <is>
          <t>Terceiros</t>
        </is>
      </c>
      <c r="H339" s="8" t="n">
        <v>2.2</v>
      </c>
      <c r="I339" s="7" t="n">
        <v>1000</v>
      </c>
      <c r="J339" s="5" t="n">
        <v>32</v>
      </c>
      <c r="K339" s="4" t="inlineStr">
        <is>
          <t>Em Funcionamento Normal</t>
        </is>
      </c>
      <c r="L339" s="4" t="inlineStr">
        <is>
          <t>API interna</t>
        </is>
      </c>
    </row>
    <row r="340">
      <c r="A340" s="4" t="inlineStr">
        <is>
          <t>BTG Pactual</t>
        </is>
      </c>
      <c r="B340" s="4" t="inlineStr">
        <is>
          <t>Solis Antares BTG Seguros Prev FICFIRF CrPr RL</t>
        </is>
      </c>
      <c r="C340" s="4" t="inlineStr">
        <is>
          <t>44.803.556/0001-91</t>
        </is>
      </c>
      <c r="D340" s="4" t="inlineStr">
        <is>
          <t>Previdência RF Duração Livre Crédito Liv</t>
        </is>
      </c>
      <c r="E340" s="4" t="inlineStr">
        <is>
          <t>Renda Fixa</t>
        </is>
      </c>
      <c r="F340" s="4" t="inlineStr">
        <is>
          <t>SOLIS INVESTIMENTOS S A</t>
        </is>
      </c>
      <c r="G340" s="4" t="inlineStr">
        <is>
          <t>Terceiros</t>
        </is>
      </c>
      <c r="H340" s="8" t="n">
        <v>0.9</v>
      </c>
      <c r="I340" s="7" t="n">
        <v>1000</v>
      </c>
      <c r="J340" s="5" t="n">
        <v>22</v>
      </c>
      <c r="K340" s="4" t="inlineStr">
        <is>
          <t>Em Funcionamento Normal</t>
        </is>
      </c>
      <c r="L340" s="4" t="inlineStr">
        <is>
          <t>API interna</t>
        </is>
      </c>
    </row>
    <row r="341">
      <c r="A341" s="4" t="inlineStr">
        <is>
          <t>BTG Pactual</t>
        </is>
      </c>
      <c r="B341" s="4" t="inlineStr">
        <is>
          <t>Itau Flexprev Vertice Optimus Titan Prev FICFIM Access CrPr RL</t>
        </is>
      </c>
      <c r="C341" s="4" t="inlineStr">
        <is>
          <t>44.803.603/0001-05</t>
        </is>
      </c>
      <c r="D341" s="4" t="inlineStr">
        <is>
          <t>Previdência Multimercado Livre</t>
        </is>
      </c>
      <c r="E341" s="4" t="inlineStr">
        <is>
          <t>Multimercado</t>
        </is>
      </c>
      <c r="F341" s="4" t="inlineStr">
        <is>
          <t>BTG PACTUAL GESTÃO E CONSULTORIA DE INVESTIMENTOS LTDA</t>
        </is>
      </c>
      <c r="G341" s="4" t="inlineStr">
        <is>
          <t>Própria</t>
        </is>
      </c>
      <c r="H341" s="8" t="n">
        <v>2</v>
      </c>
      <c r="I341" s="7" t="n">
        <v>1000</v>
      </c>
      <c r="J341" s="5" t="n">
        <v>22</v>
      </c>
      <c r="K341" s="4" t="inlineStr">
        <is>
          <t>Em Funcionamento Normal</t>
        </is>
      </c>
      <c r="L341" s="4" t="inlineStr">
        <is>
          <t>API interna</t>
        </is>
      </c>
    </row>
    <row r="342">
      <c r="A342" s="4" t="inlineStr">
        <is>
          <t>BTG Pactual</t>
        </is>
      </c>
      <c r="B342" s="4" t="inlineStr">
        <is>
          <t>Verde AM Mundi Icatu Prev Qualificado FICFIM RL</t>
        </is>
      </c>
      <c r="C342" s="4" t="inlineStr">
        <is>
          <t>44.983.441/0001-26</t>
        </is>
      </c>
      <c r="D342" s="4" t="inlineStr">
        <is>
          <t>Previdência Multimercado Livre</t>
        </is>
      </c>
      <c r="E342" s="4" t="inlineStr">
        <is>
          <t>Renda Variável</t>
        </is>
      </c>
      <c r="F342" s="4" t="inlineStr">
        <is>
          <t>VERDE ASSET MANAGEMENT S.A.</t>
        </is>
      </c>
      <c r="G342" s="4" t="inlineStr">
        <is>
          <t>Terceiros</t>
        </is>
      </c>
      <c r="H342" s="8" t="n">
        <v>2</v>
      </c>
      <c r="I342" s="7" t="n">
        <v>5000</v>
      </c>
      <c r="J342" s="5" t="n">
        <v>25</v>
      </c>
      <c r="K342" s="4" t="inlineStr">
        <is>
          <t>Em Funcionamento Normal</t>
        </is>
      </c>
      <c r="L342" s="4" t="inlineStr">
        <is>
          <t>API interna</t>
        </is>
      </c>
    </row>
    <row r="343">
      <c r="A343" s="4" t="inlineStr">
        <is>
          <t>BTG Pactual</t>
        </is>
      </c>
      <c r="B343" s="4" t="inlineStr">
        <is>
          <t>Kinea Prev Ipca Dinamico II BTG Pactual FIRF RL</t>
        </is>
      </c>
      <c r="C343" s="4" t="inlineStr">
        <is>
          <t>44.983.621/0001-08</t>
        </is>
      </c>
      <c r="D343" s="4" t="inlineStr">
        <is>
          <t>Previdência RF Duração Livre Crédito Liv</t>
        </is>
      </c>
      <c r="E343" s="4" t="inlineStr">
        <is>
          <t>Renda Fixa</t>
        </is>
      </c>
      <c r="F343" s="4" t="inlineStr">
        <is>
          <t>BTG PACTUAL GESTÃO E CONSULTORIA DE INVESTIMENTOS LTDA</t>
        </is>
      </c>
      <c r="G343" s="4" t="inlineStr">
        <is>
          <t>Própria</t>
        </is>
      </c>
      <c r="H343" s="8" t="n">
        <v>1</v>
      </c>
      <c r="I343" s="7" t="n">
        <v>1000</v>
      </c>
      <c r="J343" s="5" t="n">
        <v>1</v>
      </c>
      <c r="K343" s="4" t="inlineStr">
        <is>
          <t>Em Funcionamento Normal</t>
        </is>
      </c>
      <c r="L343" s="4" t="inlineStr">
        <is>
          <t>API interna</t>
        </is>
      </c>
    </row>
    <row r="344">
      <c r="A344" s="4" t="inlineStr">
        <is>
          <t>BTG Pactual</t>
        </is>
      </c>
      <c r="B344" s="4" t="inlineStr">
        <is>
          <t>Icatu Vanguarda Absoluto Plus Qualificado FIRF Prev CrPr RL</t>
        </is>
      </c>
      <c r="C344" s="4" t="inlineStr">
        <is>
          <t>45.444.101/0001-90</t>
        </is>
      </c>
      <c r="D344" s="4" t="inlineStr">
        <is>
          <t>Previdência RF Duração Livre Crédito Liv</t>
        </is>
      </c>
      <c r="E344" s="4" t="inlineStr">
        <is>
          <t>Renda Fixa</t>
        </is>
      </c>
      <c r="F344" s="4" t="inlineStr">
        <is>
          <t>ICATU VANGUARDA GESTÃO DE RECURSOS LTDA</t>
        </is>
      </c>
      <c r="G344" s="4" t="inlineStr">
        <is>
          <t>Terceiros</t>
        </is>
      </c>
      <c r="H344" s="8" t="n">
        <v>0.73</v>
      </c>
      <c r="I344" s="7" t="n">
        <v>5000</v>
      </c>
      <c r="J344" s="5" t="n">
        <v>21</v>
      </c>
      <c r="K344" s="4" t="inlineStr">
        <is>
          <t>Em Funcionamento Normal</t>
        </is>
      </c>
      <c r="L344" s="4" t="inlineStr">
        <is>
          <t>API interna</t>
        </is>
      </c>
    </row>
    <row r="345">
      <c r="A345" s="4" t="inlineStr">
        <is>
          <t>BTG Pactual</t>
        </is>
      </c>
      <c r="B345" s="4" t="inlineStr">
        <is>
          <t>Vinland RF Ativo FICFIRF Prev RL</t>
        </is>
      </c>
      <c r="C345" s="4" t="inlineStr">
        <is>
          <t>45.599.105/0001-47</t>
        </is>
      </c>
      <c r="D345" s="4" t="inlineStr">
        <is>
          <t>Previdência RF Duração Livre Grau de Inv</t>
        </is>
      </c>
      <c r="E345" s="4" t="inlineStr">
        <is>
          <t>Renda Fixa</t>
        </is>
      </c>
      <c r="F345" s="4" t="inlineStr">
        <is>
          <t>VINLAND CAPITAL MANAGEMENT CRÉDITO PRIVADO GESTORA DE RECURSOS LTDA.</t>
        </is>
      </c>
      <c r="G345" s="4" t="inlineStr">
        <is>
          <t>Terceiros</t>
        </is>
      </c>
      <c r="H345" s="8" t="n">
        <v>0.7000000000000001</v>
      </c>
      <c r="I345" s="7" t="n">
        <v>1000</v>
      </c>
      <c r="J345" s="5" t="n">
        <v>1</v>
      </c>
      <c r="K345" s="4" t="inlineStr">
        <is>
          <t>Em Funcionamento Normal</t>
        </is>
      </c>
      <c r="L345" s="4" t="inlineStr">
        <is>
          <t>API interna</t>
        </is>
      </c>
    </row>
    <row r="346">
      <c r="A346" s="4" t="inlineStr">
        <is>
          <t>BTG Pactual</t>
        </is>
      </c>
      <c r="B346" s="4" t="inlineStr">
        <is>
          <t>Guepardo Icatu Qualificado 100 Prev FIE Tipo 1 FICFIM RL</t>
        </is>
      </c>
      <c r="C346" s="4" t="inlineStr">
        <is>
          <t>45.605.046/0001-72</t>
        </is>
      </c>
      <c r="D346" s="4" t="inlineStr">
        <is>
          <t>Previdência Multimercado Livre</t>
        </is>
      </c>
      <c r="E346" s="4" t="inlineStr">
        <is>
          <t>Renda Variável</t>
        </is>
      </c>
      <c r="F346" s="4" t="inlineStr">
        <is>
          <t>GUEPARDO INVESTIMENTOS LTDA</t>
        </is>
      </c>
      <c r="G346" s="4" t="inlineStr">
        <is>
          <t>Terceiros</t>
        </is>
      </c>
      <c r="H346" s="8" t="n"/>
      <c r="I346" s="7" t="n">
        <v>5000</v>
      </c>
      <c r="J346" s="5" t="n">
        <v>23</v>
      </c>
      <c r="K346" s="4" t="inlineStr">
        <is>
          <t>Em Funcionamento Normal</t>
        </is>
      </c>
      <c r="L346" s="4" t="inlineStr">
        <is>
          <t>API interna</t>
        </is>
      </c>
    </row>
    <row r="347">
      <c r="A347" s="4" t="inlineStr">
        <is>
          <t>BTG Pactual</t>
        </is>
      </c>
      <c r="B347" s="4" t="inlineStr">
        <is>
          <t>Root CAP Cred HG Prev FICFIRF CrPr RL</t>
        </is>
      </c>
      <c r="C347" s="4" t="inlineStr">
        <is>
          <t>46.502.826/0001-50</t>
        </is>
      </c>
      <c r="D347" s="4" t="inlineStr">
        <is>
          <t>Previdência RF Duração Livre Grau de Inv</t>
        </is>
      </c>
      <c r="E347" s="4" t="inlineStr">
        <is>
          <t>Renda Fixa</t>
        </is>
      </c>
      <c r="F347" s="4" t="inlineStr">
        <is>
          <t>ROOT CAPITAL - GESTÃO DE RECURSOS LTDA</t>
        </is>
      </c>
      <c r="G347" s="4" t="inlineStr">
        <is>
          <t>Terceiros</t>
        </is>
      </c>
      <c r="H347" s="8" t="n"/>
      <c r="I347" s="7" t="n">
        <v>1000</v>
      </c>
      <c r="J347" s="5" t="n">
        <v>9</v>
      </c>
      <c r="K347" s="4" t="inlineStr">
        <is>
          <t>Em Funcionamento Normal</t>
        </is>
      </c>
      <c r="L347" s="4" t="inlineStr">
        <is>
          <t>API interna</t>
        </is>
      </c>
    </row>
    <row r="348">
      <c r="A348" s="4" t="inlineStr">
        <is>
          <t>BTG Pactual</t>
        </is>
      </c>
      <c r="B348" s="4" t="inlineStr">
        <is>
          <t>BTG Icatu Vanguarda Absoluto II FIRF Prev CrPr RL</t>
        </is>
      </c>
      <c r="C348" s="4" t="inlineStr">
        <is>
          <t>46.700.364/0001-85</t>
        </is>
      </c>
      <c r="D348" s="4" t="inlineStr">
        <is>
          <t>Previdência RF Duração Livre Crédito Liv</t>
        </is>
      </c>
      <c r="E348" s="4" t="inlineStr">
        <is>
          <t>Renda Fixa</t>
        </is>
      </c>
      <c r="F348" s="4" t="inlineStr">
        <is>
          <t>ICATU VANGUARDA GESTÃO DE RECURSOS LTDA</t>
        </is>
      </c>
      <c r="G348" s="4" t="inlineStr">
        <is>
          <t>Terceiros</t>
        </is>
      </c>
      <c r="H348" s="8" t="n">
        <v>0.8</v>
      </c>
      <c r="I348" s="7" t="n">
        <v>1000</v>
      </c>
      <c r="J348" s="5" t="n">
        <v>10</v>
      </c>
      <c r="K348" s="4" t="inlineStr">
        <is>
          <t>Em Funcionamento Normal</t>
        </is>
      </c>
      <c r="L348" s="4" t="inlineStr">
        <is>
          <t>API interna</t>
        </is>
      </c>
    </row>
    <row r="349">
      <c r="A349" s="4" t="inlineStr">
        <is>
          <t>BTG Pactual</t>
        </is>
      </c>
      <c r="B349" s="4" t="inlineStr">
        <is>
          <t>Dahlia BP Prev Total Return 70 FICFIM RL</t>
        </is>
      </c>
      <c r="C349" s="4" t="inlineStr">
        <is>
          <t>47.212.505/0001-83</t>
        </is>
      </c>
      <c r="D349" s="4" t="inlineStr">
        <is>
          <t>Previdência Multimercado Livre</t>
        </is>
      </c>
      <c r="E349" s="4" t="inlineStr">
        <is>
          <t>Renda Variável</t>
        </is>
      </c>
      <c r="F349" s="4" t="inlineStr">
        <is>
          <t>DAHLIA CAPITAL GESTÃO DE RECURSOS LTDA.</t>
        </is>
      </c>
      <c r="G349" s="4" t="inlineStr">
        <is>
          <t>Terceiros</t>
        </is>
      </c>
      <c r="H349" s="8" t="n">
        <v>1.65</v>
      </c>
      <c r="I349" s="7" t="n">
        <v>1000</v>
      </c>
      <c r="J349" s="5" t="n">
        <v>9</v>
      </c>
      <c r="K349" s="4" t="inlineStr">
        <is>
          <t>Em Funcionamento Normal</t>
        </is>
      </c>
      <c r="L349" s="4" t="inlineStr">
        <is>
          <t>API interna</t>
        </is>
      </c>
    </row>
    <row r="350">
      <c r="A350" s="4" t="inlineStr">
        <is>
          <t>BTG Pactual</t>
        </is>
      </c>
      <c r="B350" s="4" t="inlineStr">
        <is>
          <t>M8 Capital Prev FICFIRF CrPr RL</t>
        </is>
      </c>
      <c r="C350" s="4" t="inlineStr">
        <is>
          <t>47.350.581/0001-55</t>
        </is>
      </c>
      <c r="D350" s="4" t="inlineStr">
        <is>
          <t>Previdência RF Duração Livre Crédito Liv</t>
        </is>
      </c>
      <c r="E350" s="4" t="inlineStr">
        <is>
          <t>Renda Fixa</t>
        </is>
      </c>
      <c r="F350" s="4" t="inlineStr">
        <is>
          <t>M8 PARTNERS GESTORA DE RECURSOS LTDA.</t>
        </is>
      </c>
      <c r="G350" s="4" t="inlineStr">
        <is>
          <t>Terceiros</t>
        </is>
      </c>
      <c r="H350" s="8" t="n"/>
      <c r="I350" s="7" t="n">
        <v>1000</v>
      </c>
      <c r="J350" s="5" t="n">
        <v>9</v>
      </c>
      <c r="K350" s="4" t="inlineStr">
        <is>
          <t>Em Funcionamento Normal</t>
        </is>
      </c>
      <c r="L350" s="4" t="inlineStr">
        <is>
          <t>API interna</t>
        </is>
      </c>
    </row>
    <row r="351">
      <c r="A351" s="4" t="inlineStr">
        <is>
          <t>BTG Pactual</t>
        </is>
      </c>
      <c r="B351" s="4" t="inlineStr">
        <is>
          <t>Empiricus FoF Superprevidencia Multimercados Icatu Prev FIM RL</t>
        </is>
      </c>
      <c r="C351" s="4" t="inlineStr">
        <is>
          <t>47.350.604/0001-21</t>
        </is>
      </c>
      <c r="D351" s="4" t="inlineStr">
        <is>
          <t>Previdência Multimercado Livre</t>
        </is>
      </c>
      <c r="E351" s="4" t="inlineStr">
        <is>
          <t>Multimercado</t>
        </is>
      </c>
      <c r="F351" s="4" t="inlineStr">
        <is>
          <t>BTG PACTUAL GESTÃO E CONSULTORIA DE INVESTIMENTOS LTDA</t>
        </is>
      </c>
      <c r="G351" s="4" t="inlineStr">
        <is>
          <t>Própria</t>
        </is>
      </c>
      <c r="H351" s="8" t="n">
        <v>0.75</v>
      </c>
      <c r="I351" s="7" t="n">
        <v>1000</v>
      </c>
      <c r="J351" s="5" t="n">
        <v>7</v>
      </c>
      <c r="K351" s="4" t="inlineStr">
        <is>
          <t>Em Funcionamento Normal</t>
        </is>
      </c>
      <c r="L351" s="4" t="inlineStr">
        <is>
          <t>API interna</t>
        </is>
      </c>
    </row>
    <row r="352">
      <c r="A352" s="4" t="inlineStr">
        <is>
          <t>BTG Pactual</t>
        </is>
      </c>
      <c r="B352" s="4" t="inlineStr">
        <is>
          <t>Absolute Atenas Prev FIM Access CrPr RL</t>
        </is>
      </c>
      <c r="C352" s="4" t="inlineStr">
        <is>
          <t>47.564.734/0001-67</t>
        </is>
      </c>
      <c r="D352" s="4" t="inlineStr">
        <is>
          <t>Multimercados Livre</t>
        </is>
      </c>
      <c r="E352" s="4" t="inlineStr">
        <is>
          <t>Renda Fixa</t>
        </is>
      </c>
      <c r="F352" s="4" t="inlineStr">
        <is>
          <t>BTG PACTUAL GESTÃO E CONSULTORIA DE INVESTIMENTOS LTDA</t>
        </is>
      </c>
      <c r="G352" s="4" t="inlineStr">
        <is>
          <t>Própria</t>
        </is>
      </c>
      <c r="H352" s="8" t="n">
        <v>0.98</v>
      </c>
      <c r="I352" s="7" t="n">
        <v>1000</v>
      </c>
      <c r="J352" s="5" t="n">
        <v>8</v>
      </c>
      <c r="K352" s="4" t="inlineStr">
        <is>
          <t>Em Funcionamento Normal</t>
        </is>
      </c>
      <c r="L352" s="4" t="inlineStr">
        <is>
          <t>API interna</t>
        </is>
      </c>
    </row>
    <row r="353">
      <c r="A353" s="4" t="inlineStr">
        <is>
          <t>BTG Pactual</t>
        </is>
      </c>
      <c r="B353" s="4" t="inlineStr">
        <is>
          <t>Riza Lotus Prev Fundo Access CrPr RL</t>
        </is>
      </c>
      <c r="C353" s="4" t="inlineStr">
        <is>
          <t>47.564.762/0001-84</t>
        </is>
      </c>
      <c r="D353" s="4" t="inlineStr">
        <is>
          <t>Previdência RF Duração Livre Crédito Liv</t>
        </is>
      </c>
      <c r="E353" s="4" t="inlineStr">
        <is>
          <t>Renda Fixa</t>
        </is>
      </c>
      <c r="F353" s="4" t="inlineStr">
        <is>
          <t>BTG PACTUAL GESTÃO E CONSULTORIA DE INVESTIMENTOS LTDA</t>
        </is>
      </c>
      <c r="G353" s="4" t="inlineStr">
        <is>
          <t>Própria</t>
        </is>
      </c>
      <c r="H353" s="8" t="n"/>
      <c r="I353" s="7" t="n">
        <v>1000</v>
      </c>
      <c r="J353" s="5" t="n">
        <v>8</v>
      </c>
      <c r="K353" s="4" t="inlineStr">
        <is>
          <t>Em Funcionamento Normal</t>
        </is>
      </c>
      <c r="L353" s="4" t="inlineStr">
        <is>
          <t>API interna</t>
        </is>
      </c>
    </row>
    <row r="354">
      <c r="A354" s="4" t="inlineStr">
        <is>
          <t>BTG Pactual</t>
        </is>
      </c>
      <c r="B354" s="4" t="inlineStr">
        <is>
          <t>ARX Denali Prev FIRF Access CrPr RL</t>
        </is>
      </c>
      <c r="C354" s="4" t="inlineStr">
        <is>
          <t>47.564.808/0001-65</t>
        </is>
      </c>
      <c r="D354" s="4" t="inlineStr">
        <is>
          <t>Previdência RF Duração Baixa Grau de Inv</t>
        </is>
      </c>
      <c r="E354" s="4" t="inlineStr">
        <is>
          <t>Renda Fixa</t>
        </is>
      </c>
      <c r="F354" s="4" t="inlineStr">
        <is>
          <t>BTG PACTUAL GESTÃO E CONSULTORIA DE INVESTIMENTOS LTDA</t>
        </is>
      </c>
      <c r="G354" s="4" t="inlineStr">
        <is>
          <t>Própria</t>
        </is>
      </c>
      <c r="H354" s="8" t="n"/>
      <c r="I354" s="7" t="n">
        <v>1000</v>
      </c>
      <c r="J354" s="5" t="n">
        <v>4</v>
      </c>
      <c r="K354" s="4" t="inlineStr">
        <is>
          <t>Em Funcionamento Normal</t>
        </is>
      </c>
      <c r="L354" s="4" t="inlineStr">
        <is>
          <t>API interna</t>
        </is>
      </c>
    </row>
    <row r="355">
      <c r="A355" s="4" t="inlineStr">
        <is>
          <t>BTG Pactual</t>
        </is>
      </c>
      <c r="B355" s="4" t="inlineStr">
        <is>
          <t>Vinci Valorem Prev BP FIM RL</t>
        </is>
      </c>
      <c r="C355" s="4" t="inlineStr">
        <is>
          <t>47.564.846/0001-18</t>
        </is>
      </c>
      <c r="D355" s="4" t="inlineStr">
        <is>
          <t>Previdência Multimercado Livre</t>
        </is>
      </c>
      <c r="E355" s="4" t="inlineStr">
        <is>
          <t>Renda Fixa</t>
        </is>
      </c>
      <c r="F355" s="4" t="inlineStr">
        <is>
          <t>VINCI SOLUÇÕES DE INVESTIMENTOS LTDA</t>
        </is>
      </c>
      <c r="G355" s="4" t="inlineStr">
        <is>
          <t>Terceiros</t>
        </is>
      </c>
      <c r="H355" s="8" t="n">
        <v>1</v>
      </c>
      <c r="I355" s="7" t="n">
        <v>1000</v>
      </c>
      <c r="J355" s="5" t="n">
        <v>2</v>
      </c>
      <c r="K355" s="4" t="inlineStr">
        <is>
          <t>Em Funcionamento Normal</t>
        </is>
      </c>
      <c r="L355" s="4" t="inlineStr">
        <is>
          <t>API interna</t>
        </is>
      </c>
    </row>
    <row r="356">
      <c r="A356" s="4" t="inlineStr">
        <is>
          <t>BTG Pactual</t>
        </is>
      </c>
      <c r="B356" s="4" t="inlineStr">
        <is>
          <t>Bradesco Ultra Prev Access FICFIRF CrPr RL</t>
        </is>
      </c>
      <c r="C356" s="4" t="inlineStr">
        <is>
          <t>47.564.878/0001-13</t>
        </is>
      </c>
      <c r="D356" s="4" t="inlineStr">
        <is>
          <t>Previdência RF Duração Livre Crédito Liv</t>
        </is>
      </c>
      <c r="E356" s="4" t="inlineStr">
        <is>
          <t>Renda Fixa</t>
        </is>
      </c>
      <c r="F356" s="4" t="inlineStr">
        <is>
          <t>BTG PACTUAL GESTÃO E CONSULTORIA DE INVESTIMENTOS LTDA</t>
        </is>
      </c>
      <c r="G356" s="4" t="inlineStr">
        <is>
          <t>Própria</t>
        </is>
      </c>
      <c r="H356" s="8" t="n"/>
      <c r="I356" s="7" t="n">
        <v>1000</v>
      </c>
      <c r="J356" s="5" t="n">
        <v>6</v>
      </c>
      <c r="K356" s="4" t="inlineStr">
        <is>
          <t>Em Funcionamento Normal</t>
        </is>
      </c>
      <c r="L356" s="4" t="inlineStr">
        <is>
          <t>API interna</t>
        </is>
      </c>
    </row>
    <row r="357">
      <c r="A357" s="4" t="inlineStr">
        <is>
          <t>BTG Pactual</t>
        </is>
      </c>
      <c r="B357" s="4" t="inlineStr">
        <is>
          <t>BTG CDB Plus Prev FIM CrPr RL</t>
        </is>
      </c>
      <c r="C357" s="4" t="inlineStr">
        <is>
          <t>47.564.915/0001-93</t>
        </is>
      </c>
      <c r="D357" s="4" t="inlineStr">
        <is>
          <t>Previdência Multimercado Livre</t>
        </is>
      </c>
      <c r="E357" s="4" t="inlineStr">
        <is>
          <t>Renda Fixa</t>
        </is>
      </c>
      <c r="F357" s="4" t="inlineStr">
        <is>
          <t>BTG PACTUAL ASSET MANAGEMENT S/A DTVM</t>
        </is>
      </c>
      <c r="G357" s="4" t="inlineStr">
        <is>
          <t>Própria</t>
        </is>
      </c>
      <c r="H357" s="8" t="n"/>
      <c r="I357" s="7" t="n">
        <v>1000</v>
      </c>
      <c r="J357" s="5" t="n">
        <v>1</v>
      </c>
      <c r="K357" s="4" t="inlineStr">
        <is>
          <t>Em Funcionamento Normal</t>
        </is>
      </c>
      <c r="L357" s="4" t="inlineStr">
        <is>
          <t>API interna</t>
        </is>
      </c>
    </row>
    <row r="358">
      <c r="A358" s="4" t="inlineStr">
        <is>
          <t>BTG Pactual</t>
        </is>
      </c>
      <c r="B358" s="4" t="inlineStr">
        <is>
          <t>Occam BP Prev FIRF CrPr RL</t>
        </is>
      </c>
      <c r="C358" s="4" t="inlineStr">
        <is>
          <t>47.586.503/0001-54</t>
        </is>
      </c>
      <c r="D358" s="4" t="inlineStr">
        <is>
          <t>Previdência Renda Fixa</t>
        </is>
      </c>
      <c r="E358" s="4" t="inlineStr">
        <is>
          <t>Renda Fixa</t>
        </is>
      </c>
      <c r="F358" s="4" t="inlineStr">
        <is>
          <t>NOVA OCCAM BRASIL GESTAO DE RECURSOS LTDA.</t>
        </is>
      </c>
      <c r="G358" s="4" t="inlineStr">
        <is>
          <t>Terceiros</t>
        </is>
      </c>
      <c r="H358" s="8" t="n">
        <v>0.9</v>
      </c>
      <c r="I358" s="7" t="n">
        <v>1000</v>
      </c>
      <c r="J358" s="5" t="n">
        <v>7</v>
      </c>
      <c r="K358" s="4" t="inlineStr">
        <is>
          <t>Em Funcionamento Normal</t>
        </is>
      </c>
      <c r="L358" s="4" t="inlineStr">
        <is>
          <t>API interna</t>
        </is>
      </c>
    </row>
    <row r="359">
      <c r="A359" s="4" t="inlineStr">
        <is>
          <t>BTG Pactual</t>
        </is>
      </c>
      <c r="B359" s="4" t="inlineStr">
        <is>
          <t>AZ Quest Altro Prev FICFIM FIE Access CrPr RL</t>
        </is>
      </c>
      <c r="C359" s="4" t="inlineStr">
        <is>
          <t>47.640.749/0001-67</t>
        </is>
      </c>
      <c r="D359" s="4" t="inlineStr">
        <is>
          <t>Previdência Multimercado Livre</t>
        </is>
      </c>
      <c r="E359" s="4" t="inlineStr">
        <is>
          <t>Renda Fixa</t>
        </is>
      </c>
      <c r="F359" s="4" t="inlineStr">
        <is>
          <t>BTG PACTUAL GESTÃO E CONSULTORIA DE INVESTIMENTOS LTDA</t>
        </is>
      </c>
      <c r="G359" s="4" t="inlineStr">
        <is>
          <t>Própria</t>
        </is>
      </c>
      <c r="H359" s="8" t="n"/>
      <c r="I359" s="7" t="n">
        <v>1000</v>
      </c>
      <c r="J359" s="5" t="n">
        <v>21</v>
      </c>
      <c r="K359" s="4" t="inlineStr">
        <is>
          <t>Em Funcionamento Normal</t>
        </is>
      </c>
      <c r="L359" s="4" t="inlineStr">
        <is>
          <t>API interna</t>
        </is>
      </c>
    </row>
    <row r="360">
      <c r="A360" s="4" t="inlineStr">
        <is>
          <t>BTG Pactual</t>
        </is>
      </c>
      <c r="B360" s="4" t="inlineStr">
        <is>
          <t>ACE Capital Prev Icatu FICFIM RL</t>
        </is>
      </c>
      <c r="C360" s="4" t="inlineStr">
        <is>
          <t>48.212.959/0001-17</t>
        </is>
      </c>
      <c r="D360" s="4" t="inlineStr">
        <is>
          <t>Previdência Multimercado Livre</t>
        </is>
      </c>
      <c r="E360" s="4" t="inlineStr">
        <is>
          <t>Multimercado</t>
        </is>
      </c>
      <c r="F360" s="4" t="inlineStr">
        <is>
          <t>ACE CAPITAL GESTORA DE RECURSOS LTDA.</t>
        </is>
      </c>
      <c r="G360" s="4" t="inlineStr">
        <is>
          <t>Terceiros</t>
        </is>
      </c>
      <c r="H360" s="8" t="n">
        <v>2</v>
      </c>
      <c r="I360" s="7" t="n">
        <v>1500</v>
      </c>
      <c r="J360" s="5" t="n">
        <v>7</v>
      </c>
      <c r="K360" s="4" t="inlineStr">
        <is>
          <t>Em Funcionamento Normal</t>
        </is>
      </c>
      <c r="L360" s="4" t="inlineStr">
        <is>
          <t>API interna</t>
        </is>
      </c>
    </row>
    <row r="361">
      <c r="A361" s="4" t="inlineStr">
        <is>
          <t>BTG Pactual</t>
        </is>
      </c>
      <c r="B361" s="4" t="inlineStr">
        <is>
          <t>More Premium FIE Prev Fundo CrPr RL</t>
        </is>
      </c>
      <c r="C361" s="4" t="inlineStr">
        <is>
          <t>48.701.785/0001-56</t>
        </is>
      </c>
      <c r="D361" s="4" t="inlineStr">
        <is>
          <t>Previdência RF Duração Livre Crédito Liv</t>
        </is>
      </c>
      <c r="E361" s="4" t="inlineStr">
        <is>
          <t>Renda Fixa</t>
        </is>
      </c>
      <c r="F361" s="4" t="inlineStr">
        <is>
          <t>MORE INVEST GESTORA DE RECURSOS LTDA.</t>
        </is>
      </c>
      <c r="G361" s="4" t="inlineStr">
        <is>
          <t>Terceiros</t>
        </is>
      </c>
      <c r="H361" s="8" t="n">
        <v>1.13</v>
      </c>
      <c r="I361" s="7" t="n">
        <v>1000</v>
      </c>
      <c r="J361" s="5" t="n">
        <v>5</v>
      </c>
      <c r="K361" s="4" t="inlineStr">
        <is>
          <t>Em Funcionamento Normal</t>
        </is>
      </c>
      <c r="L361" s="4" t="inlineStr">
        <is>
          <t>API interna</t>
        </is>
      </c>
    </row>
    <row r="362">
      <c r="A362" s="4" t="inlineStr">
        <is>
          <t>BTG Pactual</t>
        </is>
      </c>
      <c r="B362" s="4" t="inlineStr">
        <is>
          <t>Valora BP Prev FICFIRF CrPr RL</t>
        </is>
      </c>
      <c r="C362" s="4" t="inlineStr">
        <is>
          <t>49.627.172/0001-89</t>
        </is>
      </c>
      <c r="D362" s="4" t="inlineStr">
        <is>
          <t>Previdência RF Duração Livre Crédito Liv</t>
        </is>
      </c>
      <c r="E362" s="4" t="inlineStr">
        <is>
          <t>Renda Fixa</t>
        </is>
      </c>
      <c r="F362" s="4" t="inlineStr">
        <is>
          <t>VALORA RENDA FIXA LTDA.</t>
        </is>
      </c>
      <c r="G362" s="4" t="inlineStr">
        <is>
          <t>Terceiros</t>
        </is>
      </c>
      <c r="H362" s="8" t="n">
        <v>1.1</v>
      </c>
      <c r="I362" s="7" t="n">
        <v>1000</v>
      </c>
      <c r="J362" s="5" t="n">
        <v>6</v>
      </c>
      <c r="K362" s="4" t="inlineStr">
        <is>
          <t>Em Funcionamento Normal</t>
        </is>
      </c>
      <c r="L362" s="4" t="inlineStr">
        <is>
          <t>API interna</t>
        </is>
      </c>
    </row>
    <row r="363">
      <c r="A363" s="4" t="inlineStr">
        <is>
          <t>BTG Pactual</t>
        </is>
      </c>
      <c r="B363" s="4" t="inlineStr">
        <is>
          <t>Itau Global Dinamico Prev BP Dist. Fundo RL</t>
        </is>
      </c>
      <c r="C363" s="4" t="inlineStr">
        <is>
          <t>50.235.964/0001-97</t>
        </is>
      </c>
      <c r="D363" s="4" t="inlineStr">
        <is>
          <t>Previdência RF Duração Livre Crédito Liv</t>
        </is>
      </c>
      <c r="E363" s="4" t="inlineStr">
        <is>
          <t>Renda Fixa</t>
        </is>
      </c>
      <c r="F363" s="4" t="inlineStr">
        <is>
          <t>ITAU UNIBANCO ASSET MANAGEMENT LTDA.</t>
        </is>
      </c>
      <c r="G363" s="4" t="inlineStr">
        <is>
          <t>Terceiros</t>
        </is>
      </c>
      <c r="H363" s="8" t="n"/>
      <c r="I363" s="7" t="n">
        <v>1000</v>
      </c>
      <c r="J363" s="5" t="n">
        <v>1</v>
      </c>
      <c r="K363" s="4" t="inlineStr">
        <is>
          <t>Em Funcionamento Normal</t>
        </is>
      </c>
      <c r="L363" s="4" t="inlineStr">
        <is>
          <t>API interna</t>
        </is>
      </c>
    </row>
    <row r="364">
      <c r="A364" s="4" t="inlineStr">
        <is>
          <t>BTG Pactual</t>
        </is>
      </c>
      <c r="B364" s="4" t="inlineStr">
        <is>
          <t>Daemon Ethos Icatu Prev IQ FIE FICFIM</t>
        </is>
      </c>
      <c r="C364" s="4" t="inlineStr">
        <is>
          <t>50.698.062/0001-97</t>
        </is>
      </c>
      <c r="D364" s="4" t="inlineStr">
        <is>
          <t>Previdência Multimercado Livre</t>
        </is>
      </c>
      <c r="E364" s="4" t="inlineStr">
        <is>
          <t>Multimercado</t>
        </is>
      </c>
      <c r="F364" s="4" t="inlineStr">
        <is>
          <t>DAEMON INVESTIMENTOS LTDA.</t>
        </is>
      </c>
      <c r="G364" s="4" t="inlineStr">
        <is>
          <t>Terceiros</t>
        </is>
      </c>
      <c r="H364" s="8" t="n">
        <v>1.5</v>
      </c>
      <c r="I364" s="7" t="n">
        <v>5000</v>
      </c>
      <c r="J364" s="5" t="n">
        <v>10</v>
      </c>
      <c r="K364" s="4" t="inlineStr">
        <is>
          <t>Em Funcionamento Normal</t>
        </is>
      </c>
      <c r="L364" s="4" t="inlineStr">
        <is>
          <t>API interna</t>
        </is>
      </c>
    </row>
    <row r="365">
      <c r="A365" s="4" t="inlineStr">
        <is>
          <t>BTG Pactual</t>
        </is>
      </c>
      <c r="B365" s="4" t="inlineStr">
        <is>
          <t>Tropico Cash Prev Icatu FIE FIM RL</t>
        </is>
      </c>
      <c r="C365" s="4" t="inlineStr">
        <is>
          <t>50.818.438/0001-50</t>
        </is>
      </c>
      <c r="D365" s="4" t="inlineStr">
        <is>
          <t>Previdência Multimercado Livre</t>
        </is>
      </c>
      <c r="E365" s="4" t="inlineStr">
        <is>
          <t>Renda Fixa</t>
        </is>
      </c>
      <c r="F365" s="4" t="inlineStr">
        <is>
          <t>TROPICO INVESTIMENTOS E PARTICIPACOES LTDA</t>
        </is>
      </c>
      <c r="G365" s="4" t="inlineStr">
        <is>
          <t>Terceiros</t>
        </is>
      </c>
      <c r="H365" s="8" t="n"/>
      <c r="I365" s="7" t="n">
        <v>3000</v>
      </c>
      <c r="J365" s="5" t="n">
        <v>9</v>
      </c>
      <c r="K365" s="4" t="inlineStr">
        <is>
          <t>Em Funcionamento Normal</t>
        </is>
      </c>
      <c r="L365" s="4" t="inlineStr">
        <is>
          <t>API interna</t>
        </is>
      </c>
    </row>
    <row r="366">
      <c r="A366" s="4" t="inlineStr">
        <is>
          <t>BTG Pactual</t>
        </is>
      </c>
      <c r="B366" s="4" t="inlineStr">
        <is>
          <t>BTG Pactual Hedge Prev FIM CrPr RL</t>
        </is>
      </c>
      <c r="C366" s="4" t="inlineStr">
        <is>
          <t>50.875.116/0001-42</t>
        </is>
      </c>
      <c r="D366" s="4" t="inlineStr">
        <is>
          <t>Previdência Multimercado Livre</t>
        </is>
      </c>
      <c r="E366" s="4" t="inlineStr">
        <is>
          <t>Renda Fixa</t>
        </is>
      </c>
      <c r="F366" s="4" t="inlineStr">
        <is>
          <t>BTG PACTUAL ASSET MANAGEMENT S/A DTVM</t>
        </is>
      </c>
      <c r="G366" s="4" t="inlineStr">
        <is>
          <t>Própria</t>
        </is>
      </c>
      <c r="H366" s="8" t="n">
        <v>1</v>
      </c>
      <c r="I366" s="7" t="n">
        <v>1000</v>
      </c>
      <c r="J366" s="5" t="n">
        <v>9</v>
      </c>
      <c r="K366" s="4" t="inlineStr">
        <is>
          <t>Em Funcionamento Normal</t>
        </is>
      </c>
      <c r="L366" s="4" t="inlineStr">
        <is>
          <t>API interna</t>
        </is>
      </c>
    </row>
    <row r="367">
      <c r="A367" s="4" t="inlineStr">
        <is>
          <t>BTG Pactual</t>
        </is>
      </c>
      <c r="B367" s="4" t="inlineStr">
        <is>
          <t>BTG Pactual Total Prev FICFIM RL</t>
        </is>
      </c>
      <c r="C367" s="4" t="inlineStr">
        <is>
          <t>50.875.410/0001-54</t>
        </is>
      </c>
      <c r="D367" s="4" t="inlineStr">
        <is>
          <t>Previdência Multimercado Livre</t>
        </is>
      </c>
      <c r="E367" s="4" t="inlineStr">
        <is>
          <t>Multimercado</t>
        </is>
      </c>
      <c r="F367" s="4" t="inlineStr">
        <is>
          <t>BTG PACTUAL ASSET MANAGEMENT S/A DTVM</t>
        </is>
      </c>
      <c r="G367" s="4" t="inlineStr">
        <is>
          <t>Própria</t>
        </is>
      </c>
      <c r="H367" s="8" t="n">
        <v>2</v>
      </c>
      <c r="I367" s="7" t="n">
        <v>1000</v>
      </c>
      <c r="J367" s="5" t="n">
        <v>9</v>
      </c>
      <c r="K367" s="4" t="inlineStr">
        <is>
          <t>Em Funcionamento Normal</t>
        </is>
      </c>
      <c r="L367" s="4" t="inlineStr">
        <is>
          <t>API interna</t>
        </is>
      </c>
    </row>
    <row r="368">
      <c r="A368" s="4" t="inlineStr">
        <is>
          <t>BTG Pactual</t>
        </is>
      </c>
      <c r="B368" s="4" t="inlineStr">
        <is>
          <t>BTG Pactual NTN B 2055 Yield Prev FIRF RL</t>
        </is>
      </c>
      <c r="C368" s="4" t="inlineStr">
        <is>
          <t>50.876.690/0001-15</t>
        </is>
      </c>
      <c r="D368" s="4" t="inlineStr">
        <is>
          <t>Previdência RF Duração Livre Crédito Liv</t>
        </is>
      </c>
      <c r="E368" s="4" t="inlineStr">
        <is>
          <t>Renda Fixa</t>
        </is>
      </c>
      <c r="F368" s="4" t="inlineStr">
        <is>
          <t>BTG PACTUAL ASSET MANAGEMENT S/A DTVM</t>
        </is>
      </c>
      <c r="G368" s="4" t="inlineStr">
        <is>
          <t>Própria</t>
        </is>
      </c>
      <c r="H368" s="8" t="n">
        <v>0.25</v>
      </c>
      <c r="I368" s="7" t="n">
        <v>1000</v>
      </c>
      <c r="J368" s="5" t="n">
        <v>3</v>
      </c>
      <c r="K368" s="4" t="inlineStr">
        <is>
          <t>Em Funcionamento Normal</t>
        </is>
      </c>
      <c r="L368" s="4" t="inlineStr">
        <is>
          <t>API interna</t>
        </is>
      </c>
    </row>
    <row r="369">
      <c r="A369" s="4" t="inlineStr">
        <is>
          <t>BTG Pactual</t>
        </is>
      </c>
      <c r="B369" s="4" t="inlineStr">
        <is>
          <t>Itau Flex Prev Vertice Janeiro FICFIM de FI MM Access RL</t>
        </is>
      </c>
      <c r="C369" s="4" t="inlineStr">
        <is>
          <t>51.102.626/0001-40</t>
        </is>
      </c>
      <c r="D369" s="4" t="inlineStr">
        <is>
          <t>Previdência Multimercado Livre</t>
        </is>
      </c>
      <c r="E369" s="4" t="inlineStr">
        <is>
          <t>Multimercado</t>
        </is>
      </c>
      <c r="F369" s="4" t="inlineStr">
        <is>
          <t>BTG PACTUAL GESTÃO E CONSULTORIA DE INVESTIMENTOS LTDA</t>
        </is>
      </c>
      <c r="G369" s="4" t="inlineStr">
        <is>
          <t>Própria</t>
        </is>
      </c>
      <c r="H369" s="8" t="n">
        <v>2</v>
      </c>
      <c r="I369" s="7" t="n">
        <v>1000</v>
      </c>
      <c r="J369" s="5" t="n">
        <v>22</v>
      </c>
      <c r="K369" s="4" t="inlineStr">
        <is>
          <t>Em Funcionamento Normal</t>
        </is>
      </c>
      <c r="L369" s="4" t="inlineStr">
        <is>
          <t>API interna</t>
        </is>
      </c>
    </row>
    <row r="370">
      <c r="A370" s="4" t="inlineStr">
        <is>
          <t>BTG Pactual</t>
        </is>
      </c>
      <c r="B370" s="4" t="inlineStr">
        <is>
          <t>Vinland Credito P Prev T1 FICFIM CrPr RL</t>
        </is>
      </c>
      <c r="C370" s="4" t="inlineStr">
        <is>
          <t>51.154.059/0001-75</t>
        </is>
      </c>
      <c r="D370" s="4" t="inlineStr">
        <is>
          <t>Previdência Multimercado Livre</t>
        </is>
      </c>
      <c r="E370" s="4" t="inlineStr">
        <is>
          <t>Renda Fixa</t>
        </is>
      </c>
      <c r="F370" s="4" t="inlineStr">
        <is>
          <t>VINLAND CAPITAL MANAGEMENT CRÉDITO PRIVADO GESTORA DE RECURSOS LTDA.</t>
        </is>
      </c>
      <c r="G370" s="4" t="inlineStr">
        <is>
          <t>Terceiros</t>
        </is>
      </c>
      <c r="H370" s="8" t="n">
        <v>0.7000000000000001</v>
      </c>
      <c r="I370" s="7" t="n">
        <v>1000</v>
      </c>
      <c r="J370" s="5" t="n">
        <v>9</v>
      </c>
      <c r="K370" s="4" t="inlineStr">
        <is>
          <t>Em Funcionamento Normal</t>
        </is>
      </c>
      <c r="L370" s="4" t="inlineStr">
        <is>
          <t>API interna</t>
        </is>
      </c>
    </row>
    <row r="371">
      <c r="A371" s="4" t="inlineStr">
        <is>
          <t>BTG Pactual</t>
        </is>
      </c>
      <c r="B371" s="4" t="inlineStr">
        <is>
          <t>MAG Prev Cash FICFIRF Access RL</t>
        </is>
      </c>
      <c r="C371" s="4" t="inlineStr">
        <is>
          <t>51.168.372/0001-62</t>
        </is>
      </c>
      <c r="D371" s="4" t="inlineStr">
        <is>
          <t>Previdência RF Duração Livre Crédito Liv</t>
        </is>
      </c>
      <c r="E371" s="4" t="inlineStr">
        <is>
          <t>Renda Fixa</t>
        </is>
      </c>
      <c r="F371" s="4" t="inlineStr">
        <is>
          <t>BTG PACTUAL GESTÃO E CONSULTORIA DE INVESTIMENTOS LTDA</t>
        </is>
      </c>
      <c r="G371" s="4" t="inlineStr">
        <is>
          <t>Própria</t>
        </is>
      </c>
      <c r="H371" s="8" t="n">
        <v>0.8</v>
      </c>
      <c r="I371" s="7" t="n">
        <v>1000</v>
      </c>
      <c r="J371" s="5" t="n">
        <v>1</v>
      </c>
      <c r="K371" s="4" t="inlineStr">
        <is>
          <t>Em Funcionamento Normal</t>
        </is>
      </c>
      <c r="L371" s="4" t="inlineStr">
        <is>
          <t>API interna</t>
        </is>
      </c>
    </row>
    <row r="372">
      <c r="A372" s="4" t="inlineStr">
        <is>
          <t>BTG Pactual</t>
        </is>
      </c>
      <c r="B372" s="4" t="inlineStr">
        <is>
          <t>Opportunity BTG Prev FICFIM RL</t>
        </is>
      </c>
      <c r="C372" s="4" t="inlineStr">
        <is>
          <t>51.179.623/0001-04</t>
        </is>
      </c>
      <c r="D372" s="4" t="inlineStr">
        <is>
          <t>Previdência Multimercado Livre</t>
        </is>
      </c>
      <c r="E372" s="4" t="inlineStr">
        <is>
          <t>Multimercado</t>
        </is>
      </c>
      <c r="F372" s="4" t="inlineStr">
        <is>
          <t>OPPORTUNITY GESTÃO DE INVESTIMENTOS E RECURSOS LTDA</t>
        </is>
      </c>
      <c r="G372" s="4" t="inlineStr">
        <is>
          <t>Terceiros</t>
        </is>
      </c>
      <c r="H372" s="8" t="n">
        <v>2</v>
      </c>
      <c r="I372" s="7" t="n">
        <v>1000</v>
      </c>
      <c r="J372" s="5" t="n">
        <v>10</v>
      </c>
      <c r="K372" s="4" t="inlineStr">
        <is>
          <t>Em Funcionamento Normal</t>
        </is>
      </c>
      <c r="L372" s="4" t="inlineStr">
        <is>
          <t>API interna</t>
        </is>
      </c>
    </row>
    <row r="373">
      <c r="A373" s="4" t="inlineStr">
        <is>
          <t>BTG Pactual</t>
        </is>
      </c>
      <c r="B373" s="4" t="inlineStr">
        <is>
          <t>Encore Long Bias BTG Prev 100 Prev FICFIM Access RL</t>
        </is>
      </c>
      <c r="C373" s="4" t="inlineStr">
        <is>
          <t>51.389.615/0001-92</t>
        </is>
      </c>
      <c r="D373" s="4" t="inlineStr">
        <is>
          <t>Previdência Multimercado Livre</t>
        </is>
      </c>
      <c r="E373" s="4" t="inlineStr">
        <is>
          <t>Renda Variável</t>
        </is>
      </c>
      <c r="F373" s="4" t="inlineStr">
        <is>
          <t>BTG PACTUAL GESTÃO E CONSULTORIA DE INVESTIMENTOS LTDA</t>
        </is>
      </c>
      <c r="G373" s="4" t="inlineStr">
        <is>
          <t>Própria</t>
        </is>
      </c>
      <c r="H373" s="8" t="n"/>
      <c r="I373" s="7" t="n">
        <v>1000</v>
      </c>
      <c r="J373" s="5" t="n">
        <v>22</v>
      </c>
      <c r="K373" s="4" t="inlineStr">
        <is>
          <t>Em Funcionamento Normal</t>
        </is>
      </c>
      <c r="L373" s="4" t="inlineStr">
        <is>
          <t>API interna</t>
        </is>
      </c>
    </row>
    <row r="374">
      <c r="A374" s="4" t="inlineStr">
        <is>
          <t>BTG Pactual</t>
        </is>
      </c>
      <c r="B374" s="4" t="inlineStr">
        <is>
          <t>Safra Vitesse Prev FICFIRF Access CrPr RL</t>
        </is>
      </c>
      <c r="C374" s="4" t="inlineStr">
        <is>
          <t>51.623.929/0001-08</t>
        </is>
      </c>
      <c r="D374" s="4" t="inlineStr">
        <is>
          <t>Previdência RF Duração Livre Crédito Liv</t>
        </is>
      </c>
      <c r="E374" s="4" t="inlineStr">
        <is>
          <t>Renda Fixa</t>
        </is>
      </c>
      <c r="F374" s="4" t="inlineStr">
        <is>
          <t>BTG PACTUAL GESTÃO E CONSULTORIA DE INVESTIMENTOS LTDA</t>
        </is>
      </c>
      <c r="G374" s="4" t="inlineStr">
        <is>
          <t>Própria</t>
        </is>
      </c>
      <c r="H374" s="8" t="n"/>
      <c r="I374" s="7" t="n">
        <v>1000</v>
      </c>
      <c r="J374" s="5" t="n">
        <v>1</v>
      </c>
      <c r="K374" s="4" t="inlineStr">
        <is>
          <t>Em Funcionamento Normal</t>
        </is>
      </c>
      <c r="L374" s="4" t="inlineStr">
        <is>
          <t>API interna</t>
        </is>
      </c>
    </row>
    <row r="375">
      <c r="A375" s="4" t="inlineStr">
        <is>
          <t>BTG Pactual</t>
        </is>
      </c>
      <c r="B375" s="4" t="inlineStr">
        <is>
          <t>Porto Selection Prev FICFIRF FIE 1 CrPr RL</t>
        </is>
      </c>
      <c r="C375" s="4" t="inlineStr">
        <is>
          <t>51.639.846/0001-07</t>
        </is>
      </c>
      <c r="D375" s="4" t="inlineStr">
        <is>
          <t>Previdência RF Duração Média Crédito Liv</t>
        </is>
      </c>
      <c r="E375" s="4" t="inlineStr">
        <is>
          <t>Renda Fixa</t>
        </is>
      </c>
      <c r="F375" s="4" t="inlineStr">
        <is>
          <t>PORTO SEGURO INVESTIMENTOS LTDA</t>
        </is>
      </c>
      <c r="G375" s="4" t="inlineStr">
        <is>
          <t>Terceiros</t>
        </is>
      </c>
      <c r="H375" s="8" t="n">
        <v>0.7000000000000001</v>
      </c>
      <c r="I375" s="7" t="n">
        <v>1000</v>
      </c>
      <c r="J375" s="5" t="n">
        <v>1</v>
      </c>
      <c r="K375" s="4" t="inlineStr">
        <is>
          <t>Em Funcionamento Normal</t>
        </is>
      </c>
      <c r="L375" s="4" t="inlineStr">
        <is>
          <t>API interna</t>
        </is>
      </c>
    </row>
    <row r="376">
      <c r="A376" s="4" t="inlineStr">
        <is>
          <t>BTG Pactual</t>
        </is>
      </c>
      <c r="B376" s="4" t="inlineStr">
        <is>
          <t>3R Genus Hedge Prev FIM RL</t>
        </is>
      </c>
      <c r="C376" s="4" t="inlineStr">
        <is>
          <t>51.694.298/0001-18</t>
        </is>
      </c>
      <c r="D376" s="4" t="inlineStr">
        <is>
          <t>Previdência Multimercado Livre</t>
        </is>
      </c>
      <c r="E376" s="4" t="inlineStr">
        <is>
          <t>Renda Variável</t>
        </is>
      </c>
      <c r="F376" s="4" t="inlineStr">
        <is>
          <t>3R GESTORA DE RECURSOS LTDA</t>
        </is>
      </c>
      <c r="G376" s="4" t="inlineStr">
        <is>
          <t>Terceiros</t>
        </is>
      </c>
      <c r="H376" s="8" t="n"/>
      <c r="I376" s="7" t="n">
        <v>1000</v>
      </c>
      <c r="J376" s="5" t="n">
        <v>4</v>
      </c>
      <c r="K376" s="4" t="inlineStr">
        <is>
          <t>Em Funcionamento Normal</t>
        </is>
      </c>
      <c r="L376" s="4" t="inlineStr">
        <is>
          <t>API interna</t>
        </is>
      </c>
    </row>
    <row r="377">
      <c r="A377" s="4" t="inlineStr">
        <is>
          <t>BTG Pactual</t>
        </is>
      </c>
      <c r="B377" s="4" t="inlineStr">
        <is>
          <t>Adam Icatu RF Ativa Prev FICFIRF LP RL</t>
        </is>
      </c>
      <c r="C377" s="4" t="inlineStr">
        <is>
          <t>52.091.995/0001-47</t>
        </is>
      </c>
      <c r="D377" s="4" t="inlineStr">
        <is>
          <t>Previdência RF Duração Livre Grau de Inv</t>
        </is>
      </c>
      <c r="E377" s="4" t="inlineStr">
        <is>
          <t>Renda Fixa</t>
        </is>
      </c>
      <c r="F377" s="4" t="inlineStr">
        <is>
          <t>ADAMCAPITAL GESTÃO DE RECURSOS LTDA.</t>
        </is>
      </c>
      <c r="G377" s="4" t="inlineStr">
        <is>
          <t>Terceiros</t>
        </is>
      </c>
      <c r="H377" s="8" t="n">
        <v>0.9</v>
      </c>
      <c r="I377" s="7" t="n">
        <v>1500</v>
      </c>
      <c r="J377" s="5" t="n">
        <v>6</v>
      </c>
      <c r="K377" s="4" t="inlineStr">
        <is>
          <t>Em Funcionamento Normal</t>
        </is>
      </c>
      <c r="L377" s="4" t="inlineStr">
        <is>
          <t>API interna</t>
        </is>
      </c>
    </row>
    <row r="378">
      <c r="A378" s="4" t="inlineStr">
        <is>
          <t>BTG Pactual</t>
        </is>
      </c>
      <c r="B378" s="4" t="inlineStr">
        <is>
          <t>BTG Alocacao Global Cred Prev FIM CrPr RL</t>
        </is>
      </c>
      <c r="C378" s="4" t="inlineStr">
        <is>
          <t>52.279.451/0001-03</t>
        </is>
      </c>
      <c r="D378" s="4" t="inlineStr">
        <is>
          <t>Previdência Multimercado Livre</t>
        </is>
      </c>
      <c r="E378" s="4" t="inlineStr">
        <is>
          <t>Multimercado</t>
        </is>
      </c>
      <c r="F378" s="4" t="inlineStr">
        <is>
          <t>BTG PACTUAL ASSET MANAGEMENT S/A DTVM</t>
        </is>
      </c>
      <c r="G378" s="4" t="inlineStr">
        <is>
          <t>Própria</t>
        </is>
      </c>
      <c r="H378" s="8" t="n"/>
      <c r="I378" s="7" t="n">
        <v>1000</v>
      </c>
      <c r="J378" s="5" t="n">
        <v>8</v>
      </c>
      <c r="K378" s="4" t="inlineStr">
        <is>
          <t>Em Funcionamento Normal</t>
        </is>
      </c>
      <c r="L378" s="4" t="inlineStr">
        <is>
          <t>API interna</t>
        </is>
      </c>
    </row>
    <row r="379">
      <c r="A379" s="4" t="inlineStr">
        <is>
          <t>BTG Pactual</t>
        </is>
      </c>
      <c r="B379" s="4" t="inlineStr">
        <is>
          <t>Kinea Dakar BP Prev FIRF</t>
        </is>
      </c>
      <c r="C379" s="4" t="inlineStr">
        <is>
          <t>52.856.535/0001-62</t>
        </is>
      </c>
      <c r="D379" s="4" t="inlineStr">
        <is>
          <t>Previdência RF Duração Livre Crédito Liv</t>
        </is>
      </c>
      <c r="E379" s="4" t="inlineStr">
        <is>
          <t>Renda Fixa</t>
        </is>
      </c>
      <c r="F379" s="4" t="inlineStr">
        <is>
          <t>BTG PACTUAL GESTÃO E CONSULTORIA DE INVESTIMENTOS LTDA</t>
        </is>
      </c>
      <c r="G379" s="4" t="inlineStr">
        <is>
          <t>Própria</t>
        </is>
      </c>
      <c r="H379" s="8" t="n">
        <v>0.9</v>
      </c>
      <c r="I379" s="7" t="n">
        <v>1000</v>
      </c>
      <c r="J379" s="5" t="n">
        <v>1</v>
      </c>
      <c r="K379" s="4" t="inlineStr">
        <is>
          <t>Em Funcionamento Normal</t>
        </is>
      </c>
      <c r="L379" s="4" t="inlineStr">
        <is>
          <t>API interna</t>
        </is>
      </c>
    </row>
    <row r="380">
      <c r="A380" s="4" t="inlineStr">
        <is>
          <t>BTG Pactual</t>
        </is>
      </c>
      <c r="B380" s="4" t="inlineStr">
        <is>
          <t>Zermatt Prev FIM CrPr RL</t>
        </is>
      </c>
      <c r="C380" s="4" t="inlineStr">
        <is>
          <t>52.900.509/0001-94</t>
        </is>
      </c>
      <c r="D380" s="4" t="inlineStr">
        <is>
          <t>Previdência Multimercado Livre</t>
        </is>
      </c>
      <c r="E380" s="4" t="inlineStr">
        <is>
          <t>Renda Fixa</t>
        </is>
      </c>
      <c r="F380" s="4" t="inlineStr">
        <is>
          <t>PATRIMONIAL GESTÃO DE RECURSOS LTDA.</t>
        </is>
      </c>
      <c r="G380" s="4" t="inlineStr">
        <is>
          <t>Terceiros</t>
        </is>
      </c>
      <c r="H380" s="8" t="n">
        <v>1</v>
      </c>
      <c r="I380" s="7" t="n">
        <v>1000</v>
      </c>
      <c r="J380" s="5" t="n">
        <v>9</v>
      </c>
      <c r="K380" s="4" t="inlineStr">
        <is>
          <t>Em Funcionamento Normal</t>
        </is>
      </c>
      <c r="L380" s="4" t="inlineStr">
        <is>
          <t>API interna</t>
        </is>
      </c>
    </row>
    <row r="381">
      <c r="A381" s="4" t="inlineStr">
        <is>
          <t>BTG Pactual</t>
        </is>
      </c>
      <c r="B381" s="4" t="inlineStr">
        <is>
          <t>Artesanal Prev FIM RL</t>
        </is>
      </c>
      <c r="C381" s="4" t="inlineStr">
        <is>
          <t>53.497.497/0001-61</t>
        </is>
      </c>
      <c r="D381" s="4" t="inlineStr">
        <is>
          <t>Previdência Multimercado Livre</t>
        </is>
      </c>
      <c r="E381" s="4" t="inlineStr">
        <is>
          <t>Multimercado</t>
        </is>
      </c>
      <c r="F381" s="4" t="inlineStr">
        <is>
          <t>ARTESANAL INVESTIMENTOS LTDA</t>
        </is>
      </c>
      <c r="G381" s="4" t="inlineStr">
        <is>
          <t>Terceiros</t>
        </is>
      </c>
      <c r="H381" s="8" t="n"/>
      <c r="I381" s="7" t="n">
        <v>100</v>
      </c>
      <c r="J381" s="5" t="n">
        <v>10</v>
      </c>
      <c r="K381" s="4" t="inlineStr">
        <is>
          <t>Em Funcionamento Normal</t>
        </is>
      </c>
      <c r="L381" s="4" t="inlineStr">
        <is>
          <t>API interna</t>
        </is>
      </c>
    </row>
    <row r="382">
      <c r="A382" s="4" t="inlineStr">
        <is>
          <t>BTG Pactual</t>
        </is>
      </c>
      <c r="B382" s="4" t="inlineStr">
        <is>
          <t>Dahlia Total Return BP Prev FICFIM RL</t>
        </is>
      </c>
      <c r="C382" s="4" t="inlineStr">
        <is>
          <t>53.675.501/0001-34</t>
        </is>
      </c>
      <c r="D382" s="4" t="inlineStr">
        <is>
          <t>Previdência Multimercado Livre</t>
        </is>
      </c>
      <c r="E382" s="4" t="inlineStr">
        <is>
          <t>Renda Variável</t>
        </is>
      </c>
      <c r="F382" s="4" t="inlineStr">
        <is>
          <t>DAHLIA CAPITAL GESTÃO DE RECURSOS LTDA.</t>
        </is>
      </c>
      <c r="G382" s="4" t="inlineStr">
        <is>
          <t>Terceiros</t>
        </is>
      </c>
      <c r="H382" s="8" t="n">
        <v>0.75</v>
      </c>
      <c r="I382" s="7" t="n">
        <v>1000</v>
      </c>
      <c r="J382" s="5" t="n">
        <v>9</v>
      </c>
      <c r="K382" s="4" t="inlineStr">
        <is>
          <t>Em Funcionamento Normal</t>
        </is>
      </c>
      <c r="L382" s="4" t="inlineStr">
        <is>
          <t>API interna</t>
        </is>
      </c>
    </row>
    <row r="383">
      <c r="A383" s="4" t="inlineStr">
        <is>
          <t>BTG Pactual</t>
        </is>
      </c>
      <c r="B383" s="4" t="inlineStr">
        <is>
          <t>Atena Prev FICFIRF FIE 1 CrPr RL</t>
        </is>
      </c>
      <c r="C383" s="4" t="inlineStr">
        <is>
          <t>53.798.822/0001-26</t>
        </is>
      </c>
      <c r="D383" s="4" t="inlineStr">
        <is>
          <t>Previdência RF Duração Livre Crédito Liv</t>
        </is>
      </c>
      <c r="E383" s="4" t="inlineStr">
        <is>
          <t>Renda Fixa</t>
        </is>
      </c>
      <c r="F383" s="4" t="inlineStr">
        <is>
          <t>ATENA CAPITAL GESTÃO DE RECURSOS LTDA.</t>
        </is>
      </c>
      <c r="G383" s="4" t="inlineStr">
        <is>
          <t>Terceiros</t>
        </is>
      </c>
      <c r="H383" s="8" t="n"/>
      <c r="I383" s="7" t="n">
        <v>1000</v>
      </c>
      <c r="J383" s="5" t="n">
        <v>9</v>
      </c>
      <c r="K383" s="4" t="inlineStr">
        <is>
          <t>Em Funcionamento Normal</t>
        </is>
      </c>
      <c r="L383" s="4" t="inlineStr">
        <is>
          <t>API interna</t>
        </is>
      </c>
    </row>
    <row r="384">
      <c r="A384" s="4" t="inlineStr">
        <is>
          <t>BTG Pactual</t>
        </is>
      </c>
      <c r="B384" s="4" t="inlineStr">
        <is>
          <t>Tyton Credito Prev FIM CrPr RL</t>
        </is>
      </c>
      <c r="C384" s="4" t="inlineStr">
        <is>
          <t>53.847.333/0001-17</t>
        </is>
      </c>
      <c r="D384" s="4" t="inlineStr">
        <is>
          <t>Previdência Multimercado Livre</t>
        </is>
      </c>
      <c r="E384" s="4" t="inlineStr">
        <is>
          <t>Renda Fixa</t>
        </is>
      </c>
      <c r="F384" s="4" t="inlineStr">
        <is>
          <t>TYTON CAPITAL INVESTIMENTOS LTDA.</t>
        </is>
      </c>
      <c r="G384" s="4" t="inlineStr">
        <is>
          <t>Terceiros</t>
        </is>
      </c>
      <c r="H384" s="8" t="n"/>
      <c r="I384" s="7" t="n">
        <v>1000</v>
      </c>
      <c r="J384" s="5" t="n">
        <v>9</v>
      </c>
      <c r="K384" s="4" t="inlineStr">
        <is>
          <t>Em Funcionamento Normal</t>
        </is>
      </c>
      <c r="L384" s="4" t="inlineStr">
        <is>
          <t>API interna</t>
        </is>
      </c>
    </row>
    <row r="385">
      <c r="A385" s="4" t="inlineStr">
        <is>
          <t>BTG Pactual</t>
        </is>
      </c>
      <c r="B385" s="4" t="inlineStr">
        <is>
          <t>Root Capital HY BTG Prev FICFIRF CrPr RL</t>
        </is>
      </c>
      <c r="C385" s="4" t="inlineStr">
        <is>
          <t>54.142.143/0001-67</t>
        </is>
      </c>
      <c r="D385" s="4" t="inlineStr">
        <is>
          <t>Previdência RF Duração Livre Crédito Liv</t>
        </is>
      </c>
      <c r="E385" s="4" t="inlineStr">
        <is>
          <t>Renda Fixa</t>
        </is>
      </c>
      <c r="F385" s="4" t="inlineStr">
        <is>
          <t>ROOT CAPITAL - GESTÃO DE RECURSOS LTDA</t>
        </is>
      </c>
      <c r="G385" s="4" t="inlineStr">
        <is>
          <t>Terceiros</t>
        </is>
      </c>
      <c r="H385" s="8" t="n">
        <v>1.45</v>
      </c>
      <c r="I385" s="7" t="n">
        <v>1000</v>
      </c>
      <c r="J385" s="5" t="n">
        <v>180</v>
      </c>
      <c r="K385" s="4" t="inlineStr">
        <is>
          <t>Em Funcionamento Normal</t>
        </is>
      </c>
      <c r="L385" s="4" t="inlineStr">
        <is>
          <t>API interna</t>
        </is>
      </c>
    </row>
    <row r="386">
      <c r="A386" s="4" t="inlineStr">
        <is>
          <t>BTG Pactual</t>
        </is>
      </c>
      <c r="B386" s="4" t="inlineStr">
        <is>
          <t>Kadima Imab Prev FICFIM Access RL</t>
        </is>
      </c>
      <c r="C386" s="4" t="inlineStr">
        <is>
          <t>54.174.638/0001-78</t>
        </is>
      </c>
      <c r="D386" s="4" t="inlineStr">
        <is>
          <t>Previdência Multimercado Livre</t>
        </is>
      </c>
      <c r="E386" s="4" t="inlineStr">
        <is>
          <t>Renda Fixa</t>
        </is>
      </c>
      <c r="F386" s="4" t="inlineStr">
        <is>
          <t>BTG PACTUAL GESTÃO E CONSULTORIA DE INVESTIMENTOS LTDA</t>
        </is>
      </c>
      <c r="G386" s="4" t="inlineStr">
        <is>
          <t>Própria</t>
        </is>
      </c>
      <c r="H386" s="8" t="n"/>
      <c r="I386" s="7" t="n">
        <v>0</v>
      </c>
      <c r="J386" s="5" t="n">
        <v>6</v>
      </c>
      <c r="K386" s="4" t="inlineStr">
        <is>
          <t>Em Funcionamento Normal</t>
        </is>
      </c>
      <c r="L386" s="4" t="inlineStr">
        <is>
          <t>API interna</t>
        </is>
      </c>
    </row>
    <row r="387">
      <c r="A387" s="4" t="inlineStr">
        <is>
          <t>BTG Pactual</t>
        </is>
      </c>
      <c r="B387" s="4" t="inlineStr">
        <is>
          <t>BTG Pactual NTN B 2045 Yield Prev FIRF RL</t>
        </is>
      </c>
      <c r="C387" s="4" t="inlineStr">
        <is>
          <t>54.248.765/0001-74</t>
        </is>
      </c>
      <c r="D387" s="4" t="inlineStr">
        <is>
          <t>Previdência RF Duração Livre Grau de Inv</t>
        </is>
      </c>
      <c r="E387" s="4" t="inlineStr">
        <is>
          <t>Renda Fixa</t>
        </is>
      </c>
      <c r="F387" s="4" t="inlineStr">
        <is>
          <t>BTG PACTUAL ASSET MANAGEMENT S/A DTVM</t>
        </is>
      </c>
      <c r="G387" s="4" t="inlineStr">
        <is>
          <t>Própria</t>
        </is>
      </c>
      <c r="H387" s="8" t="n"/>
      <c r="I387" s="7" t="n">
        <v>1000</v>
      </c>
      <c r="J387" s="5" t="n">
        <v>3</v>
      </c>
      <c r="K387" s="4" t="inlineStr">
        <is>
          <t>Em Funcionamento Normal</t>
        </is>
      </c>
      <c r="L387" s="4" t="inlineStr">
        <is>
          <t>API interna</t>
        </is>
      </c>
    </row>
    <row r="388">
      <c r="A388" s="4" t="inlineStr">
        <is>
          <t>BTG Pactual</t>
        </is>
      </c>
      <c r="B388" s="4" t="inlineStr">
        <is>
          <t>Itau Vertice Janeiro Prev FIF FIC FIRF Access</t>
        </is>
      </c>
      <c r="C388" s="4" t="inlineStr">
        <is>
          <t>54.254.287/0001-05</t>
        </is>
      </c>
      <c r="D388" s="4" t="inlineStr">
        <is>
          <t>Previdência RF Duração Livre Crédito Liv</t>
        </is>
      </c>
      <c r="E388" s="4" t="inlineStr">
        <is>
          <t>Renda Fixa</t>
        </is>
      </c>
      <c r="F388" s="4" t="inlineStr">
        <is>
          <t>BTG PACTUAL GESTÃO E CONSULTORIA DE INVESTIMENTOS LTDA</t>
        </is>
      </c>
      <c r="G388" s="4" t="inlineStr">
        <is>
          <t>Própria</t>
        </is>
      </c>
      <c r="H388" s="8" t="n">
        <v>0.9</v>
      </c>
      <c r="I388" s="7" t="n">
        <v>0</v>
      </c>
      <c r="J388" s="5" t="n">
        <v>1</v>
      </c>
      <c r="K388" s="4" t="inlineStr">
        <is>
          <t>Em Funcionamento Normal</t>
        </is>
      </c>
      <c r="L388" s="4" t="inlineStr">
        <is>
          <t>API interna</t>
        </is>
      </c>
    </row>
    <row r="389">
      <c r="A389" s="4" t="inlineStr">
        <is>
          <t>BTG Pactual</t>
        </is>
      </c>
      <c r="B389" s="4" t="inlineStr">
        <is>
          <t>BTG Cred Corp OAK3 Global Prev FIE FIM CrPr RL</t>
        </is>
      </c>
      <c r="C389" s="4" t="inlineStr">
        <is>
          <t>54.304.610/0001-08</t>
        </is>
      </c>
      <c r="D389" s="4" t="inlineStr">
        <is>
          <t>Previdência Multimercado Livre</t>
        </is>
      </c>
      <c r="E389" s="4" t="inlineStr">
        <is>
          <t>Renda Fixa</t>
        </is>
      </c>
      <c r="F389" s="4" t="inlineStr">
        <is>
          <t>BTG PACTUAL ASSET MANAGEMENT S/A DTVM</t>
        </is>
      </c>
      <c r="G389" s="4" t="inlineStr">
        <is>
          <t>Própria</t>
        </is>
      </c>
      <c r="H389" s="8" t="n"/>
      <c r="I389" s="7" t="n">
        <v>1000</v>
      </c>
      <c r="J389" s="5" t="n">
        <v>12</v>
      </c>
      <c r="K389" s="4" t="inlineStr">
        <is>
          <t>Em Funcionamento Normal</t>
        </is>
      </c>
      <c r="L389" s="4" t="inlineStr">
        <is>
          <t>API interna</t>
        </is>
      </c>
    </row>
    <row r="390">
      <c r="A390" s="4" t="inlineStr">
        <is>
          <t>BTG Pactual</t>
        </is>
      </c>
      <c r="B390" s="4" t="inlineStr">
        <is>
          <t>Itau Sinfonia Prev FICFIM Access CrPr RL</t>
        </is>
      </c>
      <c r="C390" s="4" t="inlineStr">
        <is>
          <t>54.304.929/0001-33</t>
        </is>
      </c>
      <c r="D390" s="4" t="inlineStr">
        <is>
          <t>Previdência Multimercado Livre</t>
        </is>
      </c>
      <c r="E390" s="4" t="inlineStr">
        <is>
          <t>Renda Fixa</t>
        </is>
      </c>
      <c r="F390" s="4" t="inlineStr">
        <is>
          <t>BTG PACTUAL GESTÃO E CONSULTORIA DE INVESTIMENTOS LTDA</t>
        </is>
      </c>
      <c r="G390" s="4" t="inlineStr">
        <is>
          <t>Própria</t>
        </is>
      </c>
      <c r="H390" s="8" t="n">
        <v>0.64</v>
      </c>
      <c r="I390" s="7" t="n">
        <v>1000</v>
      </c>
      <c r="J390" s="5" t="n">
        <v>10</v>
      </c>
      <c r="K390" s="4" t="inlineStr">
        <is>
          <t>Em Funcionamento Normal</t>
        </is>
      </c>
      <c r="L390" s="4" t="inlineStr">
        <is>
          <t>API interna</t>
        </is>
      </c>
    </row>
    <row r="391">
      <c r="A391" s="4" t="inlineStr">
        <is>
          <t>BTG Pactual</t>
        </is>
      </c>
      <c r="B391" s="4" t="inlineStr">
        <is>
          <t>BTG Pactual Ipca Curta Prev FICFIRF CrPr RL</t>
        </is>
      </c>
      <c r="C391" s="4" t="inlineStr">
        <is>
          <t>54.305.132/0001-50</t>
        </is>
      </c>
      <c r="D391" s="4" t="inlineStr">
        <is>
          <t>Previdência RF Duração Livre Crédito Liv</t>
        </is>
      </c>
      <c r="E391" s="4" t="inlineStr">
        <is>
          <t>Renda Fixa</t>
        </is>
      </c>
      <c r="F391" s="4" t="inlineStr">
        <is>
          <t>BTG PACTUAL ASSET MANAGEMENT S/A DTVM</t>
        </is>
      </c>
      <c r="G391" s="4" t="inlineStr">
        <is>
          <t>Própria</t>
        </is>
      </c>
      <c r="H391" s="8" t="n">
        <v>0.35</v>
      </c>
      <c r="I391" s="7" t="n">
        <v>0</v>
      </c>
      <c r="J391" s="5" t="n">
        <v>1</v>
      </c>
      <c r="K391" s="4" t="inlineStr">
        <is>
          <t>Em Funcionamento Normal</t>
        </is>
      </c>
      <c r="L391" s="4" t="inlineStr">
        <is>
          <t>API interna</t>
        </is>
      </c>
    </row>
    <row r="392">
      <c r="A392" s="4" t="inlineStr">
        <is>
          <t>BTG Pactual</t>
        </is>
      </c>
      <c r="B392" s="4" t="inlineStr">
        <is>
          <t>Artica Prev FIM RL</t>
        </is>
      </c>
      <c r="C392" s="4" t="inlineStr">
        <is>
          <t>54.347.632/0001-55</t>
        </is>
      </c>
      <c r="D392" s="4" t="inlineStr">
        <is>
          <t>Previdência Multimercado Livre</t>
        </is>
      </c>
      <c r="E392" s="4" t="inlineStr">
        <is>
          <t>Renda Variável</t>
        </is>
      </c>
      <c r="F392" s="4" t="inlineStr">
        <is>
          <t>ARTICA GESTÃO DE RECURSOS LTDA</t>
        </is>
      </c>
      <c r="G392" s="4" t="inlineStr">
        <is>
          <t>Terceiros</t>
        </is>
      </c>
      <c r="H392" s="8" t="n"/>
      <c r="I392" s="7" t="n">
        <v>1000</v>
      </c>
      <c r="J392" s="5" t="n">
        <v>90</v>
      </c>
      <c r="K392" s="4" t="inlineStr">
        <is>
          <t>Em Funcionamento Normal</t>
        </is>
      </c>
      <c r="L392" s="4" t="inlineStr">
        <is>
          <t>API interna</t>
        </is>
      </c>
    </row>
    <row r="393">
      <c r="A393" s="4" t="inlineStr">
        <is>
          <t>BTG Pactual</t>
        </is>
      </c>
      <c r="B393" s="4" t="inlineStr">
        <is>
          <t>Clave Flex Prev FIE I FICFIM Access RL</t>
        </is>
      </c>
      <c r="C393" s="4" t="inlineStr">
        <is>
          <t>54.494.538/0001-29</t>
        </is>
      </c>
      <c r="D393" s="4" t="inlineStr">
        <is>
          <t>Previdência Multimercado Livre</t>
        </is>
      </c>
      <c r="E393" s="4" t="inlineStr">
        <is>
          <t>Multimercado</t>
        </is>
      </c>
      <c r="F393" s="4" t="inlineStr">
        <is>
          <t>BTG PACTUAL GESTÃO E CONSULTORIA DE INVESTIMENTOS LTDA</t>
        </is>
      </c>
      <c r="G393" s="4" t="inlineStr">
        <is>
          <t>Própria</t>
        </is>
      </c>
      <c r="H393" s="8" t="n"/>
      <c r="I393" s="7" t="n">
        <v>0</v>
      </c>
      <c r="J393" s="5" t="n">
        <v>24</v>
      </c>
      <c r="K393" s="4" t="inlineStr">
        <is>
          <t>Em Funcionamento Normal</t>
        </is>
      </c>
      <c r="L393" s="4" t="inlineStr">
        <is>
          <t>API interna</t>
        </is>
      </c>
    </row>
    <row r="394">
      <c r="A394" s="4" t="inlineStr">
        <is>
          <t>BTG Pactual</t>
        </is>
      </c>
      <c r="B394" s="4" t="inlineStr">
        <is>
          <t>Kinea Alpes Prev BTG Prev FICFIRF CrPr RL</t>
        </is>
      </c>
      <c r="C394" s="4" t="inlineStr">
        <is>
          <t>55.019.754/0001-85</t>
        </is>
      </c>
      <c r="D394" s="4" t="inlineStr">
        <is>
          <t>Renda Fixa Duração Livre Crédito Livre</t>
        </is>
      </c>
      <c r="E394" s="4" t="inlineStr">
        <is>
          <t>Renda Fixa</t>
        </is>
      </c>
      <c r="F394" s="4" t="inlineStr">
        <is>
          <t>BTG PACTUAL GESTÃO E CONSULTORIA DE INVESTIMENTOS LTDA</t>
        </is>
      </c>
      <c r="G394" s="4" t="inlineStr">
        <is>
          <t>Própria</t>
        </is>
      </c>
      <c r="H394" s="8" t="n">
        <v>1</v>
      </c>
      <c r="I394" s="7" t="n">
        <v>1000</v>
      </c>
      <c r="J394" s="5" t="n">
        <v>9</v>
      </c>
      <c r="K394" s="4" t="inlineStr">
        <is>
          <t>Em Funcionamento Normal</t>
        </is>
      </c>
      <c r="L394" s="4" t="inlineStr">
        <is>
          <t>API interna</t>
        </is>
      </c>
    </row>
    <row r="395">
      <c r="A395" s="4" t="inlineStr">
        <is>
          <t>BTG Pactual</t>
        </is>
      </c>
      <c r="B395" s="4" t="inlineStr">
        <is>
          <t>Kapitalo Zeta Prev FICFIM Access RL</t>
        </is>
      </c>
      <c r="C395" s="4" t="inlineStr">
        <is>
          <t>55.136.698/0001-69</t>
        </is>
      </c>
      <c r="D395" s="4" t="inlineStr">
        <is>
          <t>Previdência Multimercado Livre</t>
        </is>
      </c>
      <c r="E395" s="4" t="inlineStr">
        <is>
          <t>Multimercado</t>
        </is>
      </c>
      <c r="F395" s="4" t="inlineStr">
        <is>
          <t>BTG PACTUAL GESTÃO E CONSULTORIA DE INVESTIMENTOS LTDA</t>
        </is>
      </c>
      <c r="G395" s="4" t="inlineStr">
        <is>
          <t>Própria</t>
        </is>
      </c>
      <c r="H395" s="8" t="n">
        <v>2</v>
      </c>
      <c r="I395" s="7" t="n">
        <v>0</v>
      </c>
      <c r="J395" s="5" t="n">
        <v>46</v>
      </c>
      <c r="K395" s="4" t="inlineStr">
        <is>
          <t>Em Funcionamento Normal</t>
        </is>
      </c>
      <c r="L395" s="4" t="inlineStr">
        <is>
          <t>API interna</t>
        </is>
      </c>
    </row>
    <row r="396">
      <c r="A396" s="4" t="inlineStr">
        <is>
          <t>BTG Pactual</t>
        </is>
      </c>
      <c r="B396" s="4" t="inlineStr">
        <is>
          <t>BTG Pactual Ibovespa 100 Index Prev FIM RL</t>
        </is>
      </c>
      <c r="C396" s="4" t="inlineStr">
        <is>
          <t>55.138.930/0001-06</t>
        </is>
      </c>
      <c r="D396" s="4" t="inlineStr">
        <is>
          <t>Previdência Multimercado Livre</t>
        </is>
      </c>
      <c r="E396" s="4" t="inlineStr">
        <is>
          <t>Renda Variável</t>
        </is>
      </c>
      <c r="F396" s="4" t="inlineStr">
        <is>
          <t>BTG PACTUAL ASSET MANAGEMENT S/A DTVM</t>
        </is>
      </c>
      <c r="G396" s="4" t="inlineStr">
        <is>
          <t>Própria</t>
        </is>
      </c>
      <c r="H396" s="8" t="n"/>
      <c r="I396" s="7" t="n">
        <v>1000</v>
      </c>
      <c r="J396" s="5" t="n">
        <v>4</v>
      </c>
      <c r="K396" s="4" t="inlineStr">
        <is>
          <t>Em Funcionamento Normal</t>
        </is>
      </c>
      <c r="L396" s="4" t="inlineStr">
        <is>
          <t>API interna</t>
        </is>
      </c>
    </row>
    <row r="397">
      <c r="A397" s="4" t="inlineStr">
        <is>
          <t>BTG Pactual</t>
        </is>
      </c>
      <c r="B397" s="4" t="inlineStr">
        <is>
          <t>Empiricus FoF Super Prev Yield FIM CrPr RL</t>
        </is>
      </c>
      <c r="C397" s="4" t="inlineStr">
        <is>
          <t>55.169.143/0001-13</t>
        </is>
      </c>
      <c r="D397" s="4" t="inlineStr">
        <is>
          <t>Previdência Multimercado Livre</t>
        </is>
      </c>
      <c r="E397" s="4" t="inlineStr">
        <is>
          <t>Alocação</t>
        </is>
      </c>
      <c r="F397" s="4" t="inlineStr">
        <is>
          <t>BTG PACTUAL GESTÃO E CONSULTORIA DE INVESTIMENTOS LTDA</t>
        </is>
      </c>
      <c r="G397" s="4" t="inlineStr">
        <is>
          <t>Própria</t>
        </is>
      </c>
      <c r="H397" s="8" t="n">
        <v>0.3</v>
      </c>
      <c r="I397" s="7" t="n">
        <v>1000</v>
      </c>
      <c r="J397" s="5" t="n">
        <v>10</v>
      </c>
      <c r="K397" s="4" t="inlineStr">
        <is>
          <t>Em Funcionamento Normal</t>
        </is>
      </c>
      <c r="L397" s="4" t="inlineStr">
        <is>
          <t>API interna</t>
        </is>
      </c>
    </row>
    <row r="398">
      <c r="A398" s="4" t="inlineStr">
        <is>
          <t>BTG Pactual</t>
        </is>
      </c>
      <c r="B398" s="4" t="inlineStr">
        <is>
          <t>BTG Pactual Reference Tesouro Selic Prev FIRF RL</t>
        </is>
      </c>
      <c r="C398" s="4" t="inlineStr">
        <is>
          <t>55.275.422/0001-61</t>
        </is>
      </c>
      <c r="D398" s="4" t="inlineStr">
        <is>
          <t>Renda Fixa Duração Livre Crédito Livre</t>
        </is>
      </c>
      <c r="E398" s="4" t="inlineStr">
        <is>
          <t>Renda Fixa</t>
        </is>
      </c>
      <c r="F398" s="4" t="inlineStr">
        <is>
          <t>BTG PACTUAL ASSET MANAGEMENT S/A DTVM</t>
        </is>
      </c>
      <c r="G398" s="4" t="inlineStr">
        <is>
          <t>Própria</t>
        </is>
      </c>
      <c r="H398" s="8" t="n">
        <v>0.2</v>
      </c>
      <c r="I398" s="7" t="n">
        <v>1000</v>
      </c>
      <c r="J398" s="5" t="n">
        <v>1</v>
      </c>
      <c r="K398" s="4" t="inlineStr">
        <is>
          <t>Em Funcionamento Normal</t>
        </is>
      </c>
      <c r="L398" s="4" t="inlineStr">
        <is>
          <t>API interna</t>
        </is>
      </c>
    </row>
    <row r="399">
      <c r="A399" s="4" t="inlineStr">
        <is>
          <t>BTG Pactual</t>
        </is>
      </c>
      <c r="B399" s="4" t="inlineStr">
        <is>
          <t>V8 Vanquish Termo Prev FICFIRF Access CrPr RL</t>
        </is>
      </c>
      <c r="C399" s="4" t="inlineStr">
        <is>
          <t>55.275.543/0001-03</t>
        </is>
      </c>
      <c r="D399" s="4" t="inlineStr">
        <is>
          <t>Renda Fixa Duração Livre Crédito Livre</t>
        </is>
      </c>
      <c r="E399" s="4" t="inlineStr">
        <is>
          <t>Renda Fixa</t>
        </is>
      </c>
      <c r="F399" s="4" t="inlineStr">
        <is>
          <t>BTG PACTUAL GESTÃO E CONSULTORIA DE INVESTIMENTOS LTDA</t>
        </is>
      </c>
      <c r="G399" s="4" t="inlineStr">
        <is>
          <t>Própria</t>
        </is>
      </c>
      <c r="H399" s="8" t="n"/>
      <c r="I399" s="7" t="n">
        <v>0</v>
      </c>
      <c r="J399" s="5" t="n">
        <v>6</v>
      </c>
      <c r="K399" s="4" t="inlineStr">
        <is>
          <t>Em Funcionamento Normal</t>
        </is>
      </c>
      <c r="L399" s="4" t="inlineStr">
        <is>
          <t>API interna</t>
        </is>
      </c>
    </row>
    <row r="400">
      <c r="A400" s="4" t="inlineStr">
        <is>
          <t>BTG Pactual</t>
        </is>
      </c>
      <c r="B400" s="4" t="inlineStr">
        <is>
          <t>Absolute Pace Prev FICFIA Access RL</t>
        </is>
      </c>
      <c r="C400" s="4" t="inlineStr">
        <is>
          <t>55.498.621/0001-39</t>
        </is>
      </c>
      <c r="D400" s="4" t="inlineStr">
        <is>
          <t>Previdência Ações Indexados</t>
        </is>
      </c>
      <c r="E400" s="4" t="inlineStr">
        <is>
          <t>Renda Variável</t>
        </is>
      </c>
      <c r="F400" s="4" t="inlineStr">
        <is>
          <t>BTG PACTUAL GESTÃO E CONSULTORIA DE INVESTIMENTOS LTDA</t>
        </is>
      </c>
      <c r="G400" s="4" t="inlineStr">
        <is>
          <t>Própria</t>
        </is>
      </c>
      <c r="H400" s="8" t="n">
        <v>2</v>
      </c>
      <c r="I400" s="7" t="n">
        <v>0</v>
      </c>
      <c r="J400" s="5" t="n">
        <v>24</v>
      </c>
      <c r="K400" s="4" t="inlineStr">
        <is>
          <t>Em Funcionamento Normal</t>
        </is>
      </c>
      <c r="L400" s="4" t="inlineStr">
        <is>
          <t>API interna</t>
        </is>
      </c>
    </row>
    <row r="401">
      <c r="A401" s="4" t="inlineStr">
        <is>
          <t>BTG Pactual</t>
        </is>
      </c>
      <c r="B401" s="4" t="inlineStr">
        <is>
          <t>Meraki Prev Brabus FICFIA RL</t>
        </is>
      </c>
      <c r="C401" s="4" t="inlineStr">
        <is>
          <t>55.575.058/0001-55</t>
        </is>
      </c>
      <c r="D401" s="4" t="inlineStr">
        <is>
          <t>Previdência Ações Ativo</t>
        </is>
      </c>
      <c r="E401" s="4" t="inlineStr">
        <is>
          <t>Renda Variável</t>
        </is>
      </c>
      <c r="F401" s="4" t="inlineStr">
        <is>
          <t>MERAKI CAPITAL GESTÃO DE RECURSOS LTDA.</t>
        </is>
      </c>
      <c r="G401" s="4" t="inlineStr">
        <is>
          <t>Terceiros</t>
        </is>
      </c>
      <c r="H401" s="8" t="n"/>
      <c r="I401" s="7" t="n">
        <v>1000</v>
      </c>
      <c r="J401" s="5" t="n">
        <v>32</v>
      </c>
      <c r="K401" s="4" t="inlineStr">
        <is>
          <t>Em Funcionamento Normal</t>
        </is>
      </c>
      <c r="L401" s="4" t="inlineStr">
        <is>
          <t>API interna</t>
        </is>
      </c>
    </row>
    <row r="402">
      <c r="A402" s="4" t="inlineStr">
        <is>
          <t>BTG Pactual</t>
        </is>
      </c>
      <c r="B402" s="4" t="inlineStr">
        <is>
          <t>Tenax RFA Prev FIE I FICFIRF CrPr RL</t>
        </is>
      </c>
      <c r="C402" s="4" t="inlineStr">
        <is>
          <t>55.753.965/0001-47</t>
        </is>
      </c>
      <c r="D402" s="4" t="inlineStr">
        <is>
          <t>Previdência RF Duração Livre Crédito Liv</t>
        </is>
      </c>
      <c r="E402" s="4" t="inlineStr">
        <is>
          <t>Renda Fixa</t>
        </is>
      </c>
      <c r="F402" s="4" t="inlineStr">
        <is>
          <t>TENAX CAPITAL LTDA.</t>
        </is>
      </c>
      <c r="G402" s="4" t="inlineStr">
        <is>
          <t>Terceiros</t>
        </is>
      </c>
      <c r="H402" s="8" t="n">
        <v>1.1</v>
      </c>
      <c r="I402" s="7" t="n">
        <v>1000</v>
      </c>
      <c r="J402" s="5" t="n">
        <v>15</v>
      </c>
      <c r="K402" s="4" t="inlineStr">
        <is>
          <t>Em Funcionamento Normal</t>
        </is>
      </c>
      <c r="L402" s="4" t="inlineStr">
        <is>
          <t>API interna</t>
        </is>
      </c>
    </row>
    <row r="403">
      <c r="A403" s="4" t="inlineStr">
        <is>
          <t>BTG Pactual</t>
        </is>
      </c>
      <c r="B403" s="4" t="inlineStr">
        <is>
          <t>Harbour Endeavour Prev FIM CrPr RL</t>
        </is>
      </c>
      <c r="C403" s="4" t="inlineStr">
        <is>
          <t>55.849.709/0001-58</t>
        </is>
      </c>
      <c r="D403" s="4" t="inlineStr">
        <is>
          <t>Previdência Multimercado Livre</t>
        </is>
      </c>
      <c r="E403" s="4" t="inlineStr">
        <is>
          <t>Renda Fixa</t>
        </is>
      </c>
      <c r="F403" s="4" t="inlineStr">
        <is>
          <t>HARBOUR CAPITAL ADMINISTRADORA DE CARTEIRAS DE VALORES MOBILIÁRIOS LTDA.</t>
        </is>
      </c>
      <c r="G403" s="4" t="inlineStr">
        <is>
          <t>Terceiros</t>
        </is>
      </c>
      <c r="H403" s="8" t="n"/>
      <c r="I403" s="7" t="n">
        <v>1000</v>
      </c>
      <c r="J403" s="5" t="n">
        <v>60</v>
      </c>
      <c r="K403" s="4" t="inlineStr">
        <is>
          <t>Em Funcionamento Normal</t>
        </is>
      </c>
      <c r="L403" s="4" t="inlineStr">
        <is>
          <t>API interna</t>
        </is>
      </c>
    </row>
    <row r="404">
      <c r="A404" s="4" t="inlineStr">
        <is>
          <t>BTG Pactual</t>
        </is>
      </c>
      <c r="B404" s="4" t="inlineStr">
        <is>
          <t>VRB Prev FIM CrPr RL</t>
        </is>
      </c>
      <c r="C404" s="4" t="inlineStr">
        <is>
          <t>56.047.238/0001-27</t>
        </is>
      </c>
      <c r="D404" s="4" t="inlineStr">
        <is>
          <t>Previdência Multimercado Livre</t>
        </is>
      </c>
      <c r="E404" s="4" t="inlineStr">
        <is>
          <t>Outros</t>
        </is>
      </c>
      <c r="F404" s="4" t="inlineStr">
        <is>
          <t>TERA INVESTIMENTOS LTDA.</t>
        </is>
      </c>
      <c r="G404" s="4" t="inlineStr">
        <is>
          <t>Terceiros</t>
        </is>
      </c>
      <c r="H404" s="8" t="n"/>
      <c r="I404" s="7" t="n">
        <v>0</v>
      </c>
      <c r="J404" s="5" t="n">
        <v>32</v>
      </c>
      <c r="K404" s="4" t="inlineStr">
        <is>
          <t>Em Funcionamento Normal</t>
        </is>
      </c>
      <c r="L404" s="4" t="inlineStr">
        <is>
          <t>API interna</t>
        </is>
      </c>
    </row>
    <row r="405">
      <c r="A405" s="4" t="inlineStr">
        <is>
          <t>BTG Pactual</t>
        </is>
      </c>
      <c r="B405" s="4" t="inlineStr">
        <is>
          <t>Riza Lotus Prev FICFIRF CrPr RL</t>
        </is>
      </c>
      <c r="C405" s="4" t="inlineStr">
        <is>
          <t>56.954.063/0001-31</t>
        </is>
      </c>
      <c r="D405" s="4" t="inlineStr">
        <is>
          <t>Renda Fixa Duração Baixa Crédito Livre</t>
        </is>
      </c>
      <c r="E405" s="4" t="inlineStr">
        <is>
          <t>Renda Fixa</t>
        </is>
      </c>
      <c r="F405" s="4" t="inlineStr">
        <is>
          <t>RIZA LÍQUIDOS GESTORA DE RECURSOS LTDA.</t>
        </is>
      </c>
      <c r="G405" s="4" t="inlineStr">
        <is>
          <t>Terceiros</t>
        </is>
      </c>
      <c r="H405" s="8" t="n">
        <v>0.35</v>
      </c>
      <c r="I405" s="7" t="n">
        <v>500</v>
      </c>
      <c r="J405" s="5" t="n">
        <v>8</v>
      </c>
      <c r="K405" s="4" t="inlineStr">
        <is>
          <t>Em Funcionamento Normal</t>
        </is>
      </c>
      <c r="L405" s="4" t="inlineStr">
        <is>
          <t>API interna</t>
        </is>
      </c>
    </row>
    <row r="406">
      <c r="A406" s="4" t="inlineStr">
        <is>
          <t>BTG Pactual</t>
        </is>
      </c>
      <c r="B406" s="4" t="inlineStr">
        <is>
          <t>Vinci Compass Prev FIE I D8 FIRF CrPr RL</t>
        </is>
      </c>
      <c r="C406" s="4" t="inlineStr">
        <is>
          <t>57.132.572/0001-41</t>
        </is>
      </c>
      <c r="D406" s="4" t="inlineStr">
        <is>
          <t>Renda Fixa Duração Livre Crédito Livre</t>
        </is>
      </c>
      <c r="E406" s="4" t="inlineStr">
        <is>
          <t>Renda Fixa</t>
        </is>
      </c>
      <c r="F406" s="4" t="inlineStr">
        <is>
          <t>VINCI CG GESTORA DE RECURSOS LTDA</t>
        </is>
      </c>
      <c r="G406" s="4" t="inlineStr">
        <is>
          <t>Terceiros</t>
        </is>
      </c>
      <c r="H406" s="8" t="n">
        <v>0.8</v>
      </c>
      <c r="I406" s="7" t="n">
        <v>1000</v>
      </c>
      <c r="J406" s="5" t="n">
        <v>9</v>
      </c>
      <c r="K406" s="4" t="inlineStr">
        <is>
          <t>Em Funcionamento Normal</t>
        </is>
      </c>
      <c r="L406" s="4" t="inlineStr">
        <is>
          <t>API interna</t>
        </is>
      </c>
    </row>
    <row r="407">
      <c r="A407" s="4" t="inlineStr">
        <is>
          <t>BTG Pactual</t>
        </is>
      </c>
      <c r="B407" s="4" t="inlineStr">
        <is>
          <t>Hashdex High Sharpe Long Biased Prev FICFIM RL</t>
        </is>
      </c>
      <c r="C407" s="4" t="inlineStr">
        <is>
          <t>57.166.392/0001-80</t>
        </is>
      </c>
      <c r="D407" s="4" t="inlineStr">
        <is>
          <t>Previdência Multimercado Livre</t>
        </is>
      </c>
      <c r="E407" s="4" t="inlineStr">
        <is>
          <t>Alternativos</t>
        </is>
      </c>
      <c r="F407" s="4" t="inlineStr">
        <is>
          <t>HASHDEX GESTORA DE RECURSOS LTDA</t>
        </is>
      </c>
      <c r="G407" s="4" t="inlineStr">
        <is>
          <t>Terceiros</t>
        </is>
      </c>
      <c r="H407" s="8" t="n">
        <v>2.3</v>
      </c>
      <c r="I407" s="7" t="n">
        <v>1000</v>
      </c>
      <c r="J407" s="5" t="n">
        <v>7</v>
      </c>
      <c r="K407" s="4" t="inlineStr">
        <is>
          <t>Em Funcionamento Normal</t>
        </is>
      </c>
      <c r="L407" s="4" t="inlineStr">
        <is>
          <t>API interna</t>
        </is>
      </c>
    </row>
    <row r="408">
      <c r="A408" s="4" t="inlineStr">
        <is>
          <t>BTG Pactual</t>
        </is>
      </c>
      <c r="B408" s="4" t="inlineStr">
        <is>
          <t>Icatu Vanguarda Igarate Prev BP FICFIM CrPr RL</t>
        </is>
      </c>
      <c r="C408" s="4" t="inlineStr">
        <is>
          <t>57.205.240/0001-40</t>
        </is>
      </c>
      <c r="D408" s="4" t="inlineStr">
        <is>
          <t>Previdência Multimercado Livre</t>
        </is>
      </c>
      <c r="E408" s="4" t="inlineStr">
        <is>
          <t>Renda Variável</t>
        </is>
      </c>
      <c r="F408" s="4" t="inlineStr">
        <is>
          <t>ICATU VANGUARDA GESTÃO DE RECURSOS LTDA</t>
        </is>
      </c>
      <c r="G408" s="4" t="inlineStr">
        <is>
          <t>Terceiros</t>
        </is>
      </c>
      <c r="H408" s="8" t="n">
        <v>2</v>
      </c>
      <c r="I408" s="7" t="n">
        <v>0</v>
      </c>
      <c r="J408" s="5" t="n">
        <v>10</v>
      </c>
      <c r="K408" s="4" t="inlineStr">
        <is>
          <t>Em Funcionamento Normal</t>
        </is>
      </c>
      <c r="L408" s="4" t="inlineStr">
        <is>
          <t>API interna</t>
        </is>
      </c>
    </row>
    <row r="409">
      <c r="A409" s="4" t="inlineStr">
        <is>
          <t>BTG Pactual</t>
        </is>
      </c>
      <c r="B409" s="4" t="inlineStr">
        <is>
          <t>Absolute Delfos Prev FICFIRF Access CrPr RL</t>
        </is>
      </c>
      <c r="C409" s="4" t="inlineStr">
        <is>
          <t>57.370.727/0001-88</t>
        </is>
      </c>
      <c r="D409" s="4" t="inlineStr">
        <is>
          <t>Previdência RF Duração Livre Crédito Liv</t>
        </is>
      </c>
      <c r="E409" s="4" t="inlineStr">
        <is>
          <t>Renda Fixa</t>
        </is>
      </c>
      <c r="F409" s="4" t="inlineStr">
        <is>
          <t>BTG PACTUAL GESTÃO E CONSULTORIA DE INVESTIMENTOS LTDA</t>
        </is>
      </c>
      <c r="G409" s="4" t="inlineStr">
        <is>
          <t>Própria</t>
        </is>
      </c>
      <c r="H409" s="8" t="n">
        <v>0.88</v>
      </c>
      <c r="I409" s="7" t="n">
        <v>1000</v>
      </c>
      <c r="J409" s="5" t="n">
        <v>22</v>
      </c>
      <c r="K409" s="4" t="inlineStr">
        <is>
          <t>Em Funcionamento Normal</t>
        </is>
      </c>
      <c r="L409" s="4" t="inlineStr">
        <is>
          <t>API interna</t>
        </is>
      </c>
    </row>
    <row r="410">
      <c r="A410" s="4" t="inlineStr">
        <is>
          <t>BTG Pactual</t>
        </is>
      </c>
      <c r="B410" s="4" t="inlineStr">
        <is>
          <t>Quantitas Prev FICFIM Access CrPr RL</t>
        </is>
      </c>
      <c r="C410" s="4" t="inlineStr">
        <is>
          <t>57.378.527/0001-71</t>
        </is>
      </c>
      <c r="D410" s="4" t="inlineStr">
        <is>
          <t>Previdência Multimercado Livre</t>
        </is>
      </c>
      <c r="E410" s="4" t="inlineStr">
        <is>
          <t>Multimercado</t>
        </is>
      </c>
      <c r="F410" s="4" t="inlineStr">
        <is>
          <t>BTG PACTUAL GESTÃO E CONSULTORIA DE INVESTIMENTOS LTDA</t>
        </is>
      </c>
      <c r="G410" s="4" t="inlineStr">
        <is>
          <t>Própria</t>
        </is>
      </c>
      <c r="H410" s="8" t="n"/>
      <c r="I410" s="7" t="n">
        <v>1000</v>
      </c>
      <c r="J410" s="5" t="n">
        <v>9</v>
      </c>
      <c r="K410" s="4" t="inlineStr">
        <is>
          <t>Em Funcionamento Normal</t>
        </is>
      </c>
      <c r="L410" s="4" t="inlineStr">
        <is>
          <t>API interna</t>
        </is>
      </c>
    </row>
    <row r="411">
      <c r="A411" s="4" t="inlineStr">
        <is>
          <t>BTG Pactual</t>
        </is>
      </c>
      <c r="B411" s="4" t="inlineStr">
        <is>
          <t>Arca Grao Prev FICFIRF Access CrPr RL</t>
        </is>
      </c>
      <c r="C411" s="4" t="inlineStr">
        <is>
          <t>57.445.402/0001-17</t>
        </is>
      </c>
      <c r="D411" s="4" t="inlineStr">
        <is>
          <t>Previdência RF Duração Livre Crédito Liv</t>
        </is>
      </c>
      <c r="E411" s="4" t="inlineStr">
        <is>
          <t>Renda Fixa</t>
        </is>
      </c>
      <c r="F411" s="4" t="inlineStr">
        <is>
          <t>GRÃO GESTÃO DE RECURSOS LTDA.</t>
        </is>
      </c>
      <c r="G411" s="4" t="inlineStr">
        <is>
          <t>Terceiros</t>
        </is>
      </c>
      <c r="H411" s="8" t="n">
        <v>0.59</v>
      </c>
      <c r="I411" s="7" t="n">
        <v>1000</v>
      </c>
      <c r="J411" s="5" t="n">
        <v>9</v>
      </c>
      <c r="K411" s="4" t="inlineStr">
        <is>
          <t>Em Funcionamento Normal</t>
        </is>
      </c>
      <c r="L411" s="4" t="inlineStr">
        <is>
          <t>API interna</t>
        </is>
      </c>
    </row>
    <row r="412">
      <c r="A412" s="4" t="inlineStr">
        <is>
          <t>BTG Pactual</t>
        </is>
      </c>
      <c r="B412" s="4" t="inlineStr">
        <is>
          <t>BTG Long Term Prev FIA FIE</t>
        </is>
      </c>
      <c r="C412" s="4" t="inlineStr">
        <is>
          <t>57.976.621/0001-22</t>
        </is>
      </c>
      <c r="D412" s="4" t="inlineStr">
        <is>
          <t>Ações Livre</t>
        </is>
      </c>
      <c r="E412" s="4" t="inlineStr">
        <is>
          <t>Renda Variável</t>
        </is>
      </c>
      <c r="F412" s="4" t="inlineStr">
        <is>
          <t>BTG PACTUAL ASSET MANAGEMENT S/A DTVM</t>
        </is>
      </c>
      <c r="G412" s="4" t="inlineStr">
        <is>
          <t>Própria</t>
        </is>
      </c>
      <c r="H412" s="8" t="n"/>
      <c r="I412" s="7" t="n">
        <v>1000</v>
      </c>
      <c r="J412" s="5" t="n">
        <v>32</v>
      </c>
      <c r="K412" s="4" t="inlineStr">
        <is>
          <t>Em Funcionamento Normal</t>
        </is>
      </c>
      <c r="L412" s="4" t="inlineStr">
        <is>
          <t>API interna</t>
        </is>
      </c>
    </row>
    <row r="413">
      <c r="A413" s="4" t="inlineStr">
        <is>
          <t>BTG Pactual</t>
        </is>
      </c>
      <c r="B413" s="4" t="inlineStr">
        <is>
          <t>BTG Pactual Synergy Equity Hedge Prev FIE FIM RL</t>
        </is>
      </c>
      <c r="C413" s="4" t="inlineStr">
        <is>
          <t>57.997.804/0001-24</t>
        </is>
      </c>
      <c r="D413" s="4" t="inlineStr">
        <is>
          <t>Previdência Multimercado Livre</t>
        </is>
      </c>
      <c r="E413" s="4" t="inlineStr">
        <is>
          <t>Renda Variável</t>
        </is>
      </c>
      <c r="F413" s="4" t="inlineStr">
        <is>
          <t>BTG PACTUAL ASSET MANAGEMENT S/A DTVM</t>
        </is>
      </c>
      <c r="G413" s="4" t="inlineStr">
        <is>
          <t>Própria</t>
        </is>
      </c>
      <c r="H413" s="8" t="n"/>
      <c r="I413" s="7" t="n">
        <v>0</v>
      </c>
      <c r="J413" s="5" t="n">
        <v>32</v>
      </c>
      <c r="K413" s="4" t="inlineStr">
        <is>
          <t>Em Funcionamento Normal</t>
        </is>
      </c>
      <c r="L413" s="4" t="inlineStr">
        <is>
          <t>API interna</t>
        </is>
      </c>
    </row>
    <row r="414">
      <c r="A414" s="4" t="inlineStr">
        <is>
          <t>BTG Pactual</t>
        </is>
      </c>
      <c r="B414" s="4" t="inlineStr">
        <is>
          <t>BTG Pactual Synergy Long Only Prev FIE FIA RL</t>
        </is>
      </c>
      <c r="C414" s="4" t="inlineStr">
        <is>
          <t>57.998.092/0001-68</t>
        </is>
      </c>
      <c r="D414" s="4" t="inlineStr">
        <is>
          <t>Ações Invest. no Exterior</t>
        </is>
      </c>
      <c r="E414" s="4" t="inlineStr">
        <is>
          <t>Renda Variável</t>
        </is>
      </c>
      <c r="F414" s="4" t="inlineStr">
        <is>
          <t>BTG PACTUAL ASSET MANAGEMENT S/A DTVM</t>
        </is>
      </c>
      <c r="G414" s="4" t="inlineStr">
        <is>
          <t>Própria</t>
        </is>
      </c>
      <c r="H414" s="8" t="n">
        <v>2</v>
      </c>
      <c r="I414" s="7" t="n">
        <v>0</v>
      </c>
      <c r="J414" s="5" t="n">
        <v>32</v>
      </c>
      <c r="K414" s="4" t="inlineStr">
        <is>
          <t>Em Funcionamento Normal</t>
        </is>
      </c>
      <c r="L414" s="4" t="inlineStr">
        <is>
          <t>API interna</t>
        </is>
      </c>
    </row>
    <row r="415">
      <c r="A415" s="4" t="inlineStr">
        <is>
          <t>BTG Pactual</t>
        </is>
      </c>
      <c r="B415" s="4" t="inlineStr">
        <is>
          <t>Squadra Prev Long Only FICFIA RL</t>
        </is>
      </c>
      <c r="C415" s="4" t="inlineStr">
        <is>
          <t>58.115.642/0001-16</t>
        </is>
      </c>
      <c r="D415" s="4" t="inlineStr">
        <is>
          <t>Previdência Ações Ativo</t>
        </is>
      </c>
      <c r="E415" s="4" t="inlineStr">
        <is>
          <t>Renda Variável</t>
        </is>
      </c>
      <c r="F415" s="4" t="inlineStr">
        <is>
          <t>SQUADRA INVESTIMENTOS - GESTÃO DE RECURSOS LTDA.</t>
        </is>
      </c>
      <c r="G415" s="4" t="inlineStr">
        <is>
          <t>Terceiros</t>
        </is>
      </c>
      <c r="H415" s="8" t="n">
        <v>2</v>
      </c>
      <c r="I415" s="7" t="n">
        <v>1000</v>
      </c>
      <c r="J415" s="5" t="n">
        <v>62</v>
      </c>
      <c r="K415" s="4" t="inlineStr">
        <is>
          <t>Em Funcionamento Normal</t>
        </is>
      </c>
      <c r="L415" s="4" t="inlineStr">
        <is>
          <t>API interna</t>
        </is>
      </c>
    </row>
    <row r="416">
      <c r="A416" s="4" t="inlineStr">
        <is>
          <t>BTG Pactual</t>
        </is>
      </c>
      <c r="B416" s="4" t="inlineStr">
        <is>
          <t>Kinea Prev Zeus BTG FICFIM RL</t>
        </is>
      </c>
      <c r="C416" s="4" t="inlineStr">
        <is>
          <t>58.739.330/0001-83</t>
        </is>
      </c>
      <c r="D416" s="4" t="inlineStr">
        <is>
          <t>Previdência Multimercado Livre</t>
        </is>
      </c>
      <c r="E416" s="4" t="inlineStr">
        <is>
          <t>Outros</t>
        </is>
      </c>
      <c r="F416" s="4" t="inlineStr">
        <is>
          <t>KINEA INVESTIMENTOS LTDA.</t>
        </is>
      </c>
      <c r="G416" s="4" t="inlineStr">
        <is>
          <t>Terceiros</t>
        </is>
      </c>
      <c r="H416" s="8" t="n">
        <v>2</v>
      </c>
      <c r="I416" s="7" t="n">
        <v>1000</v>
      </c>
      <c r="J416" s="5" t="n">
        <v>43</v>
      </c>
      <c r="K416" s="4" t="inlineStr">
        <is>
          <t>Em Funcionamento Normal</t>
        </is>
      </c>
      <c r="L416" s="4" t="inlineStr">
        <is>
          <t>API interna</t>
        </is>
      </c>
    </row>
    <row r="417">
      <c r="A417" s="4" t="inlineStr">
        <is>
          <t>BTG Pactual</t>
        </is>
      </c>
      <c r="B417" s="4" t="inlineStr">
        <is>
          <t>Polo Credito Prev I FICFIRF CrPr RL</t>
        </is>
      </c>
      <c r="C417" s="4" t="inlineStr">
        <is>
          <t>59.065.619/0001-27</t>
        </is>
      </c>
      <c r="D417" s="4" t="inlineStr">
        <is>
          <t>Previdência RF Duração Livre Crédito Liv</t>
        </is>
      </c>
      <c r="E417" s="4" t="inlineStr">
        <is>
          <t>Renda Fixa</t>
        </is>
      </c>
      <c r="F417" s="4" t="inlineStr">
        <is>
          <t>POLO CAPITAL GESTÃO DE RECURSOS LTDA</t>
        </is>
      </c>
      <c r="G417" s="4" t="inlineStr">
        <is>
          <t>Terceiros</t>
        </is>
      </c>
      <c r="H417" s="8" t="n">
        <v>0.9</v>
      </c>
      <c r="I417" s="7" t="n">
        <v>1000</v>
      </c>
      <c r="J417" s="5" t="n">
        <v>9</v>
      </c>
      <c r="K417" s="4" t="inlineStr">
        <is>
          <t>Em Funcionamento Normal</t>
        </is>
      </c>
      <c r="L417" s="4" t="inlineStr">
        <is>
          <t>API interna</t>
        </is>
      </c>
    </row>
    <row r="418">
      <c r="A418" s="4" t="inlineStr">
        <is>
          <t>BTG Pactual</t>
        </is>
      </c>
      <c r="B418" s="4" t="inlineStr">
        <is>
          <t>Icatu Verde Master Prev 60 Qualificado FICFIM RL</t>
        </is>
      </c>
      <c r="C418" s="4" t="inlineStr">
        <is>
          <t>59.134.727/0001-04</t>
        </is>
      </c>
      <c r="D418" s="4" t="inlineStr">
        <is>
          <t>Previdência Multimercado Livre</t>
        </is>
      </c>
      <c r="E418" s="4" t="inlineStr">
        <is>
          <t>Outros</t>
        </is>
      </c>
      <c r="F418" s="4" t="inlineStr">
        <is>
          <t>VERDE ASSET MANAGEMENT S.A.</t>
        </is>
      </c>
      <c r="G418" s="4" t="inlineStr">
        <is>
          <t>Terceiros</t>
        </is>
      </c>
      <c r="H418" s="8" t="n"/>
      <c r="I418" s="7" t="n">
        <v>5000</v>
      </c>
      <c r="J418" s="5" t="n">
        <v>46</v>
      </c>
      <c r="K418" s="4" t="inlineStr">
        <is>
          <t>Em Funcionamento Normal</t>
        </is>
      </c>
      <c r="L418" s="4" t="inlineStr">
        <is>
          <t>API interna</t>
        </is>
      </c>
    </row>
    <row r="419">
      <c r="A419" s="4" t="inlineStr">
        <is>
          <t>BTG Pactual</t>
        </is>
      </c>
      <c r="B419" s="4" t="inlineStr">
        <is>
          <t>Kinea Prev Apolo BTG FICFIM RL</t>
        </is>
      </c>
      <c r="C419" s="4" t="inlineStr">
        <is>
          <t>59.719.333/0001-18</t>
        </is>
      </c>
      <c r="D419" s="4" t="inlineStr">
        <is>
          <t>Previdência Multimercado Livre</t>
        </is>
      </c>
      <c r="E419" s="4" t="inlineStr">
        <is>
          <t>Multimercado</t>
        </is>
      </c>
      <c r="F419" s="4" t="inlineStr">
        <is>
          <t>KINEA INVESTIMENTOS LTDA.</t>
        </is>
      </c>
      <c r="G419" s="4" t="inlineStr">
        <is>
          <t>Terceiros</t>
        </is>
      </c>
      <c r="H419" s="8" t="n">
        <v>0.8</v>
      </c>
      <c r="I419" s="7" t="n">
        <v>1000</v>
      </c>
      <c r="J419" s="5" t="n">
        <v>1</v>
      </c>
      <c r="K419" s="4" t="inlineStr">
        <is>
          <t>Em Funcionamento Normal</t>
        </is>
      </c>
      <c r="L419" s="4" t="inlineStr">
        <is>
          <t>API interna</t>
        </is>
      </c>
    </row>
    <row r="420">
      <c r="A420" s="4" t="inlineStr">
        <is>
          <t>BTG Pactual</t>
        </is>
      </c>
      <c r="B420" s="4" t="inlineStr">
        <is>
          <t>BTG Multigestor Credit Plus Prev FICFIM CrPr RL</t>
        </is>
      </c>
      <c r="C420" s="4" t="inlineStr">
        <is>
          <t>60.230.790/0001-23</t>
        </is>
      </c>
      <c r="D420" s="4" t="inlineStr">
        <is>
          <t>Previdência Multimercado Livre</t>
        </is>
      </c>
      <c r="E420" s="4" t="inlineStr">
        <is>
          <t>Renda Fixa</t>
        </is>
      </c>
      <c r="F420" s="4" t="inlineStr">
        <is>
          <t>BTG PACTUAL GESTÃO E CONSULTORIA DE INVESTIMENTOS LTDA</t>
        </is>
      </c>
      <c r="G420" s="4" t="inlineStr">
        <is>
          <t>Própria</t>
        </is>
      </c>
      <c r="H420" s="8" t="n"/>
      <c r="I420" s="7" t="n">
        <v>1000</v>
      </c>
      <c r="J420" s="5" t="n">
        <v>32</v>
      </c>
      <c r="K420" s="4" t="inlineStr">
        <is>
          <t>Em Funcionamento Normal</t>
        </is>
      </c>
      <c r="L420" s="4" t="inlineStr">
        <is>
          <t>API interna</t>
        </is>
      </c>
    </row>
    <row r="421">
      <c r="A421" s="4" t="inlineStr">
        <is>
          <t>BTG Pactual</t>
        </is>
      </c>
      <c r="B421" s="4" t="inlineStr">
        <is>
          <t>Jubarte Migration FIE Prev FIM RL</t>
        </is>
      </c>
      <c r="C421" s="4" t="inlineStr">
        <is>
          <t>60.314.455/0001-03</t>
        </is>
      </c>
      <c r="D421" s="4" t="inlineStr">
        <is>
          <t>Previdência Multimercado Livre</t>
        </is>
      </c>
      <c r="E421" s="4" t="inlineStr">
        <is>
          <t>Multimercado</t>
        </is>
      </c>
      <c r="F421" s="4" t="inlineStr">
        <is>
          <t>JUBARTE STRATEGIC CAPITAL LTDA.</t>
        </is>
      </c>
      <c r="G421" s="4" t="inlineStr">
        <is>
          <t>Terceiros</t>
        </is>
      </c>
      <c r="H421" s="8" t="n">
        <v>1.8</v>
      </c>
      <c r="I421" s="7" t="n">
        <v>1000</v>
      </c>
      <c r="J421" s="5" t="n">
        <v>31</v>
      </c>
      <c r="K421" s="4" t="inlineStr">
        <is>
          <t>Em Funcionamento Normal</t>
        </is>
      </c>
      <c r="L421" s="4" t="inlineStr">
        <is>
          <t>API interna</t>
        </is>
      </c>
    </row>
    <row r="422">
      <c r="A422" s="4" t="inlineStr">
        <is>
          <t>BTG Pactual</t>
        </is>
      </c>
      <c r="B422" s="4" t="inlineStr">
        <is>
          <t>A1 RF Ativa Prev FICFIRF RL</t>
        </is>
      </c>
      <c r="C422" s="4" t="inlineStr">
        <is>
          <t>60.356.190/0001-06</t>
        </is>
      </c>
      <c r="D422" s="4" t="inlineStr">
        <is>
          <t>Previdência RF Duração Livre Crédito Liv</t>
        </is>
      </c>
      <c r="E422" s="4" t="inlineStr">
        <is>
          <t>Renda Fixa</t>
        </is>
      </c>
      <c r="F422" s="4" t="inlineStr">
        <is>
          <t>ASSET1 INVESTIMENTOS S/A</t>
        </is>
      </c>
      <c r="G422" s="4" t="inlineStr">
        <is>
          <t>Terceiros</t>
        </is>
      </c>
      <c r="H422" s="8" t="n"/>
      <c r="I422" s="7" t="n">
        <v>1000</v>
      </c>
      <c r="J422" s="5" t="n">
        <v>1</v>
      </c>
      <c r="K422" s="4" t="inlineStr">
        <is>
          <t>Em Funcionamento Normal</t>
        </is>
      </c>
      <c r="L422" s="4" t="inlineStr">
        <is>
          <t>API interna</t>
        </is>
      </c>
    </row>
    <row r="423">
      <c r="A423" s="4" t="inlineStr">
        <is>
          <t>BTG Pactual</t>
        </is>
      </c>
      <c r="B423" s="4" t="inlineStr">
        <is>
          <t>Exes Prev II FIE FIM CrPr RL</t>
        </is>
      </c>
      <c r="C423" s="4" t="inlineStr">
        <is>
          <t>60.859.486/0001-40</t>
        </is>
      </c>
      <c r="D423" s="4" t="inlineStr">
        <is>
          <t>Previdência Multimercado Livre</t>
        </is>
      </c>
      <c r="E423" s="4" t="inlineStr">
        <is>
          <t>Renda Fixa</t>
        </is>
      </c>
      <c r="F423" s="4" t="inlineStr">
        <is>
          <t>EXES GESTORA DE RECURSOS LTDA.</t>
        </is>
      </c>
      <c r="G423" s="4" t="inlineStr">
        <is>
          <t>Terceiros</t>
        </is>
      </c>
      <c r="H423" s="8" t="n"/>
      <c r="I423" s="7" t="n">
        <v>1000</v>
      </c>
      <c r="J423" s="5" t="n">
        <v>10</v>
      </c>
      <c r="K423" s="4" t="inlineStr">
        <is>
          <t>Em Funcionamento Normal</t>
        </is>
      </c>
      <c r="L423" s="4" t="inlineStr">
        <is>
          <t>API interna</t>
        </is>
      </c>
    </row>
    <row r="424">
      <c r="A424" s="4" t="inlineStr">
        <is>
          <t>BTG Pactual</t>
        </is>
      </c>
      <c r="B424" s="4" t="inlineStr">
        <is>
          <t>Sulamerica FIE I Credito ESG IS Prev Fundo CrPr RL</t>
        </is>
      </c>
      <c r="C424" s="4" t="inlineStr">
        <is>
          <t>60.960.946/0001-21</t>
        </is>
      </c>
      <c r="D424" s="4" t="inlineStr">
        <is>
          <t>Previdência RF Duração Livre Crédito Liv</t>
        </is>
      </c>
      <c r="E424" s="4" t="inlineStr">
        <is>
          <t>Renda Fixa</t>
        </is>
      </c>
      <c r="F424" s="4" t="inlineStr">
        <is>
          <t>SUL AMÉRICA INVESTIMENTOS GESTORA DE RECURSOS S.A.</t>
        </is>
      </c>
      <c r="G424" s="4" t="inlineStr">
        <is>
          <t>Terceiros</t>
        </is>
      </c>
      <c r="H424" s="8" t="n"/>
      <c r="I424" s="7" t="n">
        <v>1000</v>
      </c>
      <c r="J424" s="5" t="n">
        <v>8</v>
      </c>
      <c r="K424" s="4" t="inlineStr">
        <is>
          <t>Em Funcionamento Normal</t>
        </is>
      </c>
      <c r="L424" s="4" t="inlineStr">
        <is>
          <t>API interna</t>
        </is>
      </c>
    </row>
    <row r="425">
      <c r="A425" s="4" t="inlineStr">
        <is>
          <t>BTG Pactual</t>
        </is>
      </c>
      <c r="B425" s="4" t="inlineStr">
        <is>
          <t>Porto Prev FICFIRF FIE1 CrPr RL</t>
        </is>
      </c>
      <c r="C425" s="4" t="inlineStr">
        <is>
          <t>61.475.212/0001-10</t>
        </is>
      </c>
      <c r="D425" s="4" t="inlineStr">
        <is>
          <t>Renda Fixa Duração Livre Crédito Livre</t>
        </is>
      </c>
      <c r="E425" s="4" t="inlineStr">
        <is>
          <t>Renda Fixa</t>
        </is>
      </c>
      <c r="F425" s="4" t="inlineStr">
        <is>
          <t>PORTO SEGURO INVESTIMENTOS LTDA</t>
        </is>
      </c>
      <c r="G425" s="4" t="inlineStr">
        <is>
          <t>Terceiros</t>
        </is>
      </c>
      <c r="H425" s="8" t="n">
        <v>0.9</v>
      </c>
      <c r="I425" s="7" t="n">
        <v>1000</v>
      </c>
      <c r="J425" s="5" t="n">
        <v>9</v>
      </c>
      <c r="K425" s="4" t="inlineStr">
        <is>
          <t>Em Funcionamento Normal</t>
        </is>
      </c>
      <c r="L425" s="4" t="inlineStr">
        <is>
          <t>API interna</t>
        </is>
      </c>
    </row>
    <row r="426">
      <c r="A426" s="4" t="inlineStr">
        <is>
          <t>BTG Pactual</t>
        </is>
      </c>
      <c r="B426" s="4" t="inlineStr">
        <is>
          <t>Santander Connect Prev Dividendos 70 FICFIM RL</t>
        </is>
      </c>
      <c r="C426" s="4" t="inlineStr">
        <is>
          <t>61.561.752/0001-16</t>
        </is>
      </c>
      <c r="D426" s="4" t="inlineStr">
        <is>
          <t>Previdência Multimercado Livre</t>
        </is>
      </c>
      <c r="E426" s="4" t="inlineStr">
        <is>
          <t>Renda Variável</t>
        </is>
      </c>
      <c r="F426" s="4" t="inlineStr">
        <is>
          <t>SANTANDER BRASIL GESTÃO DE RECURSOS LTDA</t>
        </is>
      </c>
      <c r="G426" s="4" t="inlineStr">
        <is>
          <t>Terceiros</t>
        </is>
      </c>
      <c r="H426" s="8" t="n"/>
      <c r="I426" s="7" t="n">
        <v>1000</v>
      </c>
      <c r="J426" s="5" t="n">
        <v>3</v>
      </c>
      <c r="K426" s="4" t="inlineStr">
        <is>
          <t>Em Funcionamento Normal</t>
        </is>
      </c>
      <c r="L426" s="4" t="inlineStr">
        <is>
          <t>API interna</t>
        </is>
      </c>
    </row>
    <row r="427">
      <c r="A427" s="4" t="inlineStr">
        <is>
          <t>BTG Pactual</t>
        </is>
      </c>
      <c r="B427" s="4" t="inlineStr">
        <is>
          <t>SPX Prev Fundo Access CrPr RL</t>
        </is>
      </c>
      <c r="C427" s="4" t="inlineStr">
        <is>
          <t>61.760.793/0001-31</t>
        </is>
      </c>
      <c r="D427" s="4" t="inlineStr">
        <is>
          <t>Previdência RF Duração Livre Crédito Liv</t>
        </is>
      </c>
      <c r="E427" s="4" t="inlineStr">
        <is>
          <t>Renda Fixa</t>
        </is>
      </c>
      <c r="F427" s="4" t="inlineStr">
        <is>
          <t>BTG PACTUAL GESTÃO E CONSULTORIA DE INVESTIMENTOS LTDA</t>
        </is>
      </c>
      <c r="G427" s="4" t="inlineStr">
        <is>
          <t>Própria</t>
        </is>
      </c>
      <c r="H427" s="8" t="n"/>
      <c r="I427" s="7" t="n">
        <v>1000</v>
      </c>
      <c r="J427" s="5" t="n">
        <v>10</v>
      </c>
      <c r="K427" s="4" t="inlineStr">
        <is>
          <t>Em Funcionamento Normal</t>
        </is>
      </c>
      <c r="L427" s="4" t="inlineStr">
        <is>
          <t>API interna</t>
        </is>
      </c>
    </row>
    <row r="428">
      <c r="A428" s="4" t="inlineStr">
        <is>
          <t>BTG Pactual</t>
        </is>
      </c>
      <c r="B428" s="4" t="inlineStr">
        <is>
          <t>Absolute Hedge Prev FICFIM Access RL</t>
        </is>
      </c>
      <c r="C428" s="4" t="inlineStr">
        <is>
          <t>61.861.454/0001-41</t>
        </is>
      </c>
      <c r="D428" s="4" t="inlineStr">
        <is>
          <t>Multimercados Livre</t>
        </is>
      </c>
      <c r="E428" s="4" t="inlineStr">
        <is>
          <t>Multimercado</t>
        </is>
      </c>
      <c r="F428" s="4" t="inlineStr">
        <is>
          <t>BTG PACTUAL GESTÃO E CONSULTORIA DE INVESTIMENTOS LTDA</t>
        </is>
      </c>
      <c r="G428" s="4" t="inlineStr">
        <is>
          <t>Própria</t>
        </is>
      </c>
      <c r="H428" s="8" t="n">
        <v>2</v>
      </c>
      <c r="I428" s="7" t="n">
        <v>1000</v>
      </c>
      <c r="J428" s="5" t="n">
        <v>5</v>
      </c>
      <c r="K428" s="4" t="inlineStr">
        <is>
          <t>Em Funcionamento Normal</t>
        </is>
      </c>
      <c r="L428" s="4" t="inlineStr">
        <is>
          <t>API interna</t>
        </is>
      </c>
    </row>
    <row r="429">
      <c r="A429" s="4" t="inlineStr">
        <is>
          <t>BTG Pactual</t>
        </is>
      </c>
      <c r="B429" s="4" t="inlineStr">
        <is>
          <t>Guardian BTG Prev FICFIRF CrPr RL</t>
        </is>
      </c>
      <c r="C429" s="4" t="inlineStr">
        <is>
          <t>61.874.568/0001-26</t>
        </is>
      </c>
      <c r="D429" s="4" t="inlineStr">
        <is>
          <t>Previdência RF Duração Livre Crédito Liv</t>
        </is>
      </c>
      <c r="E429" s="4" t="inlineStr">
        <is>
          <t>Renda Fixa</t>
        </is>
      </c>
      <c r="F429" s="4" t="inlineStr">
        <is>
          <t>GUARDIAN GESTORA LTDA.</t>
        </is>
      </c>
      <c r="G429" s="4" t="inlineStr">
        <is>
          <t>Terceiros</t>
        </is>
      </c>
      <c r="H429" s="8" t="n"/>
      <c r="I429" s="7" t="n">
        <v>1000</v>
      </c>
      <c r="J429" s="5" t="n">
        <v>8</v>
      </c>
      <c r="K429" s="4" t="inlineStr">
        <is>
          <t>Em Funcionamento Normal</t>
        </is>
      </c>
      <c r="L429" s="4" t="inlineStr">
        <is>
          <t>API interna</t>
        </is>
      </c>
    </row>
    <row r="430">
      <c r="A430" s="4" t="inlineStr">
        <is>
          <t>BTG Pactual</t>
        </is>
      </c>
      <c r="B430" s="4" t="inlineStr">
        <is>
          <t>Investo Prev Global FIM RL</t>
        </is>
      </c>
      <c r="C430" s="4" t="inlineStr">
        <is>
          <t>61.928.582/0001-65</t>
        </is>
      </c>
      <c r="D430" s="4" t="inlineStr">
        <is>
          <t>Previdência Multimercado Livre</t>
        </is>
      </c>
      <c r="E430" s="4" t="inlineStr">
        <is>
          <t>Multimercado</t>
        </is>
      </c>
      <c r="F430" s="4" t="inlineStr">
        <is>
          <t>INVESTO GESTÃO DE RECURSOS LTDA.</t>
        </is>
      </c>
      <c r="G430" s="4" t="inlineStr">
        <is>
          <t>Terceiros</t>
        </is>
      </c>
      <c r="H430" s="8" t="n"/>
      <c r="I430" s="7" t="n">
        <v>1000</v>
      </c>
      <c r="J430" s="5" t="n">
        <v>5</v>
      </c>
      <c r="K430" s="4" t="inlineStr">
        <is>
          <t>Em Funcionamento Normal</t>
        </is>
      </c>
      <c r="L430" s="4" t="inlineStr">
        <is>
          <t>API interna</t>
        </is>
      </c>
    </row>
    <row r="431">
      <c r="A431" s="4" t="inlineStr">
        <is>
          <t>BTG Pactual</t>
        </is>
      </c>
      <c r="B431" s="4" t="inlineStr">
        <is>
          <t>Morada Prev FIA RL</t>
        </is>
      </c>
      <c r="C431" s="4" t="inlineStr">
        <is>
          <t>62.362.268/0001-20</t>
        </is>
      </c>
      <c r="D431" s="4" t="inlineStr">
        <is>
          <t>Ações Livre</t>
        </is>
      </c>
      <c r="E431" s="4" t="inlineStr">
        <is>
          <t>Renda Variável</t>
        </is>
      </c>
      <c r="F431" s="4" t="inlineStr">
        <is>
          <t>MORADA CAPITAL LTDA.</t>
        </is>
      </c>
      <c r="G431" s="4" t="inlineStr">
        <is>
          <t>Terceiros</t>
        </is>
      </c>
      <c r="H431" s="8" t="n">
        <v>2</v>
      </c>
      <c r="I431" s="7" t="n">
        <v>1000</v>
      </c>
      <c r="J431" s="5" t="n">
        <v>32</v>
      </c>
      <c r="K431" s="4" t="inlineStr">
        <is>
          <t>Em Funcionamento Normal</t>
        </is>
      </c>
      <c r="L431" s="4" t="inlineStr">
        <is>
          <t>API interna</t>
        </is>
      </c>
    </row>
    <row r="432">
      <c r="A432" s="4" t="inlineStr">
        <is>
          <t>BTG Pactual</t>
        </is>
      </c>
      <c r="B432" s="4" t="inlineStr">
        <is>
          <t>Armor Prev FIE I FIF MM</t>
        </is>
      </c>
      <c r="C432" s="4" t="inlineStr">
        <is>
          <t>64.157.228/0001-72</t>
        </is>
      </c>
      <c r="D432" s="4" t="inlineStr">
        <is>
          <t>Multimercados Livre</t>
        </is>
      </c>
      <c r="E432" s="4" t="inlineStr">
        <is>
          <t>Outros</t>
        </is>
      </c>
      <c r="F432" s="4" t="inlineStr">
        <is>
          <t>ARMOR GESTORA DE RECURSOS LTDA.</t>
        </is>
      </c>
      <c r="G432" s="4" t="inlineStr">
        <is>
          <t>Terceiros</t>
        </is>
      </c>
      <c r="H432" s="8" t="n"/>
      <c r="I432" s="7" t="n">
        <v>1000</v>
      </c>
      <c r="J432" s="5" t="n">
        <v>6</v>
      </c>
      <c r="K432" s="4" t="inlineStr">
        <is>
          <t>Em Funcionamento Normal</t>
        </is>
      </c>
      <c r="L432" s="4" t="inlineStr">
        <is>
          <t>API interna</t>
        </is>
      </c>
    </row>
    <row r="433">
      <c r="A433" s="4" t="inlineStr">
        <is>
          <t>BTG Pactual</t>
        </is>
      </c>
      <c r="B433" s="4" t="inlineStr">
        <is>
          <t>V8 Speedway Vega LS Prev FICFIM Access RL</t>
        </is>
      </c>
      <c r="C433" s="4" t="inlineStr">
        <is>
          <t>64.567.005/0001-83</t>
        </is>
      </c>
      <c r="D433" s="4" t="inlineStr">
        <is>
          <t>Previdência Multimercado Livre</t>
        </is>
      </c>
      <c r="E433" s="4" t="inlineStr">
        <is>
          <t>Renda Variável</t>
        </is>
      </c>
      <c r="F433" s="4" t="inlineStr">
        <is>
          <t>BTG PACTUAL GESTÃO E CONSULTORIA DE INVESTIMENTOS LTDA</t>
        </is>
      </c>
      <c r="G433" s="4" t="inlineStr">
        <is>
          <t>Própria</t>
        </is>
      </c>
      <c r="H433" s="8" t="n">
        <v>2</v>
      </c>
      <c r="I433" s="7" t="n">
        <v>1000</v>
      </c>
      <c r="J433" s="5" t="n">
        <v>10</v>
      </c>
      <c r="K433" s="4" t="inlineStr">
        <is>
          <t>Em Funcionamento Normal</t>
        </is>
      </c>
      <c r="L433" s="4" t="inlineStr">
        <is>
          <t>API interna</t>
        </is>
      </c>
    </row>
    <row r="434">
      <c r="A434" s="4" t="inlineStr">
        <is>
          <t>BTG Pactual</t>
        </is>
      </c>
      <c r="B434" s="4" t="inlineStr">
        <is>
          <t>Icatu Vanguarda BP Dinâmico CDI PREV FIM</t>
        </is>
      </c>
      <c r="C434" s="4" t="inlineStr">
        <is>
          <t>64.717.139/0001-33</t>
        </is>
      </c>
      <c r="D434" s="4" t="inlineStr">
        <is>
          <t>Previdência Multimercado Livre</t>
        </is>
      </c>
      <c r="E434" s="4" t="inlineStr">
        <is>
          <t>Renda Fixa</t>
        </is>
      </c>
      <c r="F434" s="4" t="inlineStr">
        <is>
          <t>ICATU VANGUARDA GESTÃO DE RECURSOS LTDA</t>
        </is>
      </c>
      <c r="G434" s="4" t="inlineStr">
        <is>
          <t>Terceiros</t>
        </is>
      </c>
      <c r="H434" s="8" t="n"/>
      <c r="I434" s="7" t="n">
        <v>1000</v>
      </c>
      <c r="J434" s="5" t="n">
        <v>10</v>
      </c>
      <c r="K434" s="4" t="inlineStr">
        <is>
          <t>Em Funcionamento Normal</t>
        </is>
      </c>
      <c r="L434" s="4" t="inlineStr">
        <is>
          <t>API interna</t>
        </is>
      </c>
    </row>
    <row r="435">
      <c r="A435" s="4" t="inlineStr">
        <is>
          <t>BTG Pactual</t>
        </is>
      </c>
      <c r="B435" s="4" t="inlineStr">
        <is>
          <t>Genoa Capital Sagres Prev FIF FIC MM Access</t>
        </is>
      </c>
      <c r="C435" s="4" t="inlineStr">
        <is>
          <t>64.810.424/0001-02</t>
        </is>
      </c>
      <c r="D435" s="4" t="inlineStr">
        <is>
          <t>Previdência Multimercado Livre</t>
        </is>
      </c>
      <c r="E435" s="4" t="inlineStr">
        <is>
          <t>Multimercado</t>
        </is>
      </c>
      <c r="F435" s="4" t="inlineStr">
        <is>
          <t>BTG PACTUAL GESTÃO E CONSULTORIA DE INVESTIMENTOS LTDA</t>
        </is>
      </c>
      <c r="G435" s="4" t="inlineStr">
        <is>
          <t>Própria</t>
        </is>
      </c>
      <c r="H435" s="8" t="n">
        <v>2</v>
      </c>
      <c r="I435" s="7" t="n">
        <v>1000</v>
      </c>
      <c r="J435" s="5" t="n">
        <v>24</v>
      </c>
      <c r="K435" s="4" t="inlineStr">
        <is>
          <t>Em Funcionamento Normal</t>
        </is>
      </c>
      <c r="L435" s="4" t="inlineStr">
        <is>
          <t>API interna</t>
        </is>
      </c>
    </row>
    <row r="436">
      <c r="A436" s="4" t="inlineStr">
        <is>
          <t>BTG Pactual</t>
        </is>
      </c>
      <c r="B436" s="4" t="inlineStr">
        <is>
          <t>Polígono Charlie BP PREV FIF</t>
        </is>
      </c>
      <c r="C436" s="4" t="inlineStr">
        <is>
          <t>64.897.073/0001-00</t>
        </is>
      </c>
      <c r="D436" s="4" t="inlineStr">
        <is>
          <t>Previdência RF Duração Livre Crédito Liv</t>
        </is>
      </c>
      <c r="E436" s="4" t="inlineStr">
        <is>
          <t>Renda Fixa</t>
        </is>
      </c>
      <c r="F436" s="4" t="inlineStr">
        <is>
          <t>POLÍGONO CAPITAL LTDA</t>
        </is>
      </c>
      <c r="G436" s="4" t="inlineStr">
        <is>
          <t>Terceiros</t>
        </is>
      </c>
      <c r="H436" s="8" t="n"/>
      <c r="I436" s="7" t="n">
        <v>1000</v>
      </c>
      <c r="J436" s="5" t="n">
        <v>9</v>
      </c>
      <c r="K436" s="4" t="inlineStr">
        <is>
          <t>Em Funcionamento Normal</t>
        </is>
      </c>
      <c r="L436" s="4" t="inlineStr">
        <is>
          <t>API interna</t>
        </is>
      </c>
    </row>
    <row r="437">
      <c r="A437" s="4" t="inlineStr">
        <is>
          <t>BTG Pactual</t>
        </is>
      </c>
      <c r="B437" s="4" t="inlineStr">
        <is>
          <t>Tyton Credito Prev IQ FIF FIC FIM</t>
        </is>
      </c>
      <c r="C437" s="4" t="inlineStr">
        <is>
          <t>65.440.420/0001-34</t>
        </is>
      </c>
      <c r="D437" s="4" t="inlineStr">
        <is>
          <t>Previdência Multimercado Livre</t>
        </is>
      </c>
      <c r="E437" s="4" t="inlineStr">
        <is>
          <t>Outros</t>
        </is>
      </c>
      <c r="F437" s="4" t="inlineStr">
        <is>
          <t>TYTON CAPITAL INVESTIMENTOS LTDA.</t>
        </is>
      </c>
      <c r="G437" s="4" t="inlineStr">
        <is>
          <t>Terceiros</t>
        </is>
      </c>
      <c r="H437" s="8" t="n"/>
      <c r="I437" s="7" t="n">
        <v>1000</v>
      </c>
      <c r="J437" s="5" t="n">
        <v>31</v>
      </c>
      <c r="K437" s="4" t="inlineStr">
        <is>
          <t>Em Funcionamento Normal</t>
        </is>
      </c>
      <c r="L437" s="4" t="inlineStr">
        <is>
          <t>API interna</t>
        </is>
      </c>
    </row>
    <row r="438">
      <c r="A438" s="4" t="inlineStr">
        <is>
          <t>BTG Pactual</t>
        </is>
      </c>
      <c r="B438" s="4" t="inlineStr">
        <is>
          <t>Patria Prev BP Seg FIC FIM CP</t>
        </is>
      </c>
      <c r="C438" s="4" t="inlineStr">
        <is>
          <t>65.615.824/0001-11</t>
        </is>
      </c>
      <c r="D438" s="4" t="inlineStr">
        <is>
          <t>Previdência Multimercado Livre</t>
        </is>
      </c>
      <c r="E438" s="4" t="inlineStr">
        <is>
          <t>Renda Fixa</t>
        </is>
      </c>
      <c r="F438" s="4" t="inlineStr">
        <is>
          <t>PÁTRIA INVESTIMENTOS LTDA.</t>
        </is>
      </c>
      <c r="G438" s="4" t="inlineStr">
        <is>
          <t>Terceiros</t>
        </is>
      </c>
      <c r="H438" s="8" t="n"/>
      <c r="I438" s="7" t="n">
        <v>1000</v>
      </c>
      <c r="J438" s="5" t="n">
        <v>92</v>
      </c>
      <c r="K438" s="4" t="inlineStr">
        <is>
          <t>Em Funcionamento Normal</t>
        </is>
      </c>
      <c r="L438" s="4" t="inlineStr">
        <is>
          <t>API interna</t>
        </is>
      </c>
    </row>
    <row r="439">
      <c r="A439" s="4" t="inlineStr">
        <is>
          <t>BTG Pactual</t>
        </is>
      </c>
      <c r="B439" s="4" t="inlineStr">
        <is>
          <t>Alphakey Prev 70 FIC FIF MM</t>
        </is>
      </c>
      <c r="C439" s="4" t="inlineStr">
        <is>
          <t>65.655.653/0001-54</t>
        </is>
      </c>
      <c r="D439" s="4" t="inlineStr">
        <is>
          <t>Multimercados Livre</t>
        </is>
      </c>
      <c r="E439" s="4" t="inlineStr">
        <is>
          <t>Renda Variável</t>
        </is>
      </c>
      <c r="F439" s="4" t="inlineStr">
        <is>
          <t>ALPHAKEY CAPITAL MANAGEMENT INVESTIMENTOS LTDA</t>
        </is>
      </c>
      <c r="G439" s="4" t="inlineStr">
        <is>
          <t>Terceiros</t>
        </is>
      </c>
      <c r="H439" s="8" t="n"/>
      <c r="I439" s="7" t="n">
        <v>1000</v>
      </c>
      <c r="J439" s="5" t="n">
        <v>10</v>
      </c>
      <c r="K439" s="4" t="inlineStr">
        <is>
          <t>Em Funcionamento Normal</t>
        </is>
      </c>
      <c r="L439" s="4" t="inlineStr">
        <is>
          <t>API interna</t>
        </is>
      </c>
    </row>
    <row r="440">
      <c r="A440" s="4" t="inlineStr">
        <is>
          <t>BTG Pactual</t>
        </is>
      </c>
      <c r="B440" s="4" t="inlineStr">
        <is>
          <t>Bradesco Maple Valor Prev FIC FIA Access</t>
        </is>
      </c>
      <c r="C440" s="4" t="inlineStr">
        <is>
          <t>66.220.281/0001-04</t>
        </is>
      </c>
      <c r="D440" s="4" t="inlineStr">
        <is>
          <t>Previdência Ações Ativo</t>
        </is>
      </c>
      <c r="E440" s="4" t="inlineStr">
        <is>
          <t>Renda Variável</t>
        </is>
      </c>
      <c r="F440" s="4" t="inlineStr">
        <is>
          <t>BTG PACTUAL GESTÃO E CONSULTORIA DE INVESTIMENTOS LTDA</t>
        </is>
      </c>
      <c r="G440" s="4" t="inlineStr">
        <is>
          <t>Própria</t>
        </is>
      </c>
      <c r="H440" s="8" t="n">
        <v>1.5</v>
      </c>
      <c r="I440" s="7" t="n">
        <v>0</v>
      </c>
      <c r="J440" s="5" t="n">
        <v>5</v>
      </c>
      <c r="K440" s="4" t="inlineStr">
        <is>
          <t>Em Funcionamento Normal</t>
        </is>
      </c>
      <c r="L440" s="4" t="inlineStr">
        <is>
          <t>API interna</t>
        </is>
      </c>
    </row>
    <row r="441">
      <c r="A441" s="4" t="inlineStr">
        <is>
          <t>BTG Pactual</t>
        </is>
      </c>
      <c r="B441" s="4" t="inlineStr">
        <is>
          <t>A1 High Grade FIE I Prev BP FIC FIRF</t>
        </is>
      </c>
      <c r="C441" s="4" t="inlineStr">
        <is>
          <t>67.124.600/0001-32</t>
        </is>
      </c>
      <c r="D441" s="4" t="inlineStr">
        <is>
          <t>Previdência RF Duração Livre Crédito Liv</t>
        </is>
      </c>
      <c r="E441" s="4" t="inlineStr">
        <is>
          <t>Outros</t>
        </is>
      </c>
      <c r="F441" s="4" t="inlineStr">
        <is>
          <t>ASSET1 INVESTIMENTOS S/A</t>
        </is>
      </c>
      <c r="G441" s="4" t="inlineStr">
        <is>
          <t>Terceiros</t>
        </is>
      </c>
      <c r="H441" s="8" t="n">
        <v>0.85</v>
      </c>
      <c r="I441" s="7" t="n">
        <v>1000</v>
      </c>
      <c r="J441" s="5" t="n">
        <v>2</v>
      </c>
      <c r="K441" s="4" t="inlineStr">
        <is>
          <t>Em Funcionamento Normal</t>
        </is>
      </c>
      <c r="L441" s="4" t="inlineStr">
        <is>
          <t>API interna</t>
        </is>
      </c>
    </row>
    <row r="442">
      <c r="A442" s="4" t="inlineStr">
        <is>
          <t>BTG Pactual</t>
        </is>
      </c>
      <c r="B442" s="4" t="inlineStr">
        <is>
          <t>Finacap BP Prev 70 FIF MM</t>
        </is>
      </c>
      <c r="C442" s="4" t="inlineStr">
        <is>
          <t>67.671.091/0001-68</t>
        </is>
      </c>
      <c r="D442" s="4" t="inlineStr">
        <is>
          <t>Previdência Multimercado Livre</t>
        </is>
      </c>
      <c r="E442" s="4" t="inlineStr">
        <is>
          <t>Renda Variável</t>
        </is>
      </c>
      <c r="F442" s="4" t="inlineStr">
        <is>
          <t>FINACAP INVESTIMENTOS LTDA</t>
        </is>
      </c>
      <c r="G442" s="4" t="inlineStr">
        <is>
          <t>Terceiros</t>
        </is>
      </c>
      <c r="H442" s="8" t="n"/>
      <c r="I442" s="7" t="n">
        <v>1000</v>
      </c>
      <c r="J442" s="5" t="n">
        <v>6</v>
      </c>
      <c r="K442" s="4" t="inlineStr">
        <is>
          <t>Em Funcionamento Normal</t>
        </is>
      </c>
      <c r="L442" s="4" t="inlineStr">
        <is>
          <t>API interna</t>
        </is>
      </c>
    </row>
    <row r="443">
      <c r="A443" s="4" t="inlineStr">
        <is>
          <t>BTG Pactual</t>
        </is>
      </c>
      <c r="B443" s="4" t="inlineStr">
        <is>
          <t>Reach Credito Prev FIE FIF MM CP</t>
        </is>
      </c>
      <c r="C443" s="4" t="inlineStr">
        <is>
          <t>68.068.343/0001-21</t>
        </is>
      </c>
      <c r="D443" s="4" t="inlineStr">
        <is>
          <t>Previdência Multimercado Livre</t>
        </is>
      </c>
      <c r="E443" s="4" t="inlineStr">
        <is>
          <t>Outros</t>
        </is>
      </c>
      <c r="F443" s="4" t="inlineStr">
        <is>
          <t>REACH CAPITAL INVESTIMENTOS S.A</t>
        </is>
      </c>
      <c r="G443" s="4" t="inlineStr">
        <is>
          <t>Terceiros</t>
        </is>
      </c>
      <c r="H443" s="8" t="n"/>
      <c r="I443" s="7" t="n">
        <v>1000</v>
      </c>
      <c r="J443" s="5" t="n">
        <v>9</v>
      </c>
      <c r="K443" s="4" t="inlineStr">
        <is>
          <t>Em Funcionamento Normal</t>
        </is>
      </c>
      <c r="L443" s="4" t="inlineStr">
        <is>
          <t>API interna</t>
        </is>
      </c>
    </row>
    <row r="444">
      <c r="A444" s="4" t="inlineStr">
        <is>
          <t>BTG Pactual</t>
        </is>
      </c>
      <c r="B444" s="4" t="inlineStr">
        <is>
          <t>Itaú Dual Advanced Prev FIF FIC MM Access</t>
        </is>
      </c>
      <c r="C444" s="4" t="inlineStr">
        <is>
          <t>68.134.799/0001-42</t>
        </is>
      </c>
      <c r="D444" s="4" t="inlineStr">
        <is>
          <t>Previdência Multimercado Livre</t>
        </is>
      </c>
      <c r="E444" s="4" t="inlineStr">
        <is>
          <t>Renda Fixa</t>
        </is>
      </c>
      <c r="F444" s="4" t="inlineStr">
        <is>
          <t>BTG PACTUAL GESTÃO E CONSULTORIA DE INVESTIMENTOS LTDA</t>
        </is>
      </c>
      <c r="G444" s="4" t="inlineStr">
        <is>
          <t>Própria</t>
        </is>
      </c>
      <c r="H444" s="8" t="n">
        <v>0.7000000000000001</v>
      </c>
      <c r="I444" s="7" t="n">
        <v>1000</v>
      </c>
      <c r="J444" s="5" t="n">
        <v>12</v>
      </c>
      <c r="K444" s="4" t="inlineStr">
        <is>
          <t>Em Funcionamento Normal</t>
        </is>
      </c>
      <c r="L444" s="4" t="inlineStr">
        <is>
          <t>API interna</t>
        </is>
      </c>
    </row>
    <row r="445">
      <c r="A445" s="4" t="inlineStr">
        <is>
          <t>BTG Pactual</t>
        </is>
      </c>
      <c r="B445" s="4" t="inlineStr">
        <is>
          <t>Encore Valor Dividendos 100 BP Prev FIC FIA Access</t>
        </is>
      </c>
      <c r="C445" s="4" t="inlineStr">
        <is>
          <t>68.171.753/0001-01</t>
        </is>
      </c>
      <c r="D445" s="4" t="inlineStr">
        <is>
          <t>Previdência Ações Ativo</t>
        </is>
      </c>
      <c r="E445" s="4" t="inlineStr">
        <is>
          <t>Renda Variável</t>
        </is>
      </c>
      <c r="F445" s="4" t="inlineStr">
        <is>
          <t>BTG PACTUAL GESTÃO E CONSULTORIA DE INVESTIMENTOS LTDA</t>
        </is>
      </c>
      <c r="G445" s="4" t="inlineStr">
        <is>
          <t>Própria</t>
        </is>
      </c>
      <c r="H445" s="8" t="n">
        <v>2</v>
      </c>
      <c r="I445" s="7" t="n">
        <v>1000</v>
      </c>
      <c r="J445" s="5" t="n">
        <v>32</v>
      </c>
      <c r="K445" s="4" t="inlineStr">
        <is>
          <t>Em Funcionamento Normal</t>
        </is>
      </c>
      <c r="L445" s="4" t="inlineStr">
        <is>
          <t>API interna</t>
        </is>
      </c>
    </row>
    <row r="446">
      <c r="A446" s="4" t="inlineStr">
        <is>
          <t>Itaú Private</t>
        </is>
      </c>
      <c r="B446" s="4" t="inlineStr">
        <is>
          <t>Canvas Enduro Prev PVT MM</t>
        </is>
      </c>
      <c r="C446" s="4" t="inlineStr"/>
      <c r="D446" s="4" t="inlineStr"/>
      <c r="E446" s="4" t="inlineStr">
        <is>
          <t>Multimercados</t>
        </is>
      </c>
      <c r="F446" s="4" t="inlineStr">
        <is>
          <t>CANVAS CAPITAL S.A.</t>
        </is>
      </c>
      <c r="G446" s="4" t="inlineStr">
        <is>
          <t>Terceiros</t>
        </is>
      </c>
      <c r="H446" s="8" t="n">
        <v>2</v>
      </c>
      <c r="I446" s="7" t="n"/>
      <c r="J446" s="5" t="n"/>
      <c r="K446" s="4" t="inlineStr"/>
      <c r="L446" s="4" t="inlineStr">
        <is>
          <t>Site (HTML)</t>
        </is>
      </c>
    </row>
    <row r="447">
      <c r="A447" s="4" t="inlineStr">
        <is>
          <t>Itaú Private</t>
        </is>
      </c>
      <c r="B447" s="4" t="inlineStr">
        <is>
          <t>Flexprev CP Ativo II</t>
        </is>
      </c>
      <c r="C447" s="4" t="inlineStr"/>
      <c r="D447" s="4" t="inlineStr"/>
      <c r="E447" s="4" t="inlineStr">
        <is>
          <t>PREVIDÊNCIA - Renda Fixa</t>
        </is>
      </c>
      <c r="F447" s="4" t="inlineStr"/>
      <c r="G447" s="4" t="inlineStr">
        <is>
          <t>-</t>
        </is>
      </c>
      <c r="H447" s="8" t="n"/>
      <c r="I447" s="7" t="n"/>
      <c r="J447" s="5" t="n"/>
      <c r="K447" s="4" t="inlineStr"/>
      <c r="L447" s="4" t="inlineStr">
        <is>
          <t>Site (HTML)</t>
        </is>
      </c>
    </row>
    <row r="448">
      <c r="A448" s="4" t="inlineStr">
        <is>
          <t>Itaú Private</t>
        </is>
      </c>
      <c r="B448" s="4" t="inlineStr">
        <is>
          <t>Flexprev Private DI</t>
        </is>
      </c>
      <c r="C448" s="4" t="inlineStr"/>
      <c r="D448" s="4" t="inlineStr"/>
      <c r="E448" s="4" t="inlineStr">
        <is>
          <t>Juros Pós-Fixados</t>
        </is>
      </c>
      <c r="F448" s="4" t="inlineStr"/>
      <c r="G448" s="4" t="inlineStr">
        <is>
          <t>-</t>
        </is>
      </c>
      <c r="H448" s="8" t="n">
        <v>1</v>
      </c>
      <c r="I448" s="7" t="n"/>
      <c r="J448" s="5" t="n"/>
      <c r="K448" s="4" t="inlineStr"/>
      <c r="L448" s="4" t="inlineStr">
        <is>
          <t>Site (HTML)</t>
        </is>
      </c>
    </row>
    <row r="449">
      <c r="A449" s="4" t="inlineStr">
        <is>
          <t>Itaú Private</t>
        </is>
      </c>
      <c r="B449" s="4" t="inlineStr">
        <is>
          <t>Itaú Prev Verde MM</t>
        </is>
      </c>
      <c r="C449" s="4" t="inlineStr"/>
      <c r="D449" s="4" t="inlineStr"/>
      <c r="E449" s="4" t="inlineStr">
        <is>
          <t>Multimercados</t>
        </is>
      </c>
      <c r="F449" s="4" t="inlineStr">
        <is>
          <t>ITAU UNIBANCO S.A.</t>
        </is>
      </c>
      <c r="G449" s="4" t="inlineStr">
        <is>
          <t>Terceiros</t>
        </is>
      </c>
      <c r="H449" s="8" t="n">
        <v>2</v>
      </c>
      <c r="I449" s="7" t="n"/>
      <c r="J449" s="5" t="n"/>
      <c r="K449" s="4" t="inlineStr"/>
      <c r="L449" s="4" t="inlineStr">
        <is>
          <t>Site (HTML)</t>
        </is>
      </c>
    </row>
    <row r="450">
      <c r="A450" s="4" t="inlineStr">
        <is>
          <t>Itaú Private</t>
        </is>
      </c>
      <c r="B450" s="4" t="inlineStr">
        <is>
          <t>Itau Private Prev Kinea Rf</t>
        </is>
      </c>
      <c r="C450" s="4" t="inlineStr"/>
      <c r="D450" s="4" t="inlineStr"/>
      <c r="E450" s="4" t="inlineStr">
        <is>
          <t>Juros Pós-Fixados</t>
        </is>
      </c>
      <c r="F450" s="4" t="inlineStr">
        <is>
          <t>ITAU UNIBANCO S.A.</t>
        </is>
      </c>
      <c r="G450" s="4" t="inlineStr">
        <is>
          <t>Terceiros</t>
        </is>
      </c>
      <c r="H450" s="8" t="n">
        <v>0.8</v>
      </c>
      <c r="I450" s="7" t="n"/>
      <c r="J450" s="5" t="n"/>
      <c r="K450" s="4" t="inlineStr"/>
      <c r="L450" s="4" t="inlineStr">
        <is>
          <t>Site (HTML)</t>
        </is>
      </c>
    </row>
    <row r="451">
      <c r="A451" s="4" t="inlineStr">
        <is>
          <t>Itaú Private</t>
        </is>
      </c>
      <c r="B451" s="4" t="inlineStr">
        <is>
          <t>Itau Private Prev Kinea XTR</t>
        </is>
      </c>
      <c r="C451" s="4" t="inlineStr"/>
      <c r="D451" s="4" t="inlineStr"/>
      <c r="E451" s="4" t="inlineStr">
        <is>
          <t>Multimercados</t>
        </is>
      </c>
      <c r="F451" s="4" t="inlineStr">
        <is>
          <t>ITAU UNIBANCO S.A.</t>
        </is>
      </c>
      <c r="G451" s="4" t="inlineStr">
        <is>
          <t>Terceiros</t>
        </is>
      </c>
      <c r="H451" s="8" t="n">
        <v>2</v>
      </c>
      <c r="I451" s="7" t="n"/>
      <c r="J451" s="5" t="n"/>
      <c r="K451" s="4" t="inlineStr"/>
      <c r="L451" s="4" t="inlineStr">
        <is>
          <t>Site (HTML)</t>
        </is>
      </c>
    </row>
    <row r="452">
      <c r="A452" s="4" t="inlineStr">
        <is>
          <t>Itaú Private</t>
        </is>
      </c>
      <c r="B452" s="4" t="inlineStr">
        <is>
          <t>Kinea Prev Credito Privado</t>
        </is>
      </c>
      <c r="C452" s="4" t="inlineStr"/>
      <c r="D452" s="4" t="inlineStr"/>
      <c r="E452" s="4" t="inlineStr">
        <is>
          <t>Juros Pós-Fixados</t>
        </is>
      </c>
      <c r="F452" s="4" t="inlineStr"/>
      <c r="G452" s="4" t="inlineStr">
        <is>
          <t>-</t>
        </is>
      </c>
      <c r="H452" s="8" t="n">
        <v>0.6</v>
      </c>
      <c r="I452" s="7" t="n"/>
      <c r="J452" s="5" t="n"/>
      <c r="K452" s="4" t="inlineStr"/>
      <c r="L452" s="4" t="inlineStr">
        <is>
          <t>Site (HTML)</t>
        </is>
      </c>
    </row>
    <row r="453">
      <c r="A453" s="4" t="inlineStr">
        <is>
          <t>Itaú Private</t>
        </is>
      </c>
      <c r="B453" s="4" t="inlineStr">
        <is>
          <t>Kinea XTR II Prev PVT MM</t>
        </is>
      </c>
      <c r="C453" s="4" t="inlineStr"/>
      <c r="D453" s="4" t="inlineStr"/>
      <c r="E453" s="4" t="inlineStr">
        <is>
          <t>Multimercados</t>
        </is>
      </c>
      <c r="F453" s="4" t="inlineStr"/>
      <c r="G453" s="4" t="inlineStr">
        <is>
          <t>-</t>
        </is>
      </c>
      <c r="H453" s="8" t="n">
        <v>1.5</v>
      </c>
      <c r="I453" s="7" t="n"/>
      <c r="J453" s="5" t="n"/>
      <c r="K453" s="4" t="inlineStr"/>
      <c r="L453" s="4" t="inlineStr">
        <is>
          <t>Site (HTML)</t>
        </is>
      </c>
    </row>
    <row r="454">
      <c r="A454" s="4" t="inlineStr">
        <is>
          <t>Itaú Private</t>
        </is>
      </c>
      <c r="B454" s="4" t="inlineStr">
        <is>
          <t>Platinum III</t>
        </is>
      </c>
      <c r="C454" s="4" t="inlineStr"/>
      <c r="D454" s="4" t="inlineStr"/>
      <c r="E454" s="4" t="inlineStr">
        <is>
          <t>Juros Prefixados</t>
        </is>
      </c>
      <c r="F454" s="4" t="inlineStr">
        <is>
          <t>PLATINUM CAPITAL GESTÃO DE RECURSOS LTDA.</t>
        </is>
      </c>
      <c r="G454" s="4" t="inlineStr">
        <is>
          <t>Terceiros</t>
        </is>
      </c>
      <c r="H454" s="8" t="n">
        <v>0.6</v>
      </c>
      <c r="I454" s="7" t="n"/>
      <c r="J454" s="5" t="n"/>
      <c r="K454" s="4" t="inlineStr"/>
      <c r="L454" s="4" t="inlineStr">
        <is>
          <t>Site (HTML)</t>
        </is>
      </c>
    </row>
    <row r="455">
      <c r="A455" s="4" t="inlineStr">
        <is>
          <t>Itaú Private</t>
        </is>
      </c>
      <c r="B455" s="4" t="inlineStr">
        <is>
          <t>Private Juro Real Target 2026 II</t>
        </is>
      </c>
      <c r="C455" s="4" t="inlineStr"/>
      <c r="D455" s="4" t="inlineStr"/>
      <c r="E455" s="4" t="inlineStr">
        <is>
          <t>Inflação</t>
        </is>
      </c>
      <c r="F455" s="4" t="inlineStr"/>
      <c r="G455" s="4" t="inlineStr">
        <is>
          <t>-</t>
        </is>
      </c>
      <c r="H455" s="8" t="n">
        <v>0.5</v>
      </c>
      <c r="I455" s="7" t="n"/>
      <c r="J455" s="5" t="n"/>
      <c r="K455" s="4" t="inlineStr"/>
      <c r="L455" s="4" t="inlineStr">
        <is>
          <t>Site (HTML)</t>
        </is>
      </c>
    </row>
    <row r="456">
      <c r="A456" s="4" t="inlineStr">
        <is>
          <t>Itaú Private</t>
        </is>
      </c>
      <c r="B456" s="4" t="inlineStr">
        <is>
          <t>Private Juro Real Target 2030 II</t>
        </is>
      </c>
      <c r="C456" s="4" t="inlineStr"/>
      <c r="D456" s="4" t="inlineStr"/>
      <c r="E456" s="4" t="inlineStr">
        <is>
          <t>Inflação</t>
        </is>
      </c>
      <c r="F456" s="4" t="inlineStr"/>
      <c r="G456" s="4" t="inlineStr">
        <is>
          <t>-</t>
        </is>
      </c>
      <c r="H456" s="8" t="n">
        <v>0.5</v>
      </c>
      <c r="I456" s="7" t="n"/>
      <c r="J456" s="5" t="n"/>
      <c r="K456" s="4" t="inlineStr"/>
      <c r="L456" s="4" t="inlineStr">
        <is>
          <t>Site (HTML)</t>
        </is>
      </c>
    </row>
    <row r="457">
      <c r="A457" s="4" t="inlineStr">
        <is>
          <t>Itaú Private</t>
        </is>
      </c>
      <c r="B457" s="4" t="inlineStr">
        <is>
          <t>Private Juro Real Target 2035 II</t>
        </is>
      </c>
      <c r="C457" s="4" t="inlineStr"/>
      <c r="D457" s="4" t="inlineStr"/>
      <c r="E457" s="4" t="inlineStr">
        <is>
          <t>Inflação</t>
        </is>
      </c>
      <c r="F457" s="4" t="inlineStr"/>
      <c r="G457" s="4" t="inlineStr">
        <is>
          <t>-</t>
        </is>
      </c>
      <c r="H457" s="8" t="n">
        <v>0.5</v>
      </c>
      <c r="I457" s="7" t="n"/>
      <c r="J457" s="5" t="n"/>
      <c r="K457" s="4" t="inlineStr"/>
      <c r="L457" s="4" t="inlineStr">
        <is>
          <t>Site (HTML)</t>
        </is>
      </c>
    </row>
    <row r="458">
      <c r="A458" s="4" t="inlineStr">
        <is>
          <t>Itaú Private</t>
        </is>
      </c>
      <c r="B458" s="4" t="inlineStr">
        <is>
          <t>Private Juro Real Target II 2024</t>
        </is>
      </c>
      <c r="C458" s="4" t="inlineStr"/>
      <c r="D458" s="4" t="inlineStr"/>
      <c r="E458" s="4" t="inlineStr">
        <is>
          <t>Inflação</t>
        </is>
      </c>
      <c r="F458" s="4" t="inlineStr"/>
      <c r="G458" s="4" t="inlineStr">
        <is>
          <t>-</t>
        </is>
      </c>
      <c r="H458" s="8" t="n">
        <v>0.5</v>
      </c>
      <c r="I458" s="7" t="n"/>
      <c r="J458" s="5" t="n"/>
      <c r="K458" s="4" t="inlineStr"/>
      <c r="L458" s="4" t="inlineStr">
        <is>
          <t>Site (HTML)</t>
        </is>
      </c>
    </row>
    <row r="459">
      <c r="A459" s="4" t="inlineStr">
        <is>
          <t>Itaú Private</t>
        </is>
      </c>
      <c r="B459" s="4" t="inlineStr">
        <is>
          <t>Private Kinea Multimercado</t>
        </is>
      </c>
      <c r="C459" s="4" t="inlineStr"/>
      <c r="D459" s="4" t="inlineStr"/>
      <c r="E459" s="4" t="inlineStr">
        <is>
          <t>Multimercados</t>
        </is>
      </c>
      <c r="F459" s="4" t="inlineStr"/>
      <c r="G459" s="4" t="inlineStr">
        <is>
          <t>-</t>
        </is>
      </c>
      <c r="H459" s="8" t="n">
        <v>1.5</v>
      </c>
      <c r="I459" s="7" t="n"/>
      <c r="J459" s="5" t="n"/>
      <c r="K459" s="4" t="inlineStr"/>
      <c r="L459" s="4" t="inlineStr">
        <is>
          <t>Site (HTML)</t>
        </is>
      </c>
    </row>
    <row r="460">
      <c r="A460" s="4" t="inlineStr">
        <is>
          <t>Itaú Private</t>
        </is>
      </c>
      <c r="B460" s="4" t="inlineStr">
        <is>
          <t>Private Prev RF</t>
        </is>
      </c>
      <c r="C460" s="4" t="inlineStr"/>
      <c r="D460" s="4" t="inlineStr"/>
      <c r="E460" s="4" t="inlineStr">
        <is>
          <t>PREVIDÊNCIA - Renda Fixa</t>
        </is>
      </c>
      <c r="F460" s="4" t="inlineStr"/>
      <c r="G460" s="4" t="inlineStr">
        <is>
          <t>-</t>
        </is>
      </c>
      <c r="H460" s="8" t="n">
        <v>0.8</v>
      </c>
      <c r="I460" s="7" t="n"/>
      <c r="J460" s="5" t="n"/>
      <c r="K460" s="4" t="inlineStr"/>
      <c r="L460" s="4" t="inlineStr">
        <is>
          <t>Site (HTML)</t>
        </is>
      </c>
    </row>
    <row r="461">
      <c r="A461" s="4" t="inlineStr">
        <is>
          <t>Itaú Private</t>
        </is>
      </c>
      <c r="B461" s="4" t="inlineStr">
        <is>
          <t>Private Prev Absolute MM</t>
        </is>
      </c>
      <c r="C461" s="4" t="inlineStr"/>
      <c r="D461" s="4" t="inlineStr"/>
      <c r="E461" s="4" t="inlineStr">
        <is>
          <t>Multimercados</t>
        </is>
      </c>
      <c r="F461" s="4" t="inlineStr"/>
      <c r="G461" s="4" t="inlineStr">
        <is>
          <t>-</t>
        </is>
      </c>
      <c r="H461" s="8" t="n">
        <v>2</v>
      </c>
      <c r="I461" s="7" t="n"/>
      <c r="J461" s="5" t="n"/>
      <c r="K461" s="4" t="inlineStr"/>
      <c r="L461" s="4" t="inlineStr">
        <is>
          <t>Site (HTML)</t>
        </is>
      </c>
    </row>
    <row r="462">
      <c r="A462" s="4" t="inlineStr">
        <is>
          <t>Itaú Private</t>
        </is>
      </c>
      <c r="B462" s="4" t="inlineStr">
        <is>
          <t>Private Prev Active Fix</t>
        </is>
      </c>
      <c r="C462" s="4" t="inlineStr"/>
      <c r="D462" s="4" t="inlineStr"/>
      <c r="E462" s="4" t="inlineStr">
        <is>
          <t>Juros Pós-Fixados</t>
        </is>
      </c>
      <c r="F462" s="4" t="inlineStr"/>
      <c r="G462" s="4" t="inlineStr">
        <is>
          <t>-</t>
        </is>
      </c>
      <c r="H462" s="8" t="n">
        <v>0.5</v>
      </c>
      <c r="I462" s="7" t="n"/>
      <c r="J462" s="5" t="n"/>
      <c r="K462" s="4" t="inlineStr"/>
      <c r="L462" s="4" t="inlineStr">
        <is>
          <t>Site (HTML)</t>
        </is>
      </c>
    </row>
    <row r="463">
      <c r="A463" s="4" t="inlineStr">
        <is>
          <t>Itaú Private</t>
        </is>
      </c>
      <c r="B463" s="4" t="inlineStr">
        <is>
          <t>Private Prev Adam MM VGBL</t>
        </is>
      </c>
      <c r="C463" s="4" t="inlineStr"/>
      <c r="D463" s="4" t="inlineStr"/>
      <c r="E463" s="4" t="inlineStr">
        <is>
          <t>Multimercados</t>
        </is>
      </c>
      <c r="F463" s="4" t="inlineStr"/>
      <c r="G463" s="4" t="inlineStr">
        <is>
          <t>-</t>
        </is>
      </c>
      <c r="H463" s="8" t="n">
        <v>2</v>
      </c>
      <c r="I463" s="7" t="n"/>
      <c r="J463" s="5" t="n"/>
      <c r="K463" s="4" t="inlineStr"/>
      <c r="L463" s="4" t="inlineStr">
        <is>
          <t>Site (HTML)</t>
        </is>
      </c>
    </row>
    <row r="464">
      <c r="A464" s="4" t="inlineStr">
        <is>
          <t>Itaú Private</t>
        </is>
      </c>
      <c r="B464" s="4" t="inlineStr">
        <is>
          <t>Private Prev Ativo RF</t>
        </is>
      </c>
      <c r="C464" s="4" t="inlineStr"/>
      <c r="D464" s="4" t="inlineStr"/>
      <c r="E464" s="4" t="inlineStr">
        <is>
          <t>PREVIDÊNCIA - Renda Fixa</t>
        </is>
      </c>
      <c r="F464" s="4" t="inlineStr"/>
      <c r="G464" s="4" t="inlineStr">
        <is>
          <t>-</t>
        </is>
      </c>
      <c r="H464" s="8" t="n">
        <v>1.25</v>
      </c>
      <c r="I464" s="7" t="n"/>
      <c r="J464" s="5" t="n"/>
      <c r="K464" s="4" t="inlineStr"/>
      <c r="L464" s="4" t="inlineStr">
        <is>
          <t>Site (HTML)</t>
        </is>
      </c>
    </row>
    <row r="465">
      <c r="A465" s="4" t="inlineStr">
        <is>
          <t>Itaú Private</t>
        </is>
      </c>
      <c r="B465" s="4" t="inlineStr">
        <is>
          <t>Private Prev Dinamico Crédito Privado</t>
        </is>
      </c>
      <c r="C465" s="4" t="inlineStr"/>
      <c r="D465" s="4" t="inlineStr"/>
      <c r="E465" s="4" t="inlineStr">
        <is>
          <t>PREVIDÊNCIA - Renda Fixa</t>
        </is>
      </c>
      <c r="F465" s="4" t="inlineStr"/>
      <c r="G465" s="4" t="inlineStr">
        <is>
          <t>-</t>
        </is>
      </c>
      <c r="H465" s="8" t="n">
        <v>1</v>
      </c>
      <c r="I465" s="7" t="n"/>
      <c r="J465" s="5" t="n"/>
      <c r="K465" s="4" t="inlineStr"/>
      <c r="L465" s="4" t="inlineStr">
        <is>
          <t>Site (HTML)</t>
        </is>
      </c>
    </row>
    <row r="466">
      <c r="A466" s="4" t="inlineStr">
        <is>
          <t>Itaú Private</t>
        </is>
      </c>
      <c r="B466" s="4" t="inlineStr">
        <is>
          <t>Private Prev Dunamis Ações</t>
        </is>
      </c>
      <c r="C466" s="4" t="inlineStr"/>
      <c r="D466" s="4" t="inlineStr"/>
      <c r="E466" s="4" t="inlineStr">
        <is>
          <t>Ações</t>
        </is>
      </c>
      <c r="F466" s="4" t="inlineStr"/>
      <c r="G466" s="4" t="inlineStr">
        <is>
          <t>-</t>
        </is>
      </c>
      <c r="H466" s="8" t="n">
        <v>2</v>
      </c>
      <c r="I466" s="7" t="n"/>
      <c r="J466" s="5" t="n"/>
      <c r="K466" s="4" t="inlineStr"/>
      <c r="L466" s="4" t="inlineStr">
        <is>
          <t>Site (HTML)</t>
        </is>
      </c>
    </row>
    <row r="467">
      <c r="A467" s="4" t="inlineStr">
        <is>
          <t>Itaú Private</t>
        </is>
      </c>
      <c r="B467" s="4" t="inlineStr">
        <is>
          <t>Private Prev High Yield</t>
        </is>
      </c>
      <c r="C467" s="4" t="inlineStr"/>
      <c r="D467" s="4" t="inlineStr"/>
      <c r="E467" s="4" t="inlineStr">
        <is>
          <t>Juros Pós-Fixados</t>
        </is>
      </c>
      <c r="F467" s="4" t="inlineStr"/>
      <c r="G467" s="4" t="inlineStr">
        <is>
          <t>-</t>
        </is>
      </c>
      <c r="H467" s="8" t="n">
        <v>0.6</v>
      </c>
      <c r="I467" s="7" t="n"/>
      <c r="J467" s="5" t="n"/>
      <c r="K467" s="4" t="inlineStr"/>
      <c r="L467" s="4" t="inlineStr">
        <is>
          <t>Site (HTML)</t>
        </is>
      </c>
    </row>
    <row r="468">
      <c r="A468" s="4" t="inlineStr">
        <is>
          <t>Itaú Private</t>
        </is>
      </c>
      <c r="B468" s="4" t="inlineStr">
        <is>
          <t>Private Prev Ibov Passivo</t>
        </is>
      </c>
      <c r="C468" s="4" t="inlineStr"/>
      <c r="D468" s="4" t="inlineStr"/>
      <c r="E468" s="4" t="inlineStr">
        <is>
          <t>Ações</t>
        </is>
      </c>
      <c r="F468" s="4" t="inlineStr"/>
      <c r="G468" s="4" t="inlineStr">
        <is>
          <t>-</t>
        </is>
      </c>
      <c r="H468" s="8" t="n">
        <v>0.6</v>
      </c>
      <c r="I468" s="7" t="n"/>
      <c r="J468" s="5" t="n"/>
      <c r="K468" s="4" t="inlineStr"/>
      <c r="L468" s="4" t="inlineStr">
        <is>
          <t>Site (HTML)</t>
        </is>
      </c>
    </row>
    <row r="469">
      <c r="A469" s="4" t="inlineStr">
        <is>
          <t>Itaú Private</t>
        </is>
      </c>
      <c r="B469" s="4" t="inlineStr">
        <is>
          <t>Private Prev IMA-B II</t>
        </is>
      </c>
      <c r="C469" s="4" t="inlineStr"/>
      <c r="D469" s="4" t="inlineStr"/>
      <c r="E469" s="4" t="inlineStr">
        <is>
          <t>Inflação</t>
        </is>
      </c>
      <c r="F469" s="4" t="inlineStr"/>
      <c r="G469" s="4" t="inlineStr">
        <is>
          <t>-</t>
        </is>
      </c>
      <c r="H469" s="8" t="n">
        <v>0.5</v>
      </c>
      <c r="I469" s="7" t="n"/>
      <c r="J469" s="5" t="n"/>
      <c r="K469" s="4" t="inlineStr"/>
      <c r="L469" s="4" t="inlineStr">
        <is>
          <t>Site (HTML)</t>
        </is>
      </c>
    </row>
    <row r="470">
      <c r="A470" s="4" t="inlineStr">
        <is>
          <t>Itaú Private</t>
        </is>
      </c>
      <c r="B470" s="4" t="inlineStr">
        <is>
          <t>Private Prev IMP 3</t>
        </is>
      </c>
      <c r="C470" s="4" t="inlineStr"/>
      <c r="D470" s="4" t="inlineStr"/>
      <c r="E470" s="4" t="inlineStr">
        <is>
          <t>Multimercados</t>
        </is>
      </c>
      <c r="F470" s="4" t="inlineStr"/>
      <c r="G470" s="4" t="inlineStr">
        <is>
          <t>-</t>
        </is>
      </c>
      <c r="H470" s="8" t="n">
        <v>1</v>
      </c>
      <c r="I470" s="7" t="n"/>
      <c r="J470" s="5" t="n"/>
      <c r="K470" s="4" t="inlineStr"/>
      <c r="L470" s="4" t="inlineStr">
        <is>
          <t>Site (HTML)</t>
        </is>
      </c>
    </row>
    <row r="471">
      <c r="A471" s="4" t="inlineStr">
        <is>
          <t>Itaú Private</t>
        </is>
      </c>
      <c r="B471" s="4" t="inlineStr">
        <is>
          <t>Private Prev IMP 3 II</t>
        </is>
      </c>
      <c r="C471" s="4" t="inlineStr"/>
      <c r="D471" s="4" t="inlineStr"/>
      <c r="E471" s="4" t="inlineStr">
        <is>
          <t>Multimercados</t>
        </is>
      </c>
      <c r="F471" s="4" t="inlineStr"/>
      <c r="G471" s="4" t="inlineStr">
        <is>
          <t>-</t>
        </is>
      </c>
      <c r="H471" s="8" t="n">
        <v>0.8</v>
      </c>
      <c r="I471" s="7" t="n"/>
      <c r="J471" s="5" t="n"/>
      <c r="K471" s="4" t="inlineStr"/>
      <c r="L471" s="4" t="inlineStr">
        <is>
          <t>Site (HTML)</t>
        </is>
      </c>
    </row>
    <row r="472">
      <c r="A472" s="4" t="inlineStr">
        <is>
          <t>Itaú Private</t>
        </is>
      </c>
      <c r="B472" s="4" t="inlineStr">
        <is>
          <t>Private Prev Multigestor</t>
        </is>
      </c>
      <c r="C472" s="4" t="inlineStr"/>
      <c r="D472" s="4" t="inlineStr"/>
      <c r="E472" s="4" t="inlineStr">
        <is>
          <t>Multimercados</t>
        </is>
      </c>
      <c r="F472" s="4" t="inlineStr"/>
      <c r="G472" s="4" t="inlineStr">
        <is>
          <t>-</t>
        </is>
      </c>
      <c r="H472" s="8" t="n">
        <v>0.75</v>
      </c>
      <c r="I472" s="7" t="n"/>
      <c r="J472" s="5" t="n"/>
      <c r="K472" s="4" t="inlineStr"/>
      <c r="L472" s="4" t="inlineStr">
        <is>
          <t>Site (HTML)</t>
        </is>
      </c>
    </row>
    <row r="473">
      <c r="A473" s="4" t="inlineStr">
        <is>
          <t>Itaú Private</t>
        </is>
      </c>
      <c r="B473" s="4" t="inlineStr">
        <is>
          <t>Private Prev NTN-B 2024</t>
        </is>
      </c>
      <c r="C473" s="4" t="inlineStr"/>
      <c r="D473" s="4" t="inlineStr"/>
      <c r="E473" s="4" t="inlineStr">
        <is>
          <t>PREVIDÊNCIA - Renda Fixa</t>
        </is>
      </c>
      <c r="F473" s="4" t="inlineStr"/>
      <c r="G473" s="4" t="inlineStr">
        <is>
          <t>-</t>
        </is>
      </c>
      <c r="H473" s="8" t="n"/>
      <c r="I473" s="7" t="n"/>
      <c r="J473" s="5" t="n"/>
      <c r="K473" s="4" t="inlineStr"/>
      <c r="L473" s="4" t="inlineStr">
        <is>
          <t>Site (HTML)</t>
        </is>
      </c>
    </row>
    <row r="474">
      <c r="A474" s="4" t="inlineStr">
        <is>
          <t>Itaú Private</t>
        </is>
      </c>
      <c r="B474" s="4" t="inlineStr">
        <is>
          <t>Private Prev NTN-B 2030</t>
        </is>
      </c>
      <c r="C474" s="4" t="inlineStr"/>
      <c r="D474" s="4" t="inlineStr"/>
      <c r="E474" s="4" t="inlineStr">
        <is>
          <t>PREVIDÊNCIA - Renda Fixa</t>
        </is>
      </c>
      <c r="F474" s="4" t="inlineStr"/>
      <c r="G474" s="4" t="inlineStr">
        <is>
          <t>-</t>
        </is>
      </c>
      <c r="H474" s="8" t="n"/>
      <c r="I474" s="7" t="n"/>
      <c r="J474" s="5" t="n"/>
      <c r="K474" s="4" t="inlineStr"/>
      <c r="L474" s="4" t="inlineStr">
        <is>
          <t>Site (HTML)</t>
        </is>
      </c>
    </row>
    <row r="475">
      <c r="A475" s="4" t="inlineStr">
        <is>
          <t>Itaú Private</t>
        </is>
      </c>
      <c r="B475" s="4" t="inlineStr">
        <is>
          <t>Private Prev NTNB Ultra 2023</t>
        </is>
      </c>
      <c r="C475" s="4" t="inlineStr"/>
      <c r="D475" s="4" t="inlineStr"/>
      <c r="E475" s="4" t="inlineStr">
        <is>
          <t>Inflação</t>
        </is>
      </c>
      <c r="F475" s="4" t="inlineStr"/>
      <c r="G475" s="4" t="inlineStr">
        <is>
          <t>-</t>
        </is>
      </c>
      <c r="H475" s="8" t="n">
        <v>0.5</v>
      </c>
      <c r="I475" s="7" t="n"/>
      <c r="J475" s="5" t="n"/>
      <c r="K475" s="4" t="inlineStr"/>
      <c r="L475" s="4" t="inlineStr">
        <is>
          <t>Site (HTML)</t>
        </is>
      </c>
    </row>
    <row r="476">
      <c r="A476" s="4" t="inlineStr">
        <is>
          <t>Itaú Private</t>
        </is>
      </c>
      <c r="B476" s="4" t="inlineStr">
        <is>
          <t>Private Prev NTNB Ultra 2024</t>
        </is>
      </c>
      <c r="C476" s="4" t="inlineStr"/>
      <c r="D476" s="4" t="inlineStr"/>
      <c r="E476" s="4" t="inlineStr">
        <is>
          <t>Inflação</t>
        </is>
      </c>
      <c r="F476" s="4" t="inlineStr"/>
      <c r="G476" s="4" t="inlineStr">
        <is>
          <t>-</t>
        </is>
      </c>
      <c r="H476" s="8" t="n">
        <v>0.5</v>
      </c>
      <c r="I476" s="7" t="n"/>
      <c r="J476" s="5" t="n"/>
      <c r="K476" s="4" t="inlineStr"/>
      <c r="L476" s="4" t="inlineStr">
        <is>
          <t>Site (HTML)</t>
        </is>
      </c>
    </row>
    <row r="477">
      <c r="A477" s="4" t="inlineStr">
        <is>
          <t>Itaú Private</t>
        </is>
      </c>
      <c r="B477" s="4" t="inlineStr">
        <is>
          <t>Private Prev Perfil 2</t>
        </is>
      </c>
      <c r="C477" s="4" t="inlineStr"/>
      <c r="D477" s="4" t="inlineStr"/>
      <c r="E477" s="4" t="inlineStr">
        <is>
          <t>Multimercados</t>
        </is>
      </c>
      <c r="F477" s="4" t="inlineStr"/>
      <c r="G477" s="4" t="inlineStr">
        <is>
          <t>-</t>
        </is>
      </c>
      <c r="H477" s="8" t="n">
        <v>0.8</v>
      </c>
      <c r="I477" s="7" t="n"/>
      <c r="J477" s="5" t="n"/>
      <c r="K477" s="4" t="inlineStr"/>
      <c r="L477" s="4" t="inlineStr">
        <is>
          <t>Site (HTML)</t>
        </is>
      </c>
    </row>
    <row r="478">
      <c r="A478" s="4" t="inlineStr">
        <is>
          <t>Itaú Private</t>
        </is>
      </c>
      <c r="B478" s="4" t="inlineStr">
        <is>
          <t>Private Prev PERFIL 2 II</t>
        </is>
      </c>
      <c r="C478" s="4" t="inlineStr"/>
      <c r="D478" s="4" t="inlineStr"/>
      <c r="E478" s="4" t="inlineStr">
        <is>
          <t>Multimercados</t>
        </is>
      </c>
      <c r="F478" s="4" t="inlineStr"/>
      <c r="G478" s="4" t="inlineStr">
        <is>
          <t>-</t>
        </is>
      </c>
      <c r="H478" s="8" t="n">
        <v>0.6</v>
      </c>
      <c r="I478" s="7" t="n"/>
      <c r="J478" s="5" t="n"/>
      <c r="K478" s="4" t="inlineStr"/>
      <c r="L478" s="4" t="inlineStr">
        <is>
          <t>Site (HTML)</t>
        </is>
      </c>
    </row>
    <row r="479">
      <c r="A479" s="4" t="inlineStr">
        <is>
          <t>Itaú Private</t>
        </is>
      </c>
      <c r="B479" s="4" t="inlineStr">
        <is>
          <t>Private Prev Perfil 3</t>
        </is>
      </c>
      <c r="C479" s="4" t="inlineStr"/>
      <c r="D479" s="4" t="inlineStr"/>
      <c r="E479" s="4" t="inlineStr">
        <is>
          <t>Multimercados</t>
        </is>
      </c>
      <c r="F479" s="4" t="inlineStr"/>
      <c r="G479" s="4" t="inlineStr">
        <is>
          <t>-</t>
        </is>
      </c>
      <c r="H479" s="8" t="n">
        <v>1</v>
      </c>
      <c r="I479" s="7" t="n"/>
      <c r="J479" s="5" t="n"/>
      <c r="K479" s="4" t="inlineStr"/>
      <c r="L479" s="4" t="inlineStr">
        <is>
          <t>Site (HTML)</t>
        </is>
      </c>
    </row>
    <row r="480">
      <c r="A480" s="4" t="inlineStr">
        <is>
          <t>Itaú Private</t>
        </is>
      </c>
      <c r="B480" s="4" t="inlineStr">
        <is>
          <t>Private Prev Pré Fixado Ultra</t>
        </is>
      </c>
      <c r="C480" s="4" t="inlineStr"/>
      <c r="D480" s="4" t="inlineStr"/>
      <c r="E480" s="4" t="inlineStr">
        <is>
          <t>Juros Prefixados</t>
        </is>
      </c>
      <c r="F480" s="4" t="inlineStr"/>
      <c r="G480" s="4" t="inlineStr">
        <is>
          <t>-</t>
        </is>
      </c>
      <c r="H480" s="8" t="n">
        <v>0.6</v>
      </c>
      <c r="I480" s="7" t="n"/>
      <c r="J480" s="5" t="n"/>
      <c r="K480" s="4" t="inlineStr"/>
      <c r="L480" s="4" t="inlineStr">
        <is>
          <t>Site (HTML)</t>
        </is>
      </c>
    </row>
    <row r="481">
      <c r="A481" s="4" t="inlineStr">
        <is>
          <t>Itaú Private</t>
        </is>
      </c>
      <c r="B481" s="4" t="inlineStr">
        <is>
          <t>Private Prev Premium II</t>
        </is>
      </c>
      <c r="C481" s="4" t="inlineStr"/>
      <c r="D481" s="4" t="inlineStr"/>
      <c r="E481" s="4" t="inlineStr">
        <is>
          <t>Juros Prefixados</t>
        </is>
      </c>
      <c r="F481" s="4" t="inlineStr"/>
      <c r="G481" s="4" t="inlineStr">
        <is>
          <t>-</t>
        </is>
      </c>
      <c r="H481" s="8" t="n">
        <v>0.6</v>
      </c>
      <c r="I481" s="7" t="n"/>
      <c r="J481" s="5" t="n"/>
      <c r="K481" s="4" t="inlineStr"/>
      <c r="L481" s="4" t="inlineStr">
        <is>
          <t>Site (HTML)</t>
        </is>
      </c>
    </row>
    <row r="482">
      <c r="A482" s="4" t="inlineStr">
        <is>
          <t>Itaú Private</t>
        </is>
      </c>
      <c r="B482" s="4" t="inlineStr">
        <is>
          <t>Private Prev SPX Lancer MM</t>
        </is>
      </c>
      <c r="C482" s="4" t="inlineStr"/>
      <c r="D482" s="4" t="inlineStr"/>
      <c r="E482" s="4" t="inlineStr">
        <is>
          <t>Multimercados</t>
        </is>
      </c>
      <c r="F482" s="4" t="inlineStr"/>
      <c r="G482" s="4" t="inlineStr">
        <is>
          <t>-</t>
        </is>
      </c>
      <c r="H482" s="8" t="n">
        <v>2</v>
      </c>
      <c r="I482" s="7" t="n"/>
      <c r="J482" s="5" t="n"/>
      <c r="K482" s="4" t="inlineStr"/>
      <c r="L482" s="4" t="inlineStr">
        <is>
          <t>Site (HTML)</t>
        </is>
      </c>
    </row>
    <row r="483">
      <c r="A483" s="4" t="inlineStr">
        <is>
          <t>Itaú Private</t>
        </is>
      </c>
      <c r="B483" s="4" t="inlineStr">
        <is>
          <t>PRIVATE PREV TRUXT ACOES</t>
        </is>
      </c>
      <c r="C483" s="4" t="inlineStr"/>
      <c r="D483" s="4" t="inlineStr"/>
      <c r="E483" s="4" t="inlineStr">
        <is>
          <t>Multimercados</t>
        </is>
      </c>
      <c r="F483" s="4" t="inlineStr"/>
      <c r="G483" s="4" t="inlineStr">
        <is>
          <t>-</t>
        </is>
      </c>
      <c r="H483" s="8" t="n">
        <v>3</v>
      </c>
      <c r="I483" s="7" t="n"/>
      <c r="J483" s="5" t="n"/>
      <c r="K483" s="4" t="inlineStr"/>
      <c r="L483" s="4" t="inlineStr">
        <is>
          <t>Site (HTML)</t>
        </is>
      </c>
    </row>
    <row r="484">
      <c r="A484" s="4" t="inlineStr">
        <is>
          <t>Itaú Private</t>
        </is>
      </c>
      <c r="B484" s="4" t="inlineStr">
        <is>
          <t>Private Prev Ultra NTN-B 2030</t>
        </is>
      </c>
      <c r="C484" s="4" t="inlineStr"/>
      <c r="D484" s="4" t="inlineStr"/>
      <c r="E484" s="4" t="inlineStr">
        <is>
          <t>PREVIDÊNCIA - Renda Fixa</t>
        </is>
      </c>
      <c r="F484" s="4" t="inlineStr"/>
      <c r="G484" s="4" t="inlineStr">
        <is>
          <t>-</t>
        </is>
      </c>
      <c r="H484" s="8" t="n"/>
      <c r="I484" s="7" t="n"/>
      <c r="J484" s="5" t="n"/>
      <c r="K484" s="4" t="inlineStr"/>
      <c r="L484" s="4" t="inlineStr">
        <is>
          <t>Site (HTML)</t>
        </is>
      </c>
    </row>
    <row r="485">
      <c r="A485" s="4" t="inlineStr">
        <is>
          <t>Itaú Private</t>
        </is>
      </c>
      <c r="B485" s="4" t="inlineStr">
        <is>
          <t>Private Prev Rf Vision Plus</t>
        </is>
      </c>
      <c r="C485" s="4" t="inlineStr"/>
      <c r="D485" s="4" t="inlineStr"/>
      <c r="E485" s="4" t="inlineStr">
        <is>
          <t>Juros Prefixados</t>
        </is>
      </c>
      <c r="F485" s="4" t="inlineStr"/>
      <c r="G485" s="4" t="inlineStr">
        <is>
          <t>-</t>
        </is>
      </c>
      <c r="H485" s="8" t="n">
        <v>0.6</v>
      </c>
      <c r="I485" s="7" t="n"/>
      <c r="J485" s="5" t="n"/>
      <c r="K485" s="4" t="inlineStr"/>
      <c r="L485" s="4" t="inlineStr">
        <is>
          <t>Site (HTML)</t>
        </is>
      </c>
    </row>
    <row r="486">
      <c r="A486" s="4" t="inlineStr">
        <is>
          <t>Itaú Private</t>
        </is>
      </c>
      <c r="B486" s="4" t="inlineStr">
        <is>
          <t>Private Prev Vision Plus MM</t>
        </is>
      </c>
      <c r="C486" s="4" t="inlineStr"/>
      <c r="D486" s="4" t="inlineStr"/>
      <c r="E486" s="4" t="inlineStr">
        <is>
          <t>Multimercados</t>
        </is>
      </c>
      <c r="F486" s="4" t="inlineStr"/>
      <c r="G486" s="4" t="inlineStr">
        <is>
          <t>-</t>
        </is>
      </c>
      <c r="H486" s="8" t="n">
        <v>2</v>
      </c>
      <c r="I486" s="7" t="n"/>
      <c r="J486" s="5" t="n"/>
      <c r="K486" s="4" t="inlineStr"/>
      <c r="L486" s="4" t="inlineStr">
        <is>
          <t>Site (HTML)</t>
        </is>
      </c>
    </row>
  </sheetData>
  <conditionalFormatting sqref="H2:H486">
    <cfRule type="colorScale" priority="1">
      <colorScale>
        <cfvo type="min"/>
        <cfvo type="max"/>
        <color rgb="00C6EFCE"/>
        <color rgb="00FFC7CE"/>
      </colorScale>
    </cfRule>
  </conditionalFormatting>
  <conditionalFormatting sqref="I2:I486">
    <cfRule type="colorScale" priority="2">
      <colorScale>
        <cfvo type="min"/>
        <cfvo type="max"/>
        <color rgb="00C6EFCE"/>
        <color rgb="00FFC7C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40" customWidth="1" min="4" max="4"/>
    <col width="30" customWidth="1" min="5" max="5"/>
    <col width="34" customWidth="1" min="6" max="6"/>
    <col width="12" customWidth="1" min="7" max="7"/>
    <col width="26" customWidth="1" min="8" max="8"/>
  </cols>
  <sheetData>
    <row r="1" ht="30" customHeight="1">
      <c r="A1" s="3" t="inlineStr">
        <is>
          <t>Plataforma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Motivo</t>
        </is>
      </c>
      <c r="E1" s="3" t="inlineStr">
        <is>
          <t>Classe oficial</t>
        </is>
      </c>
      <c r="F1" s="3" t="inlineStr">
        <is>
          <t>Gestora</t>
        </is>
      </c>
      <c r="G1" s="3" t="inlineStr">
        <is>
          <t>Na vitrine</t>
        </is>
      </c>
      <c r="H1" s="3" t="inlineStr">
        <is>
          <t>Fontes</t>
        </is>
      </c>
    </row>
    <row r="2">
      <c r="A2" s="4" t="inlineStr">
        <is>
          <t>XP Investimentos</t>
        </is>
      </c>
      <c r="B2" s="4" t="inlineStr">
        <is>
          <t>Alaska Black 100 Advisory XP Seg Prev FIC FIM sem pfee</t>
        </is>
      </c>
      <c r="C2" s="4" t="inlineStr">
        <is>
          <t>32.757.743/0001-05</t>
        </is>
      </c>
      <c r="D2" s="4" t="inlineStr">
        <is>
          <t>público-alvo profissional (segundo a casa)</t>
        </is>
      </c>
      <c r="E2" s="4" t="inlineStr">
        <is>
          <t>Previdência Multimercado Livre</t>
        </is>
      </c>
      <c r="F2" s="4" t="inlineStr">
        <is>
          <t>ALASKA INVESTIMENTOS LTDA.</t>
        </is>
      </c>
      <c r="G2" s="4" t="inlineStr">
        <is>
          <t>Sim</t>
        </is>
      </c>
      <c r="H2" s="4" t="inlineStr">
        <is>
          <t>Site (navegador)</t>
        </is>
      </c>
    </row>
    <row r="3">
      <c r="A3" s="4" t="inlineStr">
        <is>
          <t>XP Investimentos</t>
        </is>
      </c>
      <c r="B3" s="4" t="inlineStr">
        <is>
          <t>Alaska Black 70 Advisory XP Seg Prev FIC FIM sem pfee</t>
        </is>
      </c>
      <c r="C3" s="4" t="inlineStr">
        <is>
          <t>32.761.323/0001-94</t>
        </is>
      </c>
      <c r="D3" s="4" t="inlineStr">
        <is>
          <t>público-alvo profissional (segundo a casa)</t>
        </is>
      </c>
      <c r="E3" s="4" t="inlineStr">
        <is>
          <t>Previdência Multimercado Livre</t>
        </is>
      </c>
      <c r="F3" s="4" t="inlineStr">
        <is>
          <t>ALASKA INVESTIMENTOS LTDA.</t>
        </is>
      </c>
      <c r="G3" s="4" t="inlineStr">
        <is>
          <t>Sim</t>
        </is>
      </c>
      <c r="H3" s="4" t="inlineStr">
        <is>
          <t>Site (navegador)</t>
        </is>
      </c>
    </row>
    <row r="4">
      <c r="A4" s="4" t="inlineStr">
        <is>
          <t>XP Investimentos</t>
        </is>
      </c>
      <c r="B4" s="4" t="inlineStr">
        <is>
          <t>Legacy Capital Prev Advisory XP Seg FIC FIM</t>
        </is>
      </c>
      <c r="C4" s="4" t="inlineStr">
        <is>
          <t>34.287.126/0001-00</t>
        </is>
      </c>
      <c r="D4" s="4" t="inlineStr">
        <is>
          <t>público-alvo profissional (segundo a casa)</t>
        </is>
      </c>
      <c r="E4" s="4" t="inlineStr">
        <is>
          <t>Previdência Multimercado Livre</t>
        </is>
      </c>
      <c r="F4" s="4" t="inlineStr">
        <is>
          <t>LEGACY CAPITAL GESTORA DE RECURSOS LTDA.</t>
        </is>
      </c>
      <c r="G4" s="4" t="inlineStr">
        <is>
          <t>Sim</t>
        </is>
      </c>
      <c r="H4" s="4" t="inlineStr">
        <is>
          <t>Site (navegador)</t>
        </is>
      </c>
    </row>
    <row r="5">
      <c r="A5" s="4" t="inlineStr">
        <is>
          <t>XP Investimentos</t>
        </is>
      </c>
      <c r="B5" s="4" t="inlineStr">
        <is>
          <t>Velt Advisory XP Seg Prev FIC FIA</t>
        </is>
      </c>
      <c r="C5" s="4" t="inlineStr">
        <is>
          <t>36.352.636/0001-40</t>
        </is>
      </c>
      <c r="D5" s="4" t="inlineStr">
        <is>
          <t>público-alvo profissional (segundo a casa)</t>
        </is>
      </c>
      <c r="E5" s="4" t="inlineStr">
        <is>
          <t>Previdência Ações Ativo</t>
        </is>
      </c>
      <c r="F5" s="4" t="inlineStr">
        <is>
          <t>VELT PARTNERS INVESTIMENTOS LTDA</t>
        </is>
      </c>
      <c r="G5" s="4" t="inlineStr">
        <is>
          <t>Sim</t>
        </is>
      </c>
      <c r="H5" s="4" t="inlineStr">
        <is>
          <t>Site (navegador)</t>
        </is>
      </c>
    </row>
    <row r="6">
      <c r="A6" s="4" t="inlineStr">
        <is>
          <t>XP Investimentos</t>
        </is>
      </c>
      <c r="B6" s="4" t="inlineStr">
        <is>
          <t>Xp Long Biased Ii Seg Fic Fim</t>
        </is>
      </c>
      <c r="C6" s="4" t="inlineStr">
        <is>
          <t>34.430.623/0001-16</t>
        </is>
      </c>
      <c r="D6" s="4" t="inlineStr">
        <is>
          <t>público-alvo profissional (segundo a casa)</t>
        </is>
      </c>
      <c r="E6" s="4" t="inlineStr">
        <is>
          <t>Previdência Multimercado Livre</t>
        </is>
      </c>
      <c r="F6" s="4" t="inlineStr">
        <is>
          <t>XP VIDA E PREVIDÊNCIA S.A.</t>
        </is>
      </c>
      <c r="G6" s="4" t="inlineStr">
        <is>
          <t>Sim</t>
        </is>
      </c>
      <c r="H6" s="4" t="inlineStr">
        <is>
          <t>Site (navegador)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52" customWidth="1" min="3" max="3"/>
    <col width="20" customWidth="1" min="4" max="4"/>
    <col width="12" customWidth="1" min="5" max="5"/>
    <col width="60" customWidth="1" min="6" max="6"/>
  </cols>
  <sheetData>
    <row r="1" ht="30" customHeight="1">
      <c r="A1" s="3" t="inlineStr">
        <is>
          <t>Plataforma</t>
        </is>
      </c>
      <c r="B1" s="3" t="inlineStr">
        <is>
          <t>Movimento</t>
        </is>
      </c>
      <c r="C1" s="3" t="inlineStr">
        <is>
          <t>Fundo</t>
        </is>
      </c>
      <c r="D1" s="3" t="inlineStr">
        <is>
          <t>CNPJ</t>
        </is>
      </c>
      <c r="E1" s="3" t="inlineStr">
        <is>
          <t>Na vitrine</t>
        </is>
      </c>
      <c r="F1" s="3" t="inlineStr">
        <is>
          <t>Detalhe</t>
        </is>
      </c>
    </row>
    <row r="2">
      <c r="A2" s="4" t="inlineStr">
        <is>
          <t>BTG Pactual</t>
        </is>
      </c>
      <c r="B2" s="4" t="inlineStr">
        <is>
          <t>alteração</t>
        </is>
      </c>
      <c r="C2" s="4" t="inlineStr">
        <is>
          <t>Finacap BP Prev 70 FIF MM</t>
        </is>
      </c>
      <c r="D2" s="4" t="inlineStr">
        <is>
          <t>67.671.091/0001-68</t>
        </is>
      </c>
      <c r="E2" s="4" t="inlineStr"/>
      <c r="F2" s="4" t="inlineStr">
        <is>
          <t>closed_for_investment: True -&gt; False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34" customWidth="1" min="4" max="4"/>
    <col width="20" customWidth="1" min="5" max="5"/>
    <col width="30" customWidth="1" min="6" max="6"/>
    <col width="16" customWidth="1" min="7" max="7"/>
    <col width="30" customWidth="1" min="8" max="8"/>
    <col width="20" customWidth="1" min="9" max="9"/>
    <col width="14" customWidth="1" min="10" max="10"/>
    <col width="14" customWidth="1" min="11" max="11"/>
    <col width="14" customWidth="1" min="12" max="12"/>
    <col width="20" customWidth="1" min="13" max="13"/>
    <col width="21" customWidth="1" min="14" max="14"/>
    <col width="15" customWidth="1" min="15" max="15"/>
    <col width="16" customWidth="1" min="16" max="16"/>
    <col width="19" customWidth="1" min="17" max="17"/>
    <col width="26" customWidth="1" min="18" max="18"/>
    <col width="12" customWidth="1" min="19" max="19"/>
    <col width="13" customWidth="1" min="20" max="20"/>
    <col width="17" customWidth="1" min="21" max="21"/>
    <col width="13" customWidth="1" min="22" max="22"/>
    <col width="42" customWidth="1" min="23" max="23"/>
  </cols>
  <sheetData>
    <row r="1" ht="30" customHeight="1">
      <c r="A1" s="3" t="inlineStr">
        <is>
          <t>Plataforma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Gestora</t>
        </is>
      </c>
      <c r="E1" s="3" t="inlineStr">
        <is>
          <t>CNPJ da gestora</t>
        </is>
      </c>
      <c r="F1" s="3" t="inlineStr">
        <is>
          <t>Administrador</t>
        </is>
      </c>
      <c r="G1" s="3" t="inlineStr">
        <is>
          <t>Classe</t>
        </is>
      </c>
      <c r="H1" s="3" t="inlineStr">
        <is>
          <t>Categoria na origem</t>
        </is>
      </c>
      <c r="I1" s="3" t="inlineStr">
        <is>
          <t>Aplicação mínima (R$)</t>
        </is>
      </c>
      <c r="J1" s="3" t="inlineStr">
        <is>
          <t>Taxa adm (%)</t>
        </is>
      </c>
      <c r="K1" s="3" t="inlineStr">
        <is>
          <t>Taxa perf (%)</t>
        </is>
      </c>
      <c r="L1" s="3" t="inlineStr">
        <is>
          <t>Benchmark</t>
        </is>
      </c>
      <c r="M1" s="3" t="inlineStr">
        <is>
          <t>Cotização resgate (D+)</t>
        </is>
      </c>
      <c r="N1" s="3" t="inlineStr">
        <is>
          <t>Líquidação resgate (D+)</t>
        </is>
      </c>
      <c r="O1" s="3" t="inlineStr">
        <is>
          <t>Carência (dias)</t>
        </is>
      </c>
      <c r="P1" s="3" t="inlineStr">
        <is>
          <t>Tributação</t>
        </is>
      </c>
      <c r="Q1" s="3" t="inlineStr">
        <is>
          <t>Fechado p/ captação</t>
        </is>
      </c>
      <c r="R1" s="3" t="inlineStr">
        <is>
          <t>Fontes</t>
        </is>
      </c>
      <c r="S1" s="3" t="inlineStr">
        <is>
          <t>Nº de fontes</t>
        </is>
      </c>
      <c r="T1" s="3" t="inlineStr">
        <is>
          <t>Open Finance</t>
        </is>
      </c>
      <c r="U1" s="3" t="inlineStr">
        <is>
          <t>Prateleira (site)</t>
        </is>
      </c>
      <c r="V1" s="3" t="inlineStr">
        <is>
          <t>Área logada</t>
        </is>
      </c>
      <c r="W1" s="3" t="inlineStr">
        <is>
          <t>Link</t>
        </is>
      </c>
    </row>
    <row r="2">
      <c r="A2" s="4" t="inlineStr">
        <is>
          <t>XP Investimentos</t>
        </is>
      </c>
      <c r="B2" s="4" t="inlineStr">
        <is>
          <t>A1 Hedge Prev Xp Seg Prev Ficfim Rl</t>
        </is>
      </c>
      <c r="C2" s="6" t="inlineStr">
        <is>
          <t>44.409.267/0001-02</t>
        </is>
      </c>
      <c r="D2" s="4" t="inlineStr">
        <is>
          <t>XP VIDA E PREVIDÊNCIA S.A.</t>
        </is>
      </c>
      <c r="E2" s="4" t="inlineStr">
        <is>
          <t>29.408.732/0001-05</t>
        </is>
      </c>
      <c r="F2" s="4" t="inlineStr">
        <is>
          <t>XP Investimentos</t>
        </is>
      </c>
      <c r="G2" s="4" t="inlineStr">
        <is>
          <t>Multimercado</t>
        </is>
      </c>
      <c r="H2" s="4" t="inlineStr">
        <is>
          <t>Macro Alta Vol</t>
        </is>
      </c>
      <c r="I2" s="7" t="n">
        <v>100</v>
      </c>
      <c r="J2" s="8" t="n">
        <v>2.1</v>
      </c>
      <c r="K2" s="8" t="n"/>
      <c r="L2" s="4" t="inlineStr"/>
      <c r="M2" s="5" t="n">
        <v>22</v>
      </c>
      <c r="N2" s="5" t="n">
        <v>2</v>
      </c>
      <c r="O2" s="5" t="n"/>
      <c r="P2" s="4" t="inlineStr"/>
      <c r="Q2" s="4" t="inlineStr">
        <is>
          <t>Não</t>
        </is>
      </c>
      <c r="R2" s="4" t="inlineStr">
        <is>
          <t>Site (navegador)</t>
        </is>
      </c>
      <c r="S2" s="4" t="n">
        <v>1</v>
      </c>
      <c r="T2" s="4" t="inlineStr">
        <is>
          <t>Não</t>
        </is>
      </c>
      <c r="U2" s="4" t="inlineStr">
        <is>
          <t>Sim</t>
        </is>
      </c>
      <c r="V2" s="4" t="inlineStr">
        <is>
          <t>Não</t>
        </is>
      </c>
      <c r="W2" s="4" t="inlineStr"/>
    </row>
    <row r="3">
      <c r="A3" s="4" t="inlineStr">
        <is>
          <t>XP Investimentos</t>
        </is>
      </c>
      <c r="B3" s="4" t="inlineStr">
        <is>
          <t>A1 High Grade Prev XP Seg FIC FIRF CP RL</t>
        </is>
      </c>
      <c r="C3" s="6" t="inlineStr">
        <is>
          <t>63.573.988/0001-06</t>
        </is>
      </c>
      <c r="D3" s="4" t="inlineStr">
        <is>
          <t>ASSET1 INVESTIMENTOS S/A</t>
        </is>
      </c>
      <c r="E3" s="4" t="inlineStr">
        <is>
          <t>35.185.577/0001-08</t>
        </is>
      </c>
      <c r="F3" s="4" t="inlineStr">
        <is>
          <t>Intrag DTVM</t>
        </is>
      </c>
      <c r="G3" s="4" t="inlineStr">
        <is>
          <t>Renda Fixa</t>
        </is>
      </c>
      <c r="H3" s="4" t="inlineStr">
        <is>
          <t>Crédito Liquidez</t>
        </is>
      </c>
      <c r="I3" s="7" t="n">
        <v>100</v>
      </c>
      <c r="J3" s="8" t="n">
        <v>0.85</v>
      </c>
      <c r="K3" s="8" t="n"/>
      <c r="L3" s="4" t="inlineStr"/>
      <c r="M3" s="5" t="n">
        <v>0</v>
      </c>
      <c r="N3" s="5" t="n">
        <v>2</v>
      </c>
      <c r="O3" s="5" t="n"/>
      <c r="P3" s="4" t="inlineStr"/>
      <c r="Q3" s="4" t="inlineStr">
        <is>
          <t>Não</t>
        </is>
      </c>
      <c r="R3" s="4" t="inlineStr">
        <is>
          <t>Site (navegador)</t>
        </is>
      </c>
      <c r="S3" s="4" t="n">
        <v>1</v>
      </c>
      <c r="T3" s="4" t="inlineStr">
        <is>
          <t>Não</t>
        </is>
      </c>
      <c r="U3" s="4" t="inlineStr">
        <is>
          <t>Sim</t>
        </is>
      </c>
      <c r="V3" s="4" t="inlineStr">
        <is>
          <t>Não</t>
        </is>
      </c>
      <c r="W3" s="4" t="inlineStr"/>
    </row>
    <row r="4">
      <c r="A4" s="4" t="inlineStr">
        <is>
          <t>XP Investimentos</t>
        </is>
      </c>
      <c r="B4" s="4" t="inlineStr">
        <is>
          <t>A1 Renda Fixa Ativa Xp Seguros Firf</t>
        </is>
      </c>
      <c r="C4" s="6" t="inlineStr">
        <is>
          <t>52.955.280/0001-95</t>
        </is>
      </c>
      <c r="D4" s="4" t="inlineStr">
        <is>
          <t>ASSET1 INVESTIMENTOS S/A</t>
        </is>
      </c>
      <c r="E4" s="4" t="inlineStr">
        <is>
          <t>35.185.577/0001-08</t>
        </is>
      </c>
      <c r="F4" s="4" t="inlineStr">
        <is>
          <t>XP Investimentos</t>
        </is>
      </c>
      <c r="G4" s="4" t="inlineStr">
        <is>
          <t>Multimercado</t>
        </is>
      </c>
      <c r="H4" s="4" t="inlineStr">
        <is>
          <t>Renda Fixa Ativo</t>
        </is>
      </c>
      <c r="I4" s="7" t="n">
        <v>100</v>
      </c>
      <c r="J4" s="8" t="n">
        <v>0.9</v>
      </c>
      <c r="K4" s="8" t="n"/>
      <c r="L4" s="4" t="inlineStr"/>
      <c r="M4" s="5" t="n">
        <v>0</v>
      </c>
      <c r="N4" s="5" t="n">
        <v>1</v>
      </c>
      <c r="O4" s="5" t="n"/>
      <c r="P4" s="4" t="inlineStr"/>
      <c r="Q4" s="4" t="inlineStr">
        <is>
          <t>Não</t>
        </is>
      </c>
      <c r="R4" s="4" t="inlineStr">
        <is>
          <t>Site (navegador)</t>
        </is>
      </c>
      <c r="S4" s="4" t="n">
        <v>1</v>
      </c>
      <c r="T4" s="4" t="inlineStr">
        <is>
          <t>Não</t>
        </is>
      </c>
      <c r="U4" s="4" t="inlineStr">
        <is>
          <t>Sim</t>
        </is>
      </c>
      <c r="V4" s="4" t="inlineStr">
        <is>
          <t>Não</t>
        </is>
      </c>
      <c r="W4" s="4" t="inlineStr"/>
    </row>
    <row r="5">
      <c r="A5" s="4" t="inlineStr">
        <is>
          <t>XP Investimentos</t>
        </is>
      </c>
      <c r="B5" s="4" t="inlineStr">
        <is>
          <t>ARX Income 100 XP Seg Prev FIC FIA</t>
        </is>
      </c>
      <c r="C5" s="6" t="inlineStr">
        <is>
          <t>34.461.754/0001-60</t>
        </is>
      </c>
      <c r="D5" s="4" t="inlineStr">
        <is>
          <t>XP VIDA E PREVIDÊNCIA S.A.</t>
        </is>
      </c>
      <c r="E5" s="4" t="inlineStr">
        <is>
          <t>29.408.732/0001-05</t>
        </is>
      </c>
      <c r="F5" s="4" t="inlineStr">
        <is>
          <t>BNY Mellon DTVM</t>
        </is>
      </c>
      <c r="G5" s="4" t="inlineStr">
        <is>
          <t>Ações</t>
        </is>
      </c>
      <c r="H5" s="4" t="inlineStr">
        <is>
          <t>Renda Variável Dividendos</t>
        </is>
      </c>
      <c r="I5" s="7" t="n">
        <v>100</v>
      </c>
      <c r="J5" s="8" t="n">
        <v>2</v>
      </c>
      <c r="K5" s="8" t="n"/>
      <c r="L5" s="4" t="inlineStr"/>
      <c r="M5" s="5" t="n">
        <v>6</v>
      </c>
      <c r="N5" s="5" t="n">
        <v>2</v>
      </c>
      <c r="O5" s="5" t="n"/>
      <c r="P5" s="4" t="inlineStr"/>
      <c r="Q5" s="4" t="inlineStr">
        <is>
          <t>Não</t>
        </is>
      </c>
      <c r="R5" s="4" t="inlineStr">
        <is>
          <t>Site (navegador)</t>
        </is>
      </c>
      <c r="S5" s="4" t="n">
        <v>1</v>
      </c>
      <c r="T5" s="4" t="inlineStr">
        <is>
          <t>Não</t>
        </is>
      </c>
      <c r="U5" s="4" t="inlineStr">
        <is>
          <t>Sim</t>
        </is>
      </c>
      <c r="V5" s="4" t="inlineStr">
        <is>
          <t>Não</t>
        </is>
      </c>
      <c r="W5" s="4" t="inlineStr"/>
    </row>
    <row r="6">
      <c r="A6" s="4" t="inlineStr">
        <is>
          <t>XP Investimentos</t>
        </is>
      </c>
      <c r="B6" s="4" t="inlineStr">
        <is>
          <t>AZ Quest Inflação Ativo Prev FIE FIRF</t>
        </is>
      </c>
      <c r="C6" s="6" t="inlineStr">
        <is>
          <t>34.442.059/0001-51</t>
        </is>
      </c>
      <c r="D6" s="4" t="inlineStr">
        <is>
          <t>AZ Quest Prev Ltda.</t>
        </is>
      </c>
      <c r="E6" s="4" t="inlineStr">
        <is>
          <t>59.312.965/0001-62</t>
        </is>
      </c>
      <c r="F6" s="4" t="inlineStr">
        <is>
          <t>BNY Mellon DTVM</t>
        </is>
      </c>
      <c r="G6" s="4" t="inlineStr">
        <is>
          <t>Renda Fixa</t>
        </is>
      </c>
      <c r="H6" s="4" t="inlineStr">
        <is>
          <t>Renda Fixa Inflação</t>
        </is>
      </c>
      <c r="I6" s="7" t="n">
        <v>500</v>
      </c>
      <c r="J6" s="8" t="n">
        <v>1.1</v>
      </c>
      <c r="K6" s="8" t="n"/>
      <c r="L6" s="4" t="inlineStr"/>
      <c r="M6" s="5" t="n">
        <v>0</v>
      </c>
      <c r="N6" s="5" t="n">
        <v>1</v>
      </c>
      <c r="O6" s="5" t="n"/>
      <c r="P6" s="4" t="inlineStr"/>
      <c r="Q6" s="4" t="inlineStr">
        <is>
          <t>Sim</t>
        </is>
      </c>
      <c r="R6" s="4" t="inlineStr">
        <is>
          <t>Site (navegador)</t>
        </is>
      </c>
      <c r="S6" s="4" t="n">
        <v>1</v>
      </c>
      <c r="T6" s="4" t="inlineStr">
        <is>
          <t>Não</t>
        </is>
      </c>
      <c r="U6" s="4" t="inlineStr">
        <is>
          <t>Sim</t>
        </is>
      </c>
      <c r="V6" s="4" t="inlineStr">
        <is>
          <t>Não</t>
        </is>
      </c>
      <c r="W6" s="4" t="inlineStr"/>
    </row>
    <row r="7">
      <c r="A7" s="4" t="inlineStr">
        <is>
          <t>XP Investimentos</t>
        </is>
      </c>
      <c r="B7" s="4" t="inlineStr">
        <is>
          <t>AZ Quest Luce Advisory Prev XP Seg FICFIRF CP</t>
        </is>
      </c>
      <c r="C7" s="6" t="inlineStr">
        <is>
          <t>32.847.001/0001-62</t>
        </is>
      </c>
      <c r="D7" s="4" t="inlineStr">
        <is>
          <t>XP VIDA E PREVIDÊNCIA S.A.</t>
        </is>
      </c>
      <c r="E7" s="4" t="inlineStr">
        <is>
          <t>29.408.732/0001-05</t>
        </is>
      </c>
      <c r="F7" s="4" t="inlineStr">
        <is>
          <t>XPI Administradora - Modal</t>
        </is>
      </c>
      <c r="G7" s="4" t="inlineStr">
        <is>
          <t>Renda Fixa</t>
        </is>
      </c>
      <c r="H7" s="4" t="inlineStr">
        <is>
          <t>Crédito Liquidez</t>
        </is>
      </c>
      <c r="I7" s="7" t="n">
        <v>100</v>
      </c>
      <c r="J7" s="8" t="n">
        <v>1</v>
      </c>
      <c r="K7" s="8" t="n"/>
      <c r="L7" s="4" t="inlineStr"/>
      <c r="M7" s="5" t="n">
        <v>1</v>
      </c>
      <c r="N7" s="5" t="n">
        <v>2</v>
      </c>
      <c r="O7" s="5" t="n"/>
      <c r="P7" s="4" t="inlineStr"/>
      <c r="Q7" s="4" t="inlineStr">
        <is>
          <t>Não</t>
        </is>
      </c>
      <c r="R7" s="4" t="inlineStr">
        <is>
          <t>Site (navegador)</t>
        </is>
      </c>
      <c r="S7" s="4" t="n">
        <v>1</v>
      </c>
      <c r="T7" s="4" t="inlineStr">
        <is>
          <t>Não</t>
        </is>
      </c>
      <c r="U7" s="4" t="inlineStr">
        <is>
          <t>Sim</t>
        </is>
      </c>
      <c r="V7" s="4" t="inlineStr">
        <is>
          <t>Não</t>
        </is>
      </c>
      <c r="W7" s="4" t="inlineStr"/>
    </row>
    <row r="8">
      <c r="A8" s="4" t="inlineStr">
        <is>
          <t>XP Investimentos</t>
        </is>
      </c>
      <c r="B8" s="4" t="inlineStr">
        <is>
          <t>Absolute Atenas Xp Seg Prev Fie I Fic Firf Cp Rl</t>
        </is>
      </c>
      <c r="C8" s="6" t="inlineStr">
        <is>
          <t>62.213.987/0001-80</t>
        </is>
      </c>
      <c r="D8" s="4" t="inlineStr">
        <is>
          <t>ABSOLUTE CRÉDITO GESTÃO DE INVESTIMENTOS LTDA.</t>
        </is>
      </c>
      <c r="E8" s="4" t="inlineStr">
        <is>
          <t>47.243.769/0001-02</t>
        </is>
      </c>
      <c r="F8" s="4" t="inlineStr">
        <is>
          <t>BTG Pactual DTVM</t>
        </is>
      </c>
      <c r="G8" s="4" t="inlineStr">
        <is>
          <t>Renda Fixa</t>
        </is>
      </c>
      <c r="H8" s="4" t="inlineStr">
        <is>
          <t>Crédito Liquidez</t>
        </is>
      </c>
      <c r="I8" s="7" t="n">
        <v>100</v>
      </c>
      <c r="J8" s="8" t="n">
        <v>0.98</v>
      </c>
      <c r="K8" s="8" t="n"/>
      <c r="L8" s="4" t="inlineStr"/>
      <c r="M8" s="5" t="n">
        <v>6</v>
      </c>
      <c r="N8" s="5" t="n">
        <v>2</v>
      </c>
      <c r="O8" s="5" t="n"/>
      <c r="P8" s="4" t="inlineStr"/>
      <c r="Q8" s="4" t="inlineStr">
        <is>
          <t>Não</t>
        </is>
      </c>
      <c r="R8" s="4" t="inlineStr">
        <is>
          <t>Site (navegador)</t>
        </is>
      </c>
      <c r="S8" s="4" t="n">
        <v>1</v>
      </c>
      <c r="T8" s="4" t="inlineStr">
        <is>
          <t>Não</t>
        </is>
      </c>
      <c r="U8" s="4" t="inlineStr">
        <is>
          <t>Sim</t>
        </is>
      </c>
      <c r="V8" s="4" t="inlineStr">
        <is>
          <t>Não</t>
        </is>
      </c>
      <c r="W8" s="4" t="inlineStr"/>
    </row>
    <row r="9">
      <c r="A9" s="4" t="inlineStr">
        <is>
          <t>XP Investimentos</t>
        </is>
      </c>
      <c r="B9" s="4" t="inlineStr">
        <is>
          <t>Absolute Delfos Xp Seg Prev Fie I Fic Rf Cp Rl</t>
        </is>
      </c>
      <c r="C9" s="6" t="inlineStr">
        <is>
          <t>61.904.092/0001-29</t>
        </is>
      </c>
      <c r="D9" s="4" t="inlineStr">
        <is>
          <t>ABSOLUTE CRÉDITO GESTÃO DE INVESTIMENTOS LTDA.</t>
        </is>
      </c>
      <c r="E9" s="4" t="inlineStr">
        <is>
          <t>47.243.769/0001-02</t>
        </is>
      </c>
      <c r="F9" s="4" t="inlineStr">
        <is>
          <t>Intrag DTVM</t>
        </is>
      </c>
      <c r="G9" s="4" t="inlineStr">
        <is>
          <t>Renda Fixa</t>
        </is>
      </c>
      <c r="H9" s="4" t="inlineStr">
        <is>
          <t>Crédito High Grade</t>
        </is>
      </c>
      <c r="I9" s="7" t="n">
        <v>100</v>
      </c>
      <c r="J9" s="8" t="n">
        <v>0.88</v>
      </c>
      <c r="K9" s="8" t="n"/>
      <c r="L9" s="4" t="inlineStr"/>
      <c r="M9" s="5" t="n">
        <v>20</v>
      </c>
      <c r="N9" s="5" t="n">
        <v>2</v>
      </c>
      <c r="O9" s="5" t="n"/>
      <c r="P9" s="4" t="inlineStr"/>
      <c r="Q9" s="4" t="inlineStr">
        <is>
          <t>Não</t>
        </is>
      </c>
      <c r="R9" s="4" t="inlineStr">
        <is>
          <t>Site (navegador)</t>
        </is>
      </c>
      <c r="S9" s="4" t="n">
        <v>1</v>
      </c>
      <c r="T9" s="4" t="inlineStr">
        <is>
          <t>Não</t>
        </is>
      </c>
      <c r="U9" s="4" t="inlineStr">
        <is>
          <t>Sim</t>
        </is>
      </c>
      <c r="V9" s="4" t="inlineStr">
        <is>
          <t>Não</t>
        </is>
      </c>
      <c r="W9" s="4" t="inlineStr"/>
    </row>
    <row r="10">
      <c r="A10" s="4" t="inlineStr">
        <is>
          <t>XP Investimentos</t>
        </is>
      </c>
      <c r="B10" s="4" t="inlineStr">
        <is>
          <t>Absolute Endurance XP Seg FICFIA Prev</t>
        </is>
      </c>
      <c r="C10" s="6" t="inlineStr">
        <is>
          <t>37.355.605/0001-05</t>
        </is>
      </c>
      <c r="D10" s="4" t="inlineStr">
        <is>
          <t>ABSOLUTE GESTAO DE INVESTIMENTOS LTDA</t>
        </is>
      </c>
      <c r="E10" s="4" t="inlineStr">
        <is>
          <t>17.285.755/0001-82</t>
        </is>
      </c>
      <c r="F10" s="4" t="inlineStr">
        <is>
          <t>BNY Mellon DTVM</t>
        </is>
      </c>
      <c r="G10" s="4" t="inlineStr">
        <is>
          <t>Ações</t>
        </is>
      </c>
      <c r="H10" s="4" t="inlineStr">
        <is>
          <t>Renda Variável Long Only</t>
        </is>
      </c>
      <c r="I10" s="7" t="n">
        <v>100</v>
      </c>
      <c r="J10" s="8" t="n">
        <v>2</v>
      </c>
      <c r="K10" s="8" t="n"/>
      <c r="L10" s="4" t="inlineStr"/>
      <c r="M10" s="5" t="n">
        <v>21</v>
      </c>
      <c r="N10" s="5" t="n">
        <v>2</v>
      </c>
      <c r="O10" s="5" t="n"/>
      <c r="P10" s="4" t="inlineStr"/>
      <c r="Q10" s="4" t="inlineStr">
        <is>
          <t>Não</t>
        </is>
      </c>
      <c r="R10" s="4" t="inlineStr">
        <is>
          <t>Site (navegador)</t>
        </is>
      </c>
      <c r="S10" s="4" t="n">
        <v>1</v>
      </c>
      <c r="T10" s="4" t="inlineStr">
        <is>
          <t>Não</t>
        </is>
      </c>
      <c r="U10" s="4" t="inlineStr">
        <is>
          <t>Sim</t>
        </is>
      </c>
      <c r="V10" s="4" t="inlineStr">
        <is>
          <t>Não</t>
        </is>
      </c>
      <c r="W10" s="4" t="inlineStr"/>
    </row>
    <row r="11">
      <c r="A11" s="4" t="inlineStr">
        <is>
          <t>XP Investimentos</t>
        </is>
      </c>
      <c r="B11" s="4" t="inlineStr">
        <is>
          <t>Absolute Pace Xp Seg Prev Fif Em Ações Rl</t>
        </is>
      </c>
      <c r="C11" s="6" t="inlineStr">
        <is>
          <t>61.201.512/0001-00</t>
        </is>
      </c>
      <c r="D11" s="4" t="inlineStr">
        <is>
          <t>ABSOLUTE GESTAO DE INVESTIMENTOS LTDA</t>
        </is>
      </c>
      <c r="E11" s="4" t="inlineStr">
        <is>
          <t>17.285.755/0001-82</t>
        </is>
      </c>
      <c r="F11" s="4" t="inlineStr">
        <is>
          <t>BTG Pactual DTVM</t>
        </is>
      </c>
      <c r="G11" s="4" t="inlineStr">
        <is>
          <t>Ações</t>
        </is>
      </c>
      <c r="H11" s="4" t="inlineStr">
        <is>
          <t>Renda Variável Long Biased</t>
        </is>
      </c>
      <c r="I11" s="7" t="n">
        <v>100</v>
      </c>
      <c r="J11" s="8" t="n">
        <v>2</v>
      </c>
      <c r="K11" s="8" t="n"/>
      <c r="L11" s="4" t="inlineStr"/>
      <c r="M11" s="5" t="n">
        <v>22</v>
      </c>
      <c r="N11" s="5" t="n">
        <v>2</v>
      </c>
      <c r="O11" s="5" t="n"/>
      <c r="P11" s="4" t="inlineStr"/>
      <c r="Q11" s="4" t="inlineStr">
        <is>
          <t>Sim</t>
        </is>
      </c>
      <c r="R11" s="4" t="inlineStr">
        <is>
          <t>Site (navegador)</t>
        </is>
      </c>
      <c r="S11" s="4" t="n">
        <v>1</v>
      </c>
      <c r="T11" s="4" t="inlineStr">
        <is>
          <t>Não</t>
        </is>
      </c>
      <c r="U11" s="4" t="inlineStr">
        <is>
          <t>Sim</t>
        </is>
      </c>
      <c r="V11" s="4" t="inlineStr">
        <is>
          <t>Não</t>
        </is>
      </c>
      <c r="W11" s="4" t="inlineStr"/>
    </row>
    <row r="12">
      <c r="A12" s="4" t="inlineStr">
        <is>
          <t>XP Investimentos</t>
        </is>
      </c>
      <c r="B12" s="4" t="inlineStr">
        <is>
          <t>Absolute Vertex XP Seg Prev FIC FIM</t>
        </is>
      </c>
      <c r="C12" s="6" t="inlineStr">
        <is>
          <t>40.882.496/0001-99</t>
        </is>
      </c>
      <c r="D12" s="4" t="inlineStr">
        <is>
          <t>XP VIDA E PREVIDÊNCIA S.A.</t>
        </is>
      </c>
      <c r="E12" s="4" t="inlineStr">
        <is>
          <t>29.408.732/0001-05</t>
        </is>
      </c>
      <c r="F12" s="4" t="inlineStr">
        <is>
          <t>XPI Administradora - Modal</t>
        </is>
      </c>
      <c r="G12" s="4" t="inlineStr">
        <is>
          <t>Multimercado</t>
        </is>
      </c>
      <c r="H12" s="4" t="inlineStr">
        <is>
          <t>Macro Alta Vol</t>
        </is>
      </c>
      <c r="I12" s="7" t="n">
        <v>100</v>
      </c>
      <c r="J12" s="8" t="n">
        <v>2</v>
      </c>
      <c r="K12" s="8" t="n"/>
      <c r="L12" s="4" t="inlineStr"/>
      <c r="M12" s="5" t="n">
        <v>21</v>
      </c>
      <c r="N12" s="5" t="n">
        <v>1</v>
      </c>
      <c r="O12" s="5" t="n"/>
      <c r="P12" s="4" t="inlineStr"/>
      <c r="Q12" s="4" t="inlineStr">
        <is>
          <t>Não</t>
        </is>
      </c>
      <c r="R12" s="4" t="inlineStr">
        <is>
          <t>Site (navegador)</t>
        </is>
      </c>
      <c r="S12" s="4" t="n">
        <v>1</v>
      </c>
      <c r="T12" s="4" t="inlineStr">
        <is>
          <t>Não</t>
        </is>
      </c>
      <c r="U12" s="4" t="inlineStr">
        <is>
          <t>Sim</t>
        </is>
      </c>
      <c r="V12" s="4" t="inlineStr">
        <is>
          <t>Não</t>
        </is>
      </c>
      <c r="W12" s="4" t="inlineStr"/>
    </row>
    <row r="13">
      <c r="A13" s="4" t="inlineStr">
        <is>
          <t>XP Investimentos</t>
        </is>
      </c>
      <c r="B13" s="4" t="inlineStr">
        <is>
          <t>Ace Capital Prev Iq Xp Seg Fic Fim</t>
        </is>
      </c>
      <c r="C13" s="6" t="inlineStr">
        <is>
          <t>37.541.379/0001-57</t>
        </is>
      </c>
      <c r="D13" s="4" t="inlineStr">
        <is>
          <t>ACE CAPITAL GESTORA DE RECURSOS LTDA.</t>
        </is>
      </c>
      <c r="E13" s="4" t="inlineStr">
        <is>
          <t>33.411.393/0001-85</t>
        </is>
      </c>
      <c r="F13" s="4" t="inlineStr">
        <is>
          <t>Intrag DTVM</t>
        </is>
      </c>
      <c r="G13" s="4" t="inlineStr">
        <is>
          <t>Multimercado</t>
        </is>
      </c>
      <c r="H13" s="4" t="inlineStr">
        <is>
          <t>Macro Média Vol</t>
        </is>
      </c>
      <c r="I13" s="7" t="n">
        <v>100</v>
      </c>
      <c r="J13" s="8" t="n">
        <v>2</v>
      </c>
      <c r="K13" s="8" t="n"/>
      <c r="L13" s="4" t="inlineStr"/>
      <c r="M13" s="5" t="n">
        <v>6</v>
      </c>
      <c r="N13" s="5" t="n">
        <v>1</v>
      </c>
      <c r="O13" s="5" t="n"/>
      <c r="P13" s="4" t="inlineStr"/>
      <c r="Q13" s="4" t="inlineStr">
        <is>
          <t>Não</t>
        </is>
      </c>
      <c r="R13" s="4" t="inlineStr">
        <is>
          <t>Site (navegador)</t>
        </is>
      </c>
      <c r="S13" s="4" t="n">
        <v>1</v>
      </c>
      <c r="T13" s="4" t="inlineStr">
        <is>
          <t>Não</t>
        </is>
      </c>
      <c r="U13" s="4" t="inlineStr">
        <is>
          <t>Sim</t>
        </is>
      </c>
      <c r="V13" s="4" t="inlineStr">
        <is>
          <t>Não</t>
        </is>
      </c>
      <c r="W13" s="4" t="inlineStr"/>
    </row>
    <row r="14">
      <c r="A14" s="4" t="inlineStr">
        <is>
          <t>XP Investimentos</t>
        </is>
      </c>
      <c r="B14" s="4" t="inlineStr">
        <is>
          <t>Adam Xp Seg Prev I Fic Fim Rl</t>
        </is>
      </c>
      <c r="C14" s="6" t="inlineStr">
        <is>
          <t>30.998.045/0001-68</t>
        </is>
      </c>
      <c r="D14" s="4" t="inlineStr">
        <is>
          <t>XP VIDA E PREVIDÊNCIA S.A.</t>
        </is>
      </c>
      <c r="E14" s="4" t="inlineStr">
        <is>
          <t>29.408.732/0001-05</t>
        </is>
      </c>
      <c r="F14" s="4" t="inlineStr">
        <is>
          <t>XP Investimentos</t>
        </is>
      </c>
      <c r="G14" s="4" t="inlineStr">
        <is>
          <t>Multimercado</t>
        </is>
      </c>
      <c r="H14" s="4" t="inlineStr">
        <is>
          <t>Macro Alta Vol</t>
        </is>
      </c>
      <c r="I14" s="7" t="n">
        <v>100</v>
      </c>
      <c r="J14" s="8" t="n">
        <v>2</v>
      </c>
      <c r="K14" s="8" t="n"/>
      <c r="L14" s="4" t="inlineStr"/>
      <c r="M14" s="5" t="n">
        <v>0</v>
      </c>
      <c r="N14" s="5" t="n">
        <v>2</v>
      </c>
      <c r="O14" s="5" t="n"/>
      <c r="P14" s="4" t="inlineStr"/>
      <c r="Q14" s="4" t="inlineStr">
        <is>
          <t>Não</t>
        </is>
      </c>
      <c r="R14" s="4" t="inlineStr">
        <is>
          <t>Site (navegador)</t>
        </is>
      </c>
      <c r="S14" s="4" t="n">
        <v>1</v>
      </c>
      <c r="T14" s="4" t="inlineStr">
        <is>
          <t>Não</t>
        </is>
      </c>
      <c r="U14" s="4" t="inlineStr">
        <is>
          <t>Sim</t>
        </is>
      </c>
      <c r="V14" s="4" t="inlineStr">
        <is>
          <t>Não</t>
        </is>
      </c>
      <c r="W14" s="4" t="inlineStr"/>
    </row>
    <row r="15">
      <c r="A15" s="4" t="inlineStr">
        <is>
          <t>XP Investimentos</t>
        </is>
      </c>
      <c r="B15" s="4" t="inlineStr">
        <is>
          <t>Alaska Black 100 Advisory XP Seg Prev FIC FIM</t>
        </is>
      </c>
      <c r="C15" s="6" t="inlineStr">
        <is>
          <t>35.939.857/0001-56</t>
        </is>
      </c>
      <c r="D15" s="4" t="inlineStr">
        <is>
          <t>ALASKA INVESTIMENTOS LTDA.</t>
        </is>
      </c>
      <c r="E15" s="4" t="inlineStr">
        <is>
          <t>11.752.203/0001-50</t>
        </is>
      </c>
      <c r="F15" s="4" t="inlineStr">
        <is>
          <t>BNY Mellon DTVM</t>
        </is>
      </c>
      <c r="G15" s="4" t="inlineStr">
        <is>
          <t>Multimercado</t>
        </is>
      </c>
      <c r="H15" s="4" t="inlineStr">
        <is>
          <t>Renda Variável Long Only</t>
        </is>
      </c>
      <c r="I15" s="7" t="n">
        <v>100</v>
      </c>
      <c r="J15" s="8" t="n">
        <v>1.5</v>
      </c>
      <c r="K15" s="8" t="n"/>
      <c r="L15" s="4" t="inlineStr"/>
      <c r="M15" s="5" t="n">
        <v>6</v>
      </c>
      <c r="N15" s="5" t="n">
        <v>2</v>
      </c>
      <c r="O15" s="5" t="n"/>
      <c r="P15" s="4" t="inlineStr"/>
      <c r="Q15" s="4" t="inlineStr">
        <is>
          <t>Não</t>
        </is>
      </c>
      <c r="R15" s="4" t="inlineStr">
        <is>
          <t>Site (navegador)</t>
        </is>
      </c>
      <c r="S15" s="4" t="n">
        <v>1</v>
      </c>
      <c r="T15" s="4" t="inlineStr">
        <is>
          <t>Não</t>
        </is>
      </c>
      <c r="U15" s="4" t="inlineStr">
        <is>
          <t>Sim</t>
        </is>
      </c>
      <c r="V15" s="4" t="inlineStr">
        <is>
          <t>Não</t>
        </is>
      </c>
      <c r="W15" s="4" t="inlineStr"/>
    </row>
    <row r="16">
      <c r="A16" s="4" t="inlineStr">
        <is>
          <t>XP Investimentos</t>
        </is>
      </c>
      <c r="B16" s="4" t="inlineStr">
        <is>
          <t>Alaska Black 70 Advisory XP Seg Prev FIC FIM</t>
        </is>
      </c>
      <c r="C16" s="6" t="inlineStr">
        <is>
          <t>35.939.700/0001-20</t>
        </is>
      </c>
      <c r="D16" s="4" t="inlineStr">
        <is>
          <t>ALASKA INVESTIMENTOS LTDA.</t>
        </is>
      </c>
      <c r="E16" s="4" t="inlineStr">
        <is>
          <t>11.752.203/0001-50</t>
        </is>
      </c>
      <c r="F16" s="4" t="inlineStr">
        <is>
          <t>BNY Mellon DTVM</t>
        </is>
      </c>
      <c r="G16" s="4" t="inlineStr">
        <is>
          <t>Multimercado</t>
        </is>
      </c>
      <c r="H16" s="4" t="inlineStr">
        <is>
          <t>Renda Variável Long Only</t>
        </is>
      </c>
      <c r="I16" s="7" t="n">
        <v>100</v>
      </c>
      <c r="J16" s="8" t="n">
        <v>1.5</v>
      </c>
      <c r="K16" s="8" t="n"/>
      <c r="L16" s="4" t="inlineStr"/>
      <c r="M16" s="5" t="n">
        <v>6</v>
      </c>
      <c r="N16" s="5" t="n">
        <v>2</v>
      </c>
      <c r="O16" s="5" t="n"/>
      <c r="P16" s="4" t="inlineStr"/>
      <c r="Q16" s="4" t="inlineStr">
        <is>
          <t>Não</t>
        </is>
      </c>
      <c r="R16" s="4" t="inlineStr">
        <is>
          <t>Site (navegador)</t>
        </is>
      </c>
      <c r="S16" s="4" t="n">
        <v>1</v>
      </c>
      <c r="T16" s="4" t="inlineStr">
        <is>
          <t>Não</t>
        </is>
      </c>
      <c r="U16" s="4" t="inlineStr">
        <is>
          <t>Sim</t>
        </is>
      </c>
      <c r="V16" s="4" t="inlineStr">
        <is>
          <t>Não</t>
        </is>
      </c>
      <c r="W16" s="4" t="inlineStr"/>
    </row>
    <row r="17">
      <c r="A17" s="4" t="inlineStr">
        <is>
          <t>XP Investimentos</t>
        </is>
      </c>
      <c r="B17" s="4" t="inlineStr">
        <is>
          <t>Alpha Key Prev 100 Xp Seg Ficfia</t>
        </is>
      </c>
      <c r="C17" s="6" t="inlineStr">
        <is>
          <t>40.779.573/0001-80</t>
        </is>
      </c>
      <c r="D17" s="4" t="inlineStr">
        <is>
          <t>XP VIDA E PREVIDÊNCIA S.A.</t>
        </is>
      </c>
      <c r="E17" s="4" t="inlineStr">
        <is>
          <t>29.408.732/0001-05</t>
        </is>
      </c>
      <c r="F17" s="4" t="inlineStr">
        <is>
          <t>XPI Administradora</t>
        </is>
      </c>
      <c r="G17" s="4" t="inlineStr">
        <is>
          <t>Ações</t>
        </is>
      </c>
      <c r="H17" s="4" t="inlineStr">
        <is>
          <t>Renda Variável Long Biased</t>
        </is>
      </c>
      <c r="I17" s="7" t="n">
        <v>100</v>
      </c>
      <c r="J17" s="8" t="n">
        <v>2</v>
      </c>
      <c r="K17" s="8" t="n"/>
      <c r="L17" s="4" t="inlineStr"/>
      <c r="M17" s="5" t="n">
        <v>22</v>
      </c>
      <c r="N17" s="5" t="n">
        <v>2</v>
      </c>
      <c r="O17" s="5" t="n"/>
      <c r="P17" s="4" t="inlineStr"/>
      <c r="Q17" s="4" t="inlineStr">
        <is>
          <t>Não</t>
        </is>
      </c>
      <c r="R17" s="4" t="inlineStr">
        <is>
          <t>Site (navegador)</t>
        </is>
      </c>
      <c r="S17" s="4" t="n">
        <v>1</v>
      </c>
      <c r="T17" s="4" t="inlineStr">
        <is>
          <t>Não</t>
        </is>
      </c>
      <c r="U17" s="4" t="inlineStr">
        <is>
          <t>Sim</t>
        </is>
      </c>
      <c r="V17" s="4" t="inlineStr">
        <is>
          <t>Não</t>
        </is>
      </c>
      <c r="W17" s="4" t="inlineStr"/>
    </row>
    <row r="18">
      <c r="A18" s="4" t="inlineStr">
        <is>
          <t>XP Investimentos</t>
        </is>
      </c>
      <c r="B18" s="4" t="inlineStr">
        <is>
          <t>Apex Long Biased XP Seg Advisory Prev FIC FIM RL</t>
        </is>
      </c>
      <c r="C18" s="6" t="inlineStr">
        <is>
          <t>37.124.157/0001-39</t>
        </is>
      </c>
      <c r="D18" s="4" t="inlineStr">
        <is>
          <t>XP VIDA E PREVIDÊNCIA S.A.</t>
        </is>
      </c>
      <c r="E18" s="4" t="inlineStr">
        <is>
          <t>29.408.732/0001-05</t>
        </is>
      </c>
      <c r="F18" s="4" t="inlineStr">
        <is>
          <t>BNY Mellon DTVM</t>
        </is>
      </c>
      <c r="G18" s="4" t="inlineStr">
        <is>
          <t>Multimercado</t>
        </is>
      </c>
      <c r="H18" s="4" t="inlineStr">
        <is>
          <t>Renda Variável Long Biased</t>
        </is>
      </c>
      <c r="I18" s="7" t="n">
        <v>100</v>
      </c>
      <c r="J18" s="8" t="n">
        <v>2</v>
      </c>
      <c r="K18" s="8" t="n"/>
      <c r="L18" s="4" t="inlineStr"/>
      <c r="M18" s="5" t="n">
        <v>21</v>
      </c>
      <c r="N18" s="5" t="n">
        <v>2</v>
      </c>
      <c r="O18" s="5" t="n"/>
      <c r="P18" s="4" t="inlineStr"/>
      <c r="Q18" s="4" t="inlineStr">
        <is>
          <t>Não</t>
        </is>
      </c>
      <c r="R18" s="4" t="inlineStr">
        <is>
          <t>Site (navegador)</t>
        </is>
      </c>
      <c r="S18" s="4" t="n">
        <v>1</v>
      </c>
      <c r="T18" s="4" t="inlineStr">
        <is>
          <t>Não</t>
        </is>
      </c>
      <c r="U18" s="4" t="inlineStr">
        <is>
          <t>Sim</t>
        </is>
      </c>
      <c r="V18" s="4" t="inlineStr">
        <is>
          <t>Não</t>
        </is>
      </c>
      <c r="W18" s="4" t="inlineStr"/>
    </row>
    <row r="19">
      <c r="A19" s="4" t="inlineStr">
        <is>
          <t>XP Investimentos</t>
        </is>
      </c>
      <c r="B19" s="4" t="inlineStr">
        <is>
          <t>Arca Grão XP Seg Prev Advisory FIC FIM</t>
        </is>
      </c>
      <c r="C19" s="6" t="inlineStr">
        <is>
          <t>42.794.534/0001-87</t>
        </is>
      </c>
      <c r="D19" s="4" t="inlineStr">
        <is>
          <t>GRÃO GESTÃO DE RECURSOS LTDA.</t>
        </is>
      </c>
      <c r="E19" s="4" t="inlineStr">
        <is>
          <t>43.739.164/0001-48</t>
        </is>
      </c>
      <c r="F19" s="4" t="inlineStr">
        <is>
          <t>Santander DTVM</t>
        </is>
      </c>
      <c r="G19" s="4" t="inlineStr">
        <is>
          <t>Multimercado</t>
        </is>
      </c>
      <c r="H19" s="4" t="inlineStr">
        <is>
          <t>Multiestratégia</t>
        </is>
      </c>
      <c r="I19" s="7" t="n">
        <v>100</v>
      </c>
      <c r="J19" s="8" t="n">
        <v>0.59</v>
      </c>
      <c r="K19" s="8" t="n"/>
      <c r="L19" s="4" t="inlineStr"/>
      <c r="M19" s="5" t="n">
        <v>7</v>
      </c>
      <c r="N19" s="5" t="n">
        <v>2</v>
      </c>
      <c r="O19" s="5" t="n"/>
      <c r="P19" s="4" t="inlineStr"/>
      <c r="Q19" s="4" t="inlineStr">
        <is>
          <t>Não</t>
        </is>
      </c>
      <c r="R19" s="4" t="inlineStr">
        <is>
          <t>Site (navegador)</t>
        </is>
      </c>
      <c r="S19" s="4" t="n">
        <v>1</v>
      </c>
      <c r="T19" s="4" t="inlineStr">
        <is>
          <t>Não</t>
        </is>
      </c>
      <c r="U19" s="4" t="inlineStr">
        <is>
          <t>Sim</t>
        </is>
      </c>
      <c r="V19" s="4" t="inlineStr">
        <is>
          <t>Não</t>
        </is>
      </c>
      <c r="W19" s="4" t="inlineStr"/>
    </row>
    <row r="20">
      <c r="A20" s="4" t="inlineStr">
        <is>
          <t>XP Investimentos</t>
        </is>
      </c>
      <c r="B20" s="4" t="inlineStr">
        <is>
          <t>Arca Grão Xp Seguros Prev Fic Rf Cp Rl</t>
        </is>
      </c>
      <c r="C20" s="6" t="inlineStr">
        <is>
          <t>61.304.623/0001-42</t>
        </is>
      </c>
      <c r="D20" s="4" t="inlineStr">
        <is>
          <t>GRÃO GESTÃO DE RECURSOS LTDA.</t>
        </is>
      </c>
      <c r="E20" s="4" t="inlineStr">
        <is>
          <t>43.739.164/0001-48</t>
        </is>
      </c>
      <c r="F20" s="4" t="inlineStr">
        <is>
          <t>Santander DTVM</t>
        </is>
      </c>
      <c r="G20" s="4" t="inlineStr">
        <is>
          <t>Renda Fixa</t>
        </is>
      </c>
      <c r="H20" s="4" t="inlineStr">
        <is>
          <t>Crédito High Grade</t>
        </is>
      </c>
      <c r="I20" s="7" t="n">
        <v>100</v>
      </c>
      <c r="J20" s="8" t="n">
        <v>0.59</v>
      </c>
      <c r="K20" s="8" t="n"/>
      <c r="L20" s="4" t="inlineStr"/>
      <c r="M20" s="5" t="n">
        <v>7</v>
      </c>
      <c r="N20" s="5" t="n">
        <v>2</v>
      </c>
      <c r="O20" s="5" t="n"/>
      <c r="P20" s="4" t="inlineStr"/>
      <c r="Q20" s="4" t="inlineStr">
        <is>
          <t>Não</t>
        </is>
      </c>
      <c r="R20" s="4" t="inlineStr">
        <is>
          <t>Site (navegador)</t>
        </is>
      </c>
      <c r="S20" s="4" t="n">
        <v>1</v>
      </c>
      <c r="T20" s="4" t="inlineStr">
        <is>
          <t>Não</t>
        </is>
      </c>
      <c r="U20" s="4" t="inlineStr">
        <is>
          <t>Sim</t>
        </is>
      </c>
      <c r="V20" s="4" t="inlineStr">
        <is>
          <t>Não</t>
        </is>
      </c>
      <c r="W20" s="4" t="inlineStr"/>
    </row>
    <row r="21">
      <c r="A21" s="4" t="inlineStr">
        <is>
          <t>XP Investimentos</t>
        </is>
      </c>
      <c r="B21" s="4" t="inlineStr">
        <is>
          <t>Arx K2 XP Seg Prev Inflação Curta FIC FIM CP</t>
        </is>
      </c>
      <c r="C21" s="6" t="inlineStr">
        <is>
          <t>40.212.715/0001-22</t>
        </is>
      </c>
      <c r="D21" s="4" t="inlineStr">
        <is>
          <t>XP VIDA E PREVIDÊNCIA S.A.</t>
        </is>
      </c>
      <c r="E21" s="4" t="inlineStr">
        <is>
          <t>29.408.732/0001-05</t>
        </is>
      </c>
      <c r="F21" s="4" t="inlineStr">
        <is>
          <t>XPI Administradora</t>
        </is>
      </c>
      <c r="G21" s="4" t="inlineStr">
        <is>
          <t>Multimercado</t>
        </is>
      </c>
      <c r="H21" s="4" t="inlineStr">
        <is>
          <t>Renda Fixa Inflação</t>
        </is>
      </c>
      <c r="I21" s="7" t="n">
        <v>100</v>
      </c>
      <c r="J21" s="8" t="n">
        <v>1.1</v>
      </c>
      <c r="K21" s="8" t="n"/>
      <c r="L21" s="4" t="inlineStr"/>
      <c r="M21" s="5" t="n">
        <v>5</v>
      </c>
      <c r="N21" s="5" t="n">
        <v>2</v>
      </c>
      <c r="O21" s="5" t="n"/>
      <c r="P21" s="4" t="inlineStr"/>
      <c r="Q21" s="4" t="inlineStr">
        <is>
          <t>Não</t>
        </is>
      </c>
      <c r="R21" s="4" t="inlineStr">
        <is>
          <t>Site (navegador)</t>
        </is>
      </c>
      <c r="S21" s="4" t="n">
        <v>1</v>
      </c>
      <c r="T21" s="4" t="inlineStr">
        <is>
          <t>Não</t>
        </is>
      </c>
      <c r="U21" s="4" t="inlineStr">
        <is>
          <t>Sim</t>
        </is>
      </c>
      <c r="V21" s="4" t="inlineStr">
        <is>
          <t>Não</t>
        </is>
      </c>
      <c r="W21" s="4" t="inlineStr"/>
    </row>
    <row r="22">
      <c r="A22" s="4" t="inlineStr">
        <is>
          <t>XP Investimentos</t>
        </is>
      </c>
      <c r="B22" s="4" t="inlineStr">
        <is>
          <t>Asa Hedge Prev XP Seg FIC FIM RL</t>
        </is>
      </c>
      <c r="C22" s="6" t="inlineStr">
        <is>
          <t>45.645.218/0001-31</t>
        </is>
      </c>
      <c r="D22" s="4" t="inlineStr">
        <is>
          <t>XP VIDA E PREVIDÊNCIA S.A.</t>
        </is>
      </c>
      <c r="E22" s="4" t="inlineStr">
        <is>
          <t>29.408.732/0001-05</t>
        </is>
      </c>
      <c r="F22" s="4" t="inlineStr">
        <is>
          <t>XPI Administradora - Modal</t>
        </is>
      </c>
      <c r="G22" s="4" t="inlineStr">
        <is>
          <t>Multimercado</t>
        </is>
      </c>
      <c r="H22" s="4" t="inlineStr">
        <is>
          <t>Macro Alta Vol</t>
        </is>
      </c>
      <c r="I22" s="7" t="n">
        <v>100</v>
      </c>
      <c r="J22" s="8" t="n">
        <v>2</v>
      </c>
      <c r="K22" s="8" t="n"/>
      <c r="L22" s="4" t="inlineStr"/>
      <c r="M22" s="5" t="n">
        <v>3</v>
      </c>
      <c r="N22" s="5" t="n">
        <v>1</v>
      </c>
      <c r="O22" s="5" t="n"/>
      <c r="P22" s="4" t="inlineStr"/>
      <c r="Q22" s="4" t="inlineStr">
        <is>
          <t>Sim</t>
        </is>
      </c>
      <c r="R22" s="4" t="inlineStr">
        <is>
          <t>Site (navegador)</t>
        </is>
      </c>
      <c r="S22" s="4" t="n">
        <v>1</v>
      </c>
      <c r="T22" s="4" t="inlineStr">
        <is>
          <t>Não</t>
        </is>
      </c>
      <c r="U22" s="4" t="inlineStr">
        <is>
          <t>Sim</t>
        </is>
      </c>
      <c r="V22" s="4" t="inlineStr">
        <is>
          <t>Não</t>
        </is>
      </c>
      <c r="W22" s="4" t="inlineStr"/>
    </row>
    <row r="23">
      <c r="A23" s="4" t="inlineStr">
        <is>
          <t>XP Investimentos</t>
        </is>
      </c>
      <c r="B23" s="4" t="inlineStr">
        <is>
          <t>Atena Prev Xp Seg Fic Firf Cp</t>
        </is>
      </c>
      <c r="C23" s="6" t="inlineStr">
        <is>
          <t>51.188.983/0001-72</t>
        </is>
      </c>
      <c r="D23" s="4" t="inlineStr">
        <is>
          <t>ATENA CAPITAL GESTÃO DE RECURSOS LTDA.</t>
        </is>
      </c>
      <c r="E23" s="4" t="inlineStr">
        <is>
          <t>19.005.052/0001-89</t>
        </is>
      </c>
      <c r="F23" s="4" t="inlineStr">
        <is>
          <t>BTG Pactual DTVM</t>
        </is>
      </c>
      <c r="G23" s="4" t="inlineStr">
        <is>
          <t>Renda Fixa</t>
        </is>
      </c>
      <c r="H23" s="4" t="inlineStr">
        <is>
          <t>Crédito High Grade</t>
        </is>
      </c>
      <c r="I23" s="7" t="n">
        <v>100</v>
      </c>
      <c r="J23" s="8" t="n">
        <v>0.93</v>
      </c>
      <c r="K23" s="8" t="n"/>
      <c r="L23" s="4" t="inlineStr"/>
      <c r="M23" s="5" t="n">
        <v>7</v>
      </c>
      <c r="N23" s="5" t="n">
        <v>2</v>
      </c>
      <c r="O23" s="5" t="n"/>
      <c r="P23" s="4" t="inlineStr"/>
      <c r="Q23" s="4" t="inlineStr">
        <is>
          <t>Não</t>
        </is>
      </c>
      <c r="R23" s="4" t="inlineStr">
        <is>
          <t>Site (navegador)</t>
        </is>
      </c>
      <c r="S23" s="4" t="n">
        <v>1</v>
      </c>
      <c r="T23" s="4" t="inlineStr">
        <is>
          <t>Não</t>
        </is>
      </c>
      <c r="U23" s="4" t="inlineStr">
        <is>
          <t>Sim</t>
        </is>
      </c>
      <c r="V23" s="4" t="inlineStr">
        <is>
          <t>Não</t>
        </is>
      </c>
      <c r="W23" s="4" t="inlineStr"/>
    </row>
    <row r="24">
      <c r="A24" s="4" t="inlineStr">
        <is>
          <t>XP Investimentos</t>
        </is>
      </c>
      <c r="B24" s="4" t="inlineStr">
        <is>
          <t>Athena XP Seg Prev 100 FIE FIA</t>
        </is>
      </c>
      <c r="C24" s="6" t="inlineStr">
        <is>
          <t>35.956.270/0001-55</t>
        </is>
      </c>
      <c r="D24" s="4" t="inlineStr">
        <is>
          <t>SUL AMÉRICA INVESTIMENTOS GESTORA DE RECURSOS S.A.</t>
        </is>
      </c>
      <c r="E24" s="4" t="inlineStr">
        <is>
          <t>21.813.291/0001-07</t>
        </is>
      </c>
      <c r="F24" s="4" t="inlineStr">
        <is>
          <t>BNY Mellon DTVM</t>
        </is>
      </c>
      <c r="G24" s="4" t="inlineStr">
        <is>
          <t>Ações</t>
        </is>
      </c>
      <c r="H24" s="4" t="inlineStr">
        <is>
          <t>Renda Variável Long Only</t>
        </is>
      </c>
      <c r="I24" s="7" t="n">
        <v>100</v>
      </c>
      <c r="J24" s="8" t="n">
        <v>2</v>
      </c>
      <c r="K24" s="8" t="n"/>
      <c r="L24" s="4" t="inlineStr"/>
      <c r="M24" s="5" t="n">
        <v>22</v>
      </c>
      <c r="N24" s="5" t="n">
        <v>2</v>
      </c>
      <c r="O24" s="5" t="n"/>
      <c r="P24" s="4" t="inlineStr"/>
      <c r="Q24" s="4" t="inlineStr">
        <is>
          <t>Sim</t>
        </is>
      </c>
      <c r="R24" s="4" t="inlineStr">
        <is>
          <t>Site (navegador)</t>
        </is>
      </c>
      <c r="S24" s="4" t="n">
        <v>1</v>
      </c>
      <c r="T24" s="4" t="inlineStr">
        <is>
          <t>Não</t>
        </is>
      </c>
      <c r="U24" s="4" t="inlineStr">
        <is>
          <t>Sim</t>
        </is>
      </c>
      <c r="V24" s="4" t="inlineStr">
        <is>
          <t>Não</t>
        </is>
      </c>
      <c r="W24" s="4" t="inlineStr"/>
    </row>
    <row r="25">
      <c r="A25" s="4" t="inlineStr">
        <is>
          <t>XP Investimentos</t>
        </is>
      </c>
      <c r="B25" s="4" t="inlineStr">
        <is>
          <t>Augme Prev Ficfim Cp</t>
        </is>
      </c>
      <c r="C25" s="6" t="inlineStr">
        <is>
          <t>53.482.542/0001-04</t>
        </is>
      </c>
      <c r="D25" s="4" t="inlineStr">
        <is>
          <t>XP VIDA E PREVIDÊNCIA S.A.</t>
        </is>
      </c>
      <c r="E25" s="4" t="inlineStr">
        <is>
          <t>29.408.732/0001-05</t>
        </is>
      </c>
      <c r="F25" s="4" t="inlineStr">
        <is>
          <t>Santander DTVM</t>
        </is>
      </c>
      <c r="G25" s="4" t="inlineStr">
        <is>
          <t>Multimercado</t>
        </is>
      </c>
      <c r="H25" s="4" t="inlineStr">
        <is>
          <t>Crédito High Yield</t>
        </is>
      </c>
      <c r="I25" s="7" t="n">
        <v>100</v>
      </c>
      <c r="J25" s="8" t="n">
        <v>1</v>
      </c>
      <c r="K25" s="8" t="n"/>
      <c r="L25" s="4" t="inlineStr"/>
      <c r="M25" s="5" t="n">
        <v>29</v>
      </c>
      <c r="N25" s="5" t="n">
        <v>1</v>
      </c>
      <c r="O25" s="5" t="n"/>
      <c r="P25" s="4" t="inlineStr"/>
      <c r="Q25" s="4" t="inlineStr">
        <is>
          <t>Não</t>
        </is>
      </c>
      <c r="R25" s="4" t="inlineStr">
        <is>
          <t>Site (navegador)</t>
        </is>
      </c>
      <c r="S25" s="4" t="n">
        <v>1</v>
      </c>
      <c r="T25" s="4" t="inlineStr">
        <is>
          <t>Não</t>
        </is>
      </c>
      <c r="U25" s="4" t="inlineStr">
        <is>
          <t>Sim</t>
        </is>
      </c>
      <c r="V25" s="4" t="inlineStr">
        <is>
          <t>Não</t>
        </is>
      </c>
      <c r="W25" s="4" t="inlineStr"/>
    </row>
    <row r="26">
      <c r="A26" s="4" t="inlineStr">
        <is>
          <t>XP Investimentos</t>
        </is>
      </c>
      <c r="B26" s="4" t="inlineStr">
        <is>
          <t>Augme Xp Seg Prev Hy Fif Multimercado Cp Rl</t>
        </is>
      </c>
      <c r="C26" s="6" t="inlineStr">
        <is>
          <t>60.749.195/0001-07</t>
        </is>
      </c>
      <c r="D26" s="4" t="inlineStr">
        <is>
          <t>AUGME CAPITAL GESTÃO DE RECURSOS LTDA.</t>
        </is>
      </c>
      <c r="E26" s="4" t="inlineStr">
        <is>
          <t>23.360.896/0001-15</t>
        </is>
      </c>
      <c r="F26" s="4" t="inlineStr">
        <is>
          <t>Santander DTVM</t>
        </is>
      </c>
      <c r="G26" s="4" t="inlineStr">
        <is>
          <t>Multimercado</t>
        </is>
      </c>
      <c r="H26" s="4" t="inlineStr">
        <is>
          <t>Crédito High Yield</t>
        </is>
      </c>
      <c r="I26" s="7" t="n">
        <v>100</v>
      </c>
      <c r="J26" s="8" t="n">
        <v>1.5</v>
      </c>
      <c r="K26" s="8" t="n"/>
      <c r="L26" s="4" t="inlineStr"/>
      <c r="M26" s="5" t="n">
        <v>130</v>
      </c>
      <c r="N26" s="5" t="n">
        <v>1</v>
      </c>
      <c r="O26" s="5" t="n"/>
      <c r="P26" s="4" t="inlineStr"/>
      <c r="Q26" s="4" t="inlineStr">
        <is>
          <t>Não</t>
        </is>
      </c>
      <c r="R26" s="4" t="inlineStr">
        <is>
          <t>Site (navegador)</t>
        </is>
      </c>
      <c r="S26" s="4" t="n">
        <v>1</v>
      </c>
      <c r="T26" s="4" t="inlineStr">
        <is>
          <t>Não</t>
        </is>
      </c>
      <c r="U26" s="4" t="inlineStr">
        <is>
          <t>Sim</t>
        </is>
      </c>
      <c r="V26" s="4" t="inlineStr">
        <is>
          <t>Não</t>
        </is>
      </c>
      <c r="W26" s="4" t="inlineStr"/>
    </row>
    <row r="27">
      <c r="A27" s="4" t="inlineStr">
        <is>
          <t>XP Investimentos</t>
        </is>
      </c>
      <c r="B27" s="4" t="inlineStr">
        <is>
          <t>Az Quest Altro Prev XP Seg FIC FIM CP</t>
        </is>
      </c>
      <c r="C27" s="6" t="inlineStr">
        <is>
          <t>45.298.150/0001-61</t>
        </is>
      </c>
      <c r="D27" s="4" t="inlineStr">
        <is>
          <t>XP VIDA E PREVIDÊNCIA S.A.</t>
        </is>
      </c>
      <c r="E27" s="4" t="inlineStr">
        <is>
          <t>29.408.732/0001-05</t>
        </is>
      </c>
      <c r="F27" s="4" t="inlineStr">
        <is>
          <t>XPI Administradora - Modal</t>
        </is>
      </c>
      <c r="G27" s="4" t="inlineStr">
        <is>
          <t>Multimercado</t>
        </is>
      </c>
      <c r="H27" s="4" t="inlineStr">
        <is>
          <t>Crédito High Grade</t>
        </is>
      </c>
      <c r="I27" s="7" t="n">
        <v>100</v>
      </c>
      <c r="J27" s="8" t="n">
        <v>1.15</v>
      </c>
      <c r="K27" s="8" t="n"/>
      <c r="L27" s="4" t="inlineStr"/>
      <c r="M27" s="5" t="n">
        <v>20</v>
      </c>
      <c r="N27" s="5" t="n">
        <v>1</v>
      </c>
      <c r="O27" s="5" t="n"/>
      <c r="P27" s="4" t="inlineStr"/>
      <c r="Q27" s="4" t="inlineStr">
        <is>
          <t>Não</t>
        </is>
      </c>
      <c r="R27" s="4" t="inlineStr">
        <is>
          <t>Site (navegador)</t>
        </is>
      </c>
      <c r="S27" s="4" t="n">
        <v>1</v>
      </c>
      <c r="T27" s="4" t="inlineStr">
        <is>
          <t>Não</t>
        </is>
      </c>
      <c r="U27" s="4" t="inlineStr">
        <is>
          <t>Sim</t>
        </is>
      </c>
      <c r="V27" s="4" t="inlineStr">
        <is>
          <t>Não</t>
        </is>
      </c>
      <c r="W27" s="4" t="inlineStr"/>
    </row>
    <row r="28">
      <c r="A28" s="4" t="inlineStr">
        <is>
          <t>XP Investimentos</t>
        </is>
      </c>
      <c r="B28" s="4" t="inlineStr">
        <is>
          <t>Az Quest Small Mid Caps XP Seg Prev FIE FIC FIA RL</t>
        </is>
      </c>
      <c r="C28" s="6" t="inlineStr">
        <is>
          <t>43.779.069/0001-78</t>
        </is>
      </c>
      <c r="D28" s="4" t="inlineStr">
        <is>
          <t>XP VIDA E PREVIDÊNCIA S.A.</t>
        </is>
      </c>
      <c r="E28" s="4" t="inlineStr">
        <is>
          <t>29.408.732/0001-05</t>
        </is>
      </c>
      <c r="F28" s="4" t="inlineStr">
        <is>
          <t>XPI Administradora - Modal</t>
        </is>
      </c>
      <c r="G28" s="4" t="inlineStr">
        <is>
          <t>Ações</t>
        </is>
      </c>
      <c r="H28" s="4" t="inlineStr">
        <is>
          <t>Renda Variável Small/Mid Caps</t>
        </is>
      </c>
      <c r="I28" s="7" t="n">
        <v>100</v>
      </c>
      <c r="J28" s="8" t="n">
        <v>2</v>
      </c>
      <c r="K28" s="8" t="n"/>
      <c r="L28" s="4" t="inlineStr"/>
      <c r="M28" s="5" t="n">
        <v>22</v>
      </c>
      <c r="N28" s="5" t="n">
        <v>2</v>
      </c>
      <c r="O28" s="5" t="n"/>
      <c r="P28" s="4" t="inlineStr"/>
      <c r="Q28" s="4" t="inlineStr">
        <is>
          <t>Não</t>
        </is>
      </c>
      <c r="R28" s="4" t="inlineStr">
        <is>
          <t>Site (navegador)</t>
        </is>
      </c>
      <c r="S28" s="4" t="n">
        <v>1</v>
      </c>
      <c r="T28" s="4" t="inlineStr">
        <is>
          <t>Não</t>
        </is>
      </c>
      <c r="U28" s="4" t="inlineStr">
        <is>
          <t>Sim</t>
        </is>
      </c>
      <c r="V28" s="4" t="inlineStr">
        <is>
          <t>Não</t>
        </is>
      </c>
      <c r="W28" s="4" t="inlineStr"/>
    </row>
    <row r="29">
      <c r="A29" s="4" t="inlineStr">
        <is>
          <t>XP Investimentos</t>
        </is>
      </c>
      <c r="B29" s="4" t="inlineStr">
        <is>
          <t>Az Quest XP Seg Multi Max Prev Quali FIC FIM</t>
        </is>
      </c>
      <c r="C29" s="6" t="inlineStr">
        <is>
          <t>40.799.759/0001-09</t>
        </is>
      </c>
      <c r="D29" s="4" t="inlineStr">
        <is>
          <t>XP VIDA E PREVIDÊNCIA S.A.</t>
        </is>
      </c>
      <c r="E29" s="4" t="inlineStr">
        <is>
          <t>29.408.732/0001-05</t>
        </is>
      </c>
      <c r="F29" s="4" t="inlineStr">
        <is>
          <t>XPI Administradora - Modal</t>
        </is>
      </c>
      <c r="G29" s="4" t="inlineStr">
        <is>
          <t>Multimercado</t>
        </is>
      </c>
      <c r="H29" s="4" t="inlineStr">
        <is>
          <t>Macro Alta Vol</t>
        </is>
      </c>
      <c r="I29" s="7" t="n">
        <v>100</v>
      </c>
      <c r="J29" s="8" t="n">
        <v>2</v>
      </c>
      <c r="K29" s="8" t="n"/>
      <c r="L29" s="4" t="inlineStr"/>
      <c r="M29" s="5" t="n">
        <v>22</v>
      </c>
      <c r="N29" s="5" t="n">
        <v>1</v>
      </c>
      <c r="O29" s="5" t="n"/>
      <c r="P29" s="4" t="inlineStr"/>
      <c r="Q29" s="4" t="inlineStr">
        <is>
          <t>Não</t>
        </is>
      </c>
      <c r="R29" s="4" t="inlineStr">
        <is>
          <t>Site (navegador)</t>
        </is>
      </c>
      <c r="S29" s="4" t="n">
        <v>1</v>
      </c>
      <c r="T29" s="4" t="inlineStr">
        <is>
          <t>Não</t>
        </is>
      </c>
      <c r="U29" s="4" t="inlineStr">
        <is>
          <t>Sim</t>
        </is>
      </c>
      <c r="V29" s="4" t="inlineStr">
        <is>
          <t>Não</t>
        </is>
      </c>
      <c r="W29" s="4" t="inlineStr"/>
    </row>
    <row r="30">
      <c r="A30" s="4" t="inlineStr">
        <is>
          <t>XP Investimentos</t>
        </is>
      </c>
      <c r="B30" s="4" t="inlineStr">
        <is>
          <t>Bahia Am Rf Ativo Prev Xp Seg Fic Fim</t>
        </is>
      </c>
      <c r="C30" s="6" t="inlineStr">
        <is>
          <t>45.645.241/0001-26</t>
        </is>
      </c>
      <c r="D30" s="4" t="inlineStr">
        <is>
          <t>XP VIDA E PREVIDÊNCIA S.A.</t>
        </is>
      </c>
      <c r="E30" s="4" t="inlineStr">
        <is>
          <t>29.408.732/0001-05</t>
        </is>
      </c>
      <c r="F30" s="4" t="inlineStr">
        <is>
          <t>XPI Administradora - Modal</t>
        </is>
      </c>
      <c r="G30" s="4" t="inlineStr">
        <is>
          <t>Multimercado</t>
        </is>
      </c>
      <c r="H30" s="4" t="inlineStr">
        <is>
          <t>Renda Fixa Ativo</t>
        </is>
      </c>
      <c r="I30" s="7" t="n">
        <v>100</v>
      </c>
      <c r="J30" s="8" t="n">
        <v>0.9</v>
      </c>
      <c r="K30" s="8" t="n"/>
      <c r="L30" s="4" t="inlineStr"/>
      <c r="M30" s="5" t="n">
        <v>0</v>
      </c>
      <c r="N30" s="5" t="n">
        <v>1</v>
      </c>
      <c r="O30" s="5" t="n"/>
      <c r="P30" s="4" t="inlineStr"/>
      <c r="Q30" s="4" t="inlineStr">
        <is>
          <t>Não</t>
        </is>
      </c>
      <c r="R30" s="4" t="inlineStr">
        <is>
          <t>Site (navegador)</t>
        </is>
      </c>
      <c r="S30" s="4" t="n">
        <v>1</v>
      </c>
      <c r="T30" s="4" t="inlineStr">
        <is>
          <t>Não</t>
        </is>
      </c>
      <c r="U30" s="4" t="inlineStr">
        <is>
          <t>Sim</t>
        </is>
      </c>
      <c r="V30" s="4" t="inlineStr">
        <is>
          <t>Não</t>
        </is>
      </c>
      <c r="W30" s="4" t="inlineStr"/>
    </row>
    <row r="31">
      <c r="A31" s="4" t="inlineStr">
        <is>
          <t>XP Investimentos</t>
        </is>
      </c>
      <c r="B31" s="4" t="inlineStr">
        <is>
          <t>Bnp Paribas Match Plus Xp Seguros Ficfirf Cp</t>
        </is>
      </c>
      <c r="C31" s="6" t="inlineStr">
        <is>
          <t>51.673.830/0001-10</t>
        </is>
      </c>
      <c r="D31" s="4" t="inlineStr">
        <is>
          <t>XP VIDA E PREVIDÊNCIA S.A.</t>
        </is>
      </c>
      <c r="E31" s="4" t="inlineStr">
        <is>
          <t>29.408.732/0001-05</t>
        </is>
      </c>
      <c r="F31" s="4" t="inlineStr">
        <is>
          <t>XP Investimentos</t>
        </is>
      </c>
      <c r="G31" s="4" t="inlineStr">
        <is>
          <t>Renda Fixa</t>
        </is>
      </c>
      <c r="H31" s="4" t="inlineStr">
        <is>
          <t>Crédito High Grade</t>
        </is>
      </c>
      <c r="I31" s="7" t="n">
        <v>100</v>
      </c>
      <c r="J31" s="8" t="n">
        <v>1</v>
      </c>
      <c r="K31" s="8" t="n"/>
      <c r="L31" s="4" t="inlineStr"/>
      <c r="M31" s="5" t="n">
        <v>8</v>
      </c>
      <c r="N31" s="5" t="n">
        <v>1</v>
      </c>
      <c r="O31" s="5" t="n"/>
      <c r="P31" s="4" t="inlineStr"/>
      <c r="Q31" s="4" t="inlineStr">
        <is>
          <t>Não</t>
        </is>
      </c>
      <c r="R31" s="4" t="inlineStr">
        <is>
          <t>Site (navegador)</t>
        </is>
      </c>
      <c r="S31" s="4" t="n">
        <v>1</v>
      </c>
      <c r="T31" s="4" t="inlineStr">
        <is>
          <t>Não</t>
        </is>
      </c>
      <c r="U31" s="4" t="inlineStr">
        <is>
          <t>Sim</t>
        </is>
      </c>
      <c r="V31" s="4" t="inlineStr">
        <is>
          <t>Não</t>
        </is>
      </c>
      <c r="W31" s="4" t="inlineStr"/>
    </row>
    <row r="32">
      <c r="A32" s="4" t="inlineStr">
        <is>
          <t>XP Investimentos</t>
        </is>
      </c>
      <c r="B32" s="4" t="inlineStr">
        <is>
          <t>Bradesco Ultra Xp Seg Prev Ficfirf</t>
        </is>
      </c>
      <c r="C32" s="6" t="inlineStr">
        <is>
          <t>52.986.170/0001-90</t>
        </is>
      </c>
      <c r="D32" s="4" t="inlineStr">
        <is>
          <t>XP VIDA E PREVIDÊNCIA S.A.</t>
        </is>
      </c>
      <c r="E32" s="4" t="inlineStr">
        <is>
          <t>29.408.732/0001-05</t>
        </is>
      </c>
      <c r="F32" s="4" t="inlineStr">
        <is>
          <t>XPI Administradora - Modal</t>
        </is>
      </c>
      <c r="G32" s="4" t="inlineStr">
        <is>
          <t>Renda Fixa</t>
        </is>
      </c>
      <c r="H32" s="4" t="inlineStr">
        <is>
          <t>Crédito High Grade</t>
        </is>
      </c>
      <c r="I32" s="7" t="n">
        <v>100</v>
      </c>
      <c r="J32" s="8" t="n">
        <v>0.7</v>
      </c>
      <c r="K32" s="8" t="n"/>
      <c r="L32" s="4" t="inlineStr"/>
      <c r="M32" s="5" t="n">
        <v>5</v>
      </c>
      <c r="N32" s="5" t="n">
        <v>1</v>
      </c>
      <c r="O32" s="5" t="n"/>
      <c r="P32" s="4" t="inlineStr"/>
      <c r="Q32" s="4" t="inlineStr">
        <is>
          <t>Não</t>
        </is>
      </c>
      <c r="R32" s="4" t="inlineStr">
        <is>
          <t>Site (navegador)</t>
        </is>
      </c>
      <c r="S32" s="4" t="n">
        <v>1</v>
      </c>
      <c r="T32" s="4" t="inlineStr">
        <is>
          <t>Não</t>
        </is>
      </c>
      <c r="U32" s="4" t="inlineStr">
        <is>
          <t>Sim</t>
        </is>
      </c>
      <c r="V32" s="4" t="inlineStr">
        <is>
          <t>Não</t>
        </is>
      </c>
      <c r="W32" s="4" t="inlineStr"/>
    </row>
    <row r="33">
      <c r="A33" s="4" t="inlineStr">
        <is>
          <t>XP Investimentos</t>
        </is>
      </c>
      <c r="B33" s="4" t="inlineStr">
        <is>
          <t>Brasil Capital 100 XP Seg Advisory FIC FIA RL</t>
        </is>
      </c>
      <c r="C33" s="6" t="inlineStr">
        <is>
          <t>34.187.279/0001-86</t>
        </is>
      </c>
      <c r="D33" s="4" t="inlineStr">
        <is>
          <t>XP VIDA E PREVIDÊNCIA S.A.</t>
        </is>
      </c>
      <c r="E33" s="4" t="inlineStr">
        <is>
          <t>29.408.732/0001-05</t>
        </is>
      </c>
      <c r="F33" s="4" t="inlineStr">
        <is>
          <t>BNY Mellon DTVM</t>
        </is>
      </c>
      <c r="G33" s="4" t="inlineStr">
        <is>
          <t>Ações</t>
        </is>
      </c>
      <c r="H33" s="4" t="inlineStr">
        <is>
          <t>Renda Variável Long Only</t>
        </is>
      </c>
      <c r="I33" s="7" t="n">
        <v>100</v>
      </c>
      <c r="J33" s="8" t="n">
        <v>2</v>
      </c>
      <c r="K33" s="8" t="n"/>
      <c r="L33" s="4" t="inlineStr"/>
      <c r="M33" s="5" t="n">
        <v>22</v>
      </c>
      <c r="N33" s="5" t="n">
        <v>2</v>
      </c>
      <c r="O33" s="5" t="n"/>
      <c r="P33" s="4" t="inlineStr"/>
      <c r="Q33" s="4" t="inlineStr">
        <is>
          <t>Não</t>
        </is>
      </c>
      <c r="R33" s="4" t="inlineStr">
        <is>
          <t>Site (navegador)</t>
        </is>
      </c>
      <c r="S33" s="4" t="n">
        <v>1</v>
      </c>
      <c r="T33" s="4" t="inlineStr">
        <is>
          <t>Não</t>
        </is>
      </c>
      <c r="U33" s="4" t="inlineStr">
        <is>
          <t>Sim</t>
        </is>
      </c>
      <c r="V33" s="4" t="inlineStr">
        <is>
          <t>Não</t>
        </is>
      </c>
      <c r="W33" s="4" t="inlineStr"/>
    </row>
    <row r="34">
      <c r="A34" s="4" t="inlineStr">
        <is>
          <t>XP Investimentos</t>
        </is>
      </c>
      <c r="B34" s="4" t="inlineStr">
        <is>
          <t>Brasil Capital 70 XP Seg Advisory Prev FIM RL</t>
        </is>
      </c>
      <c r="C34" s="6" t="inlineStr">
        <is>
          <t>32.892.517/0001-29</t>
        </is>
      </c>
      <c r="D34" s="4" t="inlineStr">
        <is>
          <t>BC GESTÃO DE RECURSOS LTDA</t>
        </is>
      </c>
      <c r="E34" s="4" t="inlineStr">
        <is>
          <t>08.752.088/0001-00</t>
        </is>
      </c>
      <c r="F34" s="4" t="inlineStr">
        <is>
          <t>BNY Mellon DTVM</t>
        </is>
      </c>
      <c r="G34" s="4" t="inlineStr">
        <is>
          <t>Multimercado</t>
        </is>
      </c>
      <c r="H34" s="4" t="inlineStr">
        <is>
          <t>Renda Variável Long Only</t>
        </is>
      </c>
      <c r="I34" s="7" t="n">
        <v>100</v>
      </c>
      <c r="J34" s="8" t="n">
        <v>1.6</v>
      </c>
      <c r="K34" s="8" t="n"/>
      <c r="L34" s="4" t="inlineStr"/>
      <c r="M34" s="5" t="n">
        <v>6</v>
      </c>
      <c r="N34" s="5" t="n">
        <v>3</v>
      </c>
      <c r="O34" s="5" t="n"/>
      <c r="P34" s="4" t="inlineStr"/>
      <c r="Q34" s="4" t="inlineStr">
        <is>
          <t>Não</t>
        </is>
      </c>
      <c r="R34" s="4" t="inlineStr">
        <is>
          <t>Site (navegador)</t>
        </is>
      </c>
      <c r="S34" s="4" t="n">
        <v>1</v>
      </c>
      <c r="T34" s="4" t="inlineStr">
        <is>
          <t>Não</t>
        </is>
      </c>
      <c r="U34" s="4" t="inlineStr">
        <is>
          <t>Sim</t>
        </is>
      </c>
      <c r="V34" s="4" t="inlineStr">
        <is>
          <t>Não</t>
        </is>
      </c>
      <c r="W34" s="4" t="inlineStr"/>
    </row>
    <row r="35">
      <c r="A35" s="4" t="inlineStr">
        <is>
          <t>XP Investimentos</t>
        </is>
      </c>
      <c r="B35" s="4" t="inlineStr">
        <is>
          <t>Brave Prev XP Seguros FIC FIRF CP RL</t>
        </is>
      </c>
      <c r="C35" s="6" t="inlineStr">
        <is>
          <t>51.675.926/0001-18</t>
        </is>
      </c>
      <c r="D35" s="4" t="inlineStr">
        <is>
          <t>BRAVE GESTORA DE RECURSOS LTDA.</t>
        </is>
      </c>
      <c r="E35" s="4" t="inlineStr">
        <is>
          <t>35.704.148/0001-91</t>
        </is>
      </c>
      <c r="F35" s="4" t="inlineStr">
        <is>
          <t>XP Investimentos</t>
        </is>
      </c>
      <c r="G35" s="4" t="inlineStr">
        <is>
          <t>Renda Fixa</t>
        </is>
      </c>
      <c r="H35" s="4" t="inlineStr">
        <is>
          <t>Crédito High Grade</t>
        </is>
      </c>
      <c r="I35" s="7" t="n">
        <v>100</v>
      </c>
      <c r="J35" s="8" t="n">
        <v>0.8</v>
      </c>
      <c r="K35" s="8" t="n"/>
      <c r="L35" s="4" t="inlineStr"/>
      <c r="M35" s="5" t="n">
        <v>20</v>
      </c>
      <c r="N35" s="5" t="n">
        <v>1</v>
      </c>
      <c r="O35" s="5" t="n"/>
      <c r="P35" s="4" t="inlineStr"/>
      <c r="Q35" s="4" t="inlineStr">
        <is>
          <t>Não</t>
        </is>
      </c>
      <c r="R35" s="4" t="inlineStr">
        <is>
          <t>Site (navegador)</t>
        </is>
      </c>
      <c r="S35" s="4" t="n">
        <v>1</v>
      </c>
      <c r="T35" s="4" t="inlineStr">
        <is>
          <t>Não</t>
        </is>
      </c>
      <c r="U35" s="4" t="inlineStr">
        <is>
          <t>Sim</t>
        </is>
      </c>
      <c r="V35" s="4" t="inlineStr">
        <is>
          <t>Não</t>
        </is>
      </c>
      <c r="W35" s="4" t="inlineStr"/>
    </row>
    <row r="36">
      <c r="A36" s="4" t="inlineStr">
        <is>
          <t>XP Investimentos</t>
        </is>
      </c>
      <c r="B36" s="4" t="inlineStr">
        <is>
          <t>Capitânia Prev Advisory Xp Seg Ficfirf Cp Rl</t>
        </is>
      </c>
      <c r="C36" s="6" t="inlineStr">
        <is>
          <t>32.319.658/0001-57</t>
        </is>
      </c>
      <c r="D36" s="4" t="inlineStr">
        <is>
          <t>XP VIDA E PREVIDÊNCIA S.A.</t>
        </is>
      </c>
      <c r="E36" s="4" t="inlineStr">
        <is>
          <t>29.408.732/0001-05</t>
        </is>
      </c>
      <c r="F36" s="4" t="inlineStr">
        <is>
          <t>XPI Administradora - Modal</t>
        </is>
      </c>
      <c r="G36" s="4" t="inlineStr">
        <is>
          <t>Renda Fixa</t>
        </is>
      </c>
      <c r="H36" s="4" t="inlineStr">
        <is>
          <t>Crédito High Grade</t>
        </is>
      </c>
      <c r="I36" s="7" t="n">
        <v>100</v>
      </c>
      <c r="J36" s="8" t="n">
        <v>1.25</v>
      </c>
      <c r="K36" s="8" t="n"/>
      <c r="L36" s="4" t="inlineStr"/>
      <c r="M36" s="5" t="n">
        <v>5</v>
      </c>
      <c r="N36" s="5" t="n">
        <v>1</v>
      </c>
      <c r="O36" s="5" t="n"/>
      <c r="P36" s="4" t="inlineStr"/>
      <c r="Q36" s="4" t="inlineStr">
        <is>
          <t>Não</t>
        </is>
      </c>
      <c r="R36" s="4" t="inlineStr">
        <is>
          <t>Site (navegador)</t>
        </is>
      </c>
      <c r="S36" s="4" t="n">
        <v>1</v>
      </c>
      <c r="T36" s="4" t="inlineStr">
        <is>
          <t>Não</t>
        </is>
      </c>
      <c r="U36" s="4" t="inlineStr">
        <is>
          <t>Sim</t>
        </is>
      </c>
      <c r="V36" s="4" t="inlineStr">
        <is>
          <t>Não</t>
        </is>
      </c>
      <c r="W36" s="4" t="inlineStr"/>
    </row>
    <row r="37">
      <c r="A37" s="4" t="inlineStr">
        <is>
          <t>XP Investimentos</t>
        </is>
      </c>
      <c r="B37" s="4" t="inlineStr">
        <is>
          <t>Capitânia Prev Inflação D30 XP Seg Advisory FIC FIRF CP</t>
        </is>
      </c>
      <c r="C37" s="6" t="inlineStr">
        <is>
          <t>43.779.018/0001-46</t>
        </is>
      </c>
      <c r="D37" s="4" t="inlineStr">
        <is>
          <t>XP VIDA E PREVIDÊNCIA S.A.</t>
        </is>
      </c>
      <c r="E37" s="4" t="inlineStr">
        <is>
          <t>29.408.732/0001-05</t>
        </is>
      </c>
      <c r="F37" s="4" t="inlineStr">
        <is>
          <t>XPI Administradora - Modal</t>
        </is>
      </c>
      <c r="G37" s="4" t="inlineStr">
        <is>
          <t>Renda Fixa</t>
        </is>
      </c>
      <c r="H37" s="4" t="inlineStr">
        <is>
          <t>Debêntures Incentivadas Não Hedgeado</t>
        </is>
      </c>
      <c r="I37" s="7" t="n">
        <v>100</v>
      </c>
      <c r="J37" s="8" t="n">
        <v>1.25</v>
      </c>
      <c r="K37" s="8" t="n"/>
      <c r="L37" s="4" t="inlineStr"/>
      <c r="M37" s="5" t="n">
        <v>20</v>
      </c>
      <c r="N37" s="5" t="n">
        <v>1</v>
      </c>
      <c r="O37" s="5" t="n"/>
      <c r="P37" s="4" t="inlineStr"/>
      <c r="Q37" s="4" t="inlineStr">
        <is>
          <t>Não</t>
        </is>
      </c>
      <c r="R37" s="4" t="inlineStr">
        <is>
          <t>Site (navegador)</t>
        </is>
      </c>
      <c r="S37" s="4" t="n">
        <v>1</v>
      </c>
      <c r="T37" s="4" t="inlineStr">
        <is>
          <t>Não</t>
        </is>
      </c>
      <c r="U37" s="4" t="inlineStr">
        <is>
          <t>Sim</t>
        </is>
      </c>
      <c r="V37" s="4" t="inlineStr">
        <is>
          <t>Não</t>
        </is>
      </c>
      <c r="W37" s="4" t="inlineStr"/>
    </row>
    <row r="38">
      <c r="A38" s="4" t="inlineStr">
        <is>
          <t>XP Investimentos</t>
        </is>
      </c>
      <c r="B38" s="4" t="inlineStr">
        <is>
          <t>Capitânia Previdence Xp Seg Fif Rf Cp Rl</t>
        </is>
      </c>
      <c r="C38" s="6" t="inlineStr">
        <is>
          <t>61.725.196/0001-76</t>
        </is>
      </c>
      <c r="D38" s="4" t="inlineStr">
        <is>
          <t>CAPITANIA PREV S.A.</t>
        </is>
      </c>
      <c r="E38" s="4" t="inlineStr">
        <is>
          <t>41.777.833/0001-40</t>
        </is>
      </c>
      <c r="F38" s="4" t="inlineStr">
        <is>
          <t>BNY Mellon DTVM</t>
        </is>
      </c>
      <c r="G38" s="4" t="inlineStr">
        <is>
          <t>Renda Fixa</t>
        </is>
      </c>
      <c r="H38" s="4" t="inlineStr">
        <is>
          <t>Crédito High Yield</t>
        </is>
      </c>
      <c r="I38" s="7" t="n">
        <v>100</v>
      </c>
      <c r="J38" s="8" t="n">
        <v>1.25</v>
      </c>
      <c r="K38" s="8" t="n"/>
      <c r="L38" s="4" t="inlineStr"/>
      <c r="M38" s="5" t="n">
        <v>1</v>
      </c>
      <c r="N38" s="5" t="n">
        <v>3</v>
      </c>
      <c r="O38" s="5" t="n"/>
      <c r="P38" s="4" t="inlineStr"/>
      <c r="Q38" s="4" t="inlineStr">
        <is>
          <t>Não</t>
        </is>
      </c>
      <c r="R38" s="4" t="inlineStr">
        <is>
          <t>Site (navegador)</t>
        </is>
      </c>
      <c r="S38" s="4" t="n">
        <v>1</v>
      </c>
      <c r="T38" s="4" t="inlineStr">
        <is>
          <t>Não</t>
        </is>
      </c>
      <c r="U38" s="4" t="inlineStr">
        <is>
          <t>Sim</t>
        </is>
      </c>
      <c r="V38" s="4" t="inlineStr">
        <is>
          <t>Não</t>
        </is>
      </c>
      <c r="W38" s="4" t="inlineStr"/>
    </row>
    <row r="39">
      <c r="A39" s="4" t="inlineStr">
        <is>
          <t>XP Investimentos</t>
        </is>
      </c>
      <c r="B39" s="4" t="inlineStr">
        <is>
          <t>Capitânia Reit Prev Adv XP Seg FIE I FIC FIM CP</t>
        </is>
      </c>
      <c r="C39" s="6" t="inlineStr">
        <is>
          <t>35.955.948/0001-85</t>
        </is>
      </c>
      <c r="D39" s="4" t="inlineStr">
        <is>
          <t>CAPITANIA PREV S.A.</t>
        </is>
      </c>
      <c r="E39" s="4" t="inlineStr">
        <is>
          <t>41.777.833/0001-40</t>
        </is>
      </c>
      <c r="F39" s="4" t="inlineStr">
        <is>
          <t>BNY Mellon DTVM</t>
        </is>
      </c>
      <c r="G39" s="4" t="inlineStr">
        <is>
          <t>Multimercado</t>
        </is>
      </c>
      <c r="H39" s="4" t="inlineStr">
        <is>
          <t>Crédito Híbrido</t>
        </is>
      </c>
      <c r="I39" s="7" t="n">
        <v>100</v>
      </c>
      <c r="J39" s="8" t="n">
        <v>1.25</v>
      </c>
      <c r="K39" s="8" t="n"/>
      <c r="L39" s="4" t="inlineStr"/>
      <c r="M39" s="5" t="n">
        <v>59</v>
      </c>
      <c r="N39" s="5" t="n">
        <v>1</v>
      </c>
      <c r="O39" s="5" t="n"/>
      <c r="P39" s="4" t="inlineStr"/>
      <c r="Q39" s="4" t="inlineStr">
        <is>
          <t>Não</t>
        </is>
      </c>
      <c r="R39" s="4" t="inlineStr">
        <is>
          <t>Site (navegador)</t>
        </is>
      </c>
      <c r="S39" s="4" t="n">
        <v>1</v>
      </c>
      <c r="T39" s="4" t="inlineStr">
        <is>
          <t>Não</t>
        </is>
      </c>
      <c r="U39" s="4" t="inlineStr">
        <is>
          <t>Sim</t>
        </is>
      </c>
      <c r="V39" s="4" t="inlineStr">
        <is>
          <t>Não</t>
        </is>
      </c>
      <c r="W39" s="4" t="inlineStr"/>
    </row>
    <row r="40">
      <c r="A40" s="4" t="inlineStr">
        <is>
          <t>XP Investimentos</t>
        </is>
      </c>
      <c r="B40" s="4" t="inlineStr">
        <is>
          <t>Claritas Total Return XP Seg Prev FIE FIC FIM</t>
        </is>
      </c>
      <c r="C40" s="6" t="inlineStr">
        <is>
          <t>37.396.828/0001-10</t>
        </is>
      </c>
      <c r="D40" s="4" t="inlineStr">
        <is>
          <t>Claritas Investimentos (OLD)</t>
        </is>
      </c>
      <c r="E40" s="4" t="inlineStr"/>
      <c r="F40" s="4" t="inlineStr">
        <is>
          <t>BNY Mellon DTVM</t>
        </is>
      </c>
      <c r="G40" s="4" t="inlineStr">
        <is>
          <t>Multimercado</t>
        </is>
      </c>
      <c r="H40" s="4" t="inlineStr">
        <is>
          <t>Macro Alta Vol</t>
        </is>
      </c>
      <c r="I40" s="7" t="n">
        <v>100</v>
      </c>
      <c r="J40" s="8" t="n">
        <v>2</v>
      </c>
      <c r="K40" s="8" t="n"/>
      <c r="L40" s="4" t="inlineStr"/>
      <c r="M40" s="5" t="n">
        <v>22</v>
      </c>
      <c r="N40" s="5" t="n">
        <v>2</v>
      </c>
      <c r="O40" s="5" t="n"/>
      <c r="P40" s="4" t="inlineStr"/>
      <c r="Q40" s="4" t="inlineStr">
        <is>
          <t>Sim</t>
        </is>
      </c>
      <c r="R40" s="4" t="inlineStr">
        <is>
          <t>Site (navegador)</t>
        </is>
      </c>
      <c r="S40" s="4" t="n">
        <v>1</v>
      </c>
      <c r="T40" s="4" t="inlineStr">
        <is>
          <t>Não</t>
        </is>
      </c>
      <c r="U40" s="4" t="inlineStr">
        <is>
          <t>Sim</t>
        </is>
      </c>
      <c r="V40" s="4" t="inlineStr">
        <is>
          <t>Não</t>
        </is>
      </c>
      <c r="W40" s="4" t="inlineStr"/>
    </row>
    <row r="41">
      <c r="A41" s="4" t="inlineStr">
        <is>
          <t>XP Investimentos</t>
        </is>
      </c>
      <c r="B41" s="4" t="inlineStr">
        <is>
          <t>Constellation XP Seg 100 Prev FIC FIM</t>
        </is>
      </c>
      <c r="C41" s="6" t="inlineStr">
        <is>
          <t>35.651.477/0001-11</t>
        </is>
      </c>
      <c r="D41" s="4" t="inlineStr">
        <is>
          <t>CONSTELLATION INVESTIMENTOS E PARTICIPAÇÕES LTDA</t>
        </is>
      </c>
      <c r="E41" s="4" t="inlineStr">
        <is>
          <t>06.182.127/0001-55</t>
        </is>
      </c>
      <c r="F41" s="4" t="inlineStr">
        <is>
          <t>XP Investimentos</t>
        </is>
      </c>
      <c r="G41" s="4" t="inlineStr">
        <is>
          <t>Multimercado</t>
        </is>
      </c>
      <c r="H41" s="4" t="inlineStr">
        <is>
          <t>Renda Variável Long Only</t>
        </is>
      </c>
      <c r="I41" s="7" t="n">
        <v>1000</v>
      </c>
      <c r="J41" s="8" t="n">
        <v>2</v>
      </c>
      <c r="K41" s="8" t="n"/>
      <c r="L41" s="4" t="inlineStr"/>
      <c r="M41" s="5" t="n">
        <v>40</v>
      </c>
      <c r="N41" s="5" t="n">
        <v>2</v>
      </c>
      <c r="O41" s="5" t="n"/>
      <c r="P41" s="4" t="inlineStr"/>
      <c r="Q41" s="4" t="inlineStr">
        <is>
          <t>Não</t>
        </is>
      </c>
      <c r="R41" s="4" t="inlineStr">
        <is>
          <t>Site (navegador)</t>
        </is>
      </c>
      <c r="S41" s="4" t="n">
        <v>1</v>
      </c>
      <c r="T41" s="4" t="inlineStr">
        <is>
          <t>Não</t>
        </is>
      </c>
      <c r="U41" s="4" t="inlineStr">
        <is>
          <t>Sim</t>
        </is>
      </c>
      <c r="V41" s="4" t="inlineStr">
        <is>
          <t>Não</t>
        </is>
      </c>
      <c r="W41" s="4" t="inlineStr"/>
    </row>
    <row r="42">
      <c r="A42" s="4" t="inlineStr">
        <is>
          <t>XP Investimentos</t>
        </is>
      </c>
      <c r="B42" s="4" t="inlineStr">
        <is>
          <t>DNA Energy Prev XP Seg FIM</t>
        </is>
      </c>
      <c r="C42" s="6" t="inlineStr">
        <is>
          <t>35.420.731/0001-70</t>
        </is>
      </c>
      <c r="D42" s="4" t="inlineStr">
        <is>
          <t>XP ADVISORY GESTAO DE RECURSOS LTDA</t>
        </is>
      </c>
      <c r="E42" s="4" t="inlineStr">
        <is>
          <t>15.289.957/0001-77</t>
        </is>
      </c>
      <c r="F42" s="4" t="inlineStr">
        <is>
          <t>XP Investimentos</t>
        </is>
      </c>
      <c r="G42" s="4" t="inlineStr">
        <is>
          <t>Multimercado</t>
        </is>
      </c>
      <c r="H42" s="4" t="inlineStr">
        <is>
          <t>Multiestratégia</t>
        </is>
      </c>
      <c r="I42" s="7" t="n">
        <v>100</v>
      </c>
      <c r="J42" s="8" t="n">
        <v>0.8</v>
      </c>
      <c r="K42" s="8" t="n"/>
      <c r="L42" s="4" t="inlineStr"/>
      <c r="M42" s="5" t="n">
        <v>6</v>
      </c>
      <c r="N42" s="5" t="n">
        <v>3</v>
      </c>
      <c r="O42" s="5" t="n"/>
      <c r="P42" s="4" t="inlineStr"/>
      <c r="Q42" s="4" t="inlineStr">
        <is>
          <t>Não</t>
        </is>
      </c>
      <c r="R42" s="4" t="inlineStr">
        <is>
          <t>Site (navegador)</t>
        </is>
      </c>
      <c r="S42" s="4" t="n">
        <v>1</v>
      </c>
      <c r="T42" s="4" t="inlineStr">
        <is>
          <t>Não</t>
        </is>
      </c>
      <c r="U42" s="4" t="inlineStr">
        <is>
          <t>Sim</t>
        </is>
      </c>
      <c r="V42" s="4" t="inlineStr">
        <is>
          <t>Não</t>
        </is>
      </c>
      <c r="W42" s="4" t="inlineStr"/>
    </row>
    <row r="43">
      <c r="A43" s="4" t="inlineStr">
        <is>
          <t>XP Investimentos</t>
        </is>
      </c>
      <c r="B43" s="4" t="inlineStr">
        <is>
          <t>Dahlia 100 Advisory XP Seg Prev FIC FIM</t>
        </is>
      </c>
      <c r="C43" s="6" t="inlineStr">
        <is>
          <t>36.327.214/0001-14</t>
        </is>
      </c>
      <c r="D43" s="4" t="inlineStr">
        <is>
          <t>DAHLIA CAPITAL GESTÃO DE RECURSOS LTDA.</t>
        </is>
      </c>
      <c r="E43" s="4" t="inlineStr">
        <is>
          <t>09.551.766/0001-39</t>
        </is>
      </c>
      <c r="F43" s="4" t="inlineStr">
        <is>
          <t>BNY Mellon DTVM</t>
        </is>
      </c>
      <c r="G43" s="4" t="inlineStr">
        <is>
          <t>Multimercado</t>
        </is>
      </c>
      <c r="H43" s="4" t="inlineStr">
        <is>
          <t>Renda Variável Long Only</t>
        </is>
      </c>
      <c r="I43" s="7" t="n">
        <v>100</v>
      </c>
      <c r="J43" s="8" t="n">
        <v>2</v>
      </c>
      <c r="K43" s="8" t="n"/>
      <c r="L43" s="4" t="inlineStr"/>
      <c r="M43" s="5" t="n">
        <v>10</v>
      </c>
      <c r="N43" s="5" t="n">
        <v>2</v>
      </c>
      <c r="O43" s="5" t="n"/>
      <c r="P43" s="4" t="inlineStr"/>
      <c r="Q43" s="4" t="inlineStr">
        <is>
          <t>Não</t>
        </is>
      </c>
      <c r="R43" s="4" t="inlineStr">
        <is>
          <t>Site (navegador)</t>
        </is>
      </c>
      <c r="S43" s="4" t="n">
        <v>1</v>
      </c>
      <c r="T43" s="4" t="inlineStr">
        <is>
          <t>Não</t>
        </is>
      </c>
      <c r="U43" s="4" t="inlineStr">
        <is>
          <t>Sim</t>
        </is>
      </c>
      <c r="V43" s="4" t="inlineStr">
        <is>
          <t>Não</t>
        </is>
      </c>
      <c r="W43" s="4" t="inlineStr"/>
    </row>
    <row r="44">
      <c r="A44" s="4" t="inlineStr">
        <is>
          <t>XP Investimentos</t>
        </is>
      </c>
      <c r="B44" s="4" t="inlineStr">
        <is>
          <t>Dahlia 70 Advisory Xp Seg Ii Prev Fic Fim</t>
        </is>
      </c>
      <c r="C44" s="6" t="inlineStr">
        <is>
          <t>43.761.805/0001-60</t>
        </is>
      </c>
      <c r="D44" s="4" t="inlineStr">
        <is>
          <t>XP VIDA E PREVIDÊNCIA S.A.</t>
        </is>
      </c>
      <c r="E44" s="4" t="inlineStr">
        <is>
          <t>29.408.732/0001-05</t>
        </is>
      </c>
      <c r="F44" s="4" t="inlineStr">
        <is>
          <t>XPI Administradora - Modal</t>
        </is>
      </c>
      <c r="G44" s="4" t="inlineStr">
        <is>
          <t>Multimercado</t>
        </is>
      </c>
      <c r="H44" s="4" t="inlineStr">
        <is>
          <t>Renda Variável Long Only</t>
        </is>
      </c>
      <c r="I44" s="7" t="n">
        <v>100</v>
      </c>
      <c r="J44" s="8" t="n">
        <v>1.5</v>
      </c>
      <c r="K44" s="8" t="n"/>
      <c r="L44" s="4" t="inlineStr"/>
      <c r="M44" s="5" t="n">
        <v>7</v>
      </c>
      <c r="N44" s="5" t="n">
        <v>2</v>
      </c>
      <c r="O44" s="5" t="n"/>
      <c r="P44" s="4" t="inlineStr"/>
      <c r="Q44" s="4" t="inlineStr">
        <is>
          <t>Não</t>
        </is>
      </c>
      <c r="R44" s="4" t="inlineStr">
        <is>
          <t>Site (navegador)</t>
        </is>
      </c>
      <c r="S44" s="4" t="n">
        <v>1</v>
      </c>
      <c r="T44" s="4" t="inlineStr">
        <is>
          <t>Não</t>
        </is>
      </c>
      <c r="U44" s="4" t="inlineStr">
        <is>
          <t>Sim</t>
        </is>
      </c>
      <c r="V44" s="4" t="inlineStr">
        <is>
          <t>Não</t>
        </is>
      </c>
      <c r="W44" s="4" t="inlineStr"/>
    </row>
    <row r="45">
      <c r="A45" s="4" t="inlineStr">
        <is>
          <t>XP Investimentos</t>
        </is>
      </c>
      <c r="B45" s="4" t="inlineStr">
        <is>
          <t>Dahlia Global 50 Advisory XP Seg Prev FIC FIM</t>
        </is>
      </c>
      <c r="C45" s="6" t="inlineStr">
        <is>
          <t>37.645.515/0001-59</t>
        </is>
      </c>
      <c r="D45" s="4" t="inlineStr">
        <is>
          <t>DAHLIA CAPITAL GESTÃO DE RECURSOS LTDA.</t>
        </is>
      </c>
      <c r="E45" s="4" t="inlineStr">
        <is>
          <t>09.551.766/0001-39</t>
        </is>
      </c>
      <c r="F45" s="4" t="inlineStr">
        <is>
          <t>BNY Mellon DTVM</t>
        </is>
      </c>
      <c r="G45" s="4" t="inlineStr">
        <is>
          <t>Multimercado</t>
        </is>
      </c>
      <c r="H45" s="4" t="inlineStr">
        <is>
          <t>Internacional Multimercado Não Hedgeado</t>
        </is>
      </c>
      <c r="I45" s="7" t="n">
        <v>100</v>
      </c>
      <c r="J45" s="8" t="n">
        <v>1.25</v>
      </c>
      <c r="K45" s="8" t="n"/>
      <c r="L45" s="4" t="inlineStr"/>
      <c r="M45" s="5" t="n">
        <v>7</v>
      </c>
      <c r="N45" s="5" t="n">
        <v>2</v>
      </c>
      <c r="O45" s="5" t="n"/>
      <c r="P45" s="4" t="inlineStr"/>
      <c r="Q45" s="4" t="inlineStr">
        <is>
          <t>Não</t>
        </is>
      </c>
      <c r="R45" s="4" t="inlineStr">
        <is>
          <t>Site (navegador)</t>
        </is>
      </c>
      <c r="S45" s="4" t="n">
        <v>1</v>
      </c>
      <c r="T45" s="4" t="inlineStr">
        <is>
          <t>Não</t>
        </is>
      </c>
      <c r="U45" s="4" t="inlineStr">
        <is>
          <t>Sim</t>
        </is>
      </c>
      <c r="V45" s="4" t="inlineStr">
        <is>
          <t>Não</t>
        </is>
      </c>
      <c r="W45" s="4" t="inlineStr"/>
    </row>
    <row r="46">
      <c r="A46" s="4" t="inlineStr">
        <is>
          <t>XP Investimentos</t>
        </is>
      </c>
      <c r="B46" s="4" t="inlineStr">
        <is>
          <t>Daycoval Classic Xp Seg Prev Fif Rf Cp Rl</t>
        </is>
      </c>
      <c r="C46" s="6" t="inlineStr">
        <is>
          <t>61.941.773/0001-67</t>
        </is>
      </c>
      <c r="D46" s="4" t="inlineStr">
        <is>
          <t>DAYCOVAL ASSET MANAGEMENT ADMINISTRACAO DE RECURSOS LTDA</t>
        </is>
      </c>
      <c r="E46" s="4" t="inlineStr">
        <is>
          <t>72.027.832/0001-02</t>
        </is>
      </c>
      <c r="F46" s="4" t="inlineStr">
        <is>
          <t>Banco Daycoval</t>
        </is>
      </c>
      <c r="G46" s="4" t="inlineStr">
        <is>
          <t>Renda Fixa</t>
        </is>
      </c>
      <c r="H46" s="4" t="inlineStr">
        <is>
          <t>Crédito Liquidez</t>
        </is>
      </c>
      <c r="I46" s="7" t="n">
        <v>100</v>
      </c>
      <c r="J46" s="8" t="n">
        <v>0.82</v>
      </c>
      <c r="K46" s="8" t="n"/>
      <c r="L46" s="4" t="inlineStr"/>
      <c r="M46" s="5" t="n">
        <v>0</v>
      </c>
      <c r="N46" s="5" t="n">
        <v>1</v>
      </c>
      <c r="O46" s="5" t="n"/>
      <c r="P46" s="4" t="inlineStr"/>
      <c r="Q46" s="4" t="inlineStr">
        <is>
          <t>Não</t>
        </is>
      </c>
      <c r="R46" s="4" t="inlineStr">
        <is>
          <t>Site (navegador)</t>
        </is>
      </c>
      <c r="S46" s="4" t="n">
        <v>1</v>
      </c>
      <c r="T46" s="4" t="inlineStr">
        <is>
          <t>Não</t>
        </is>
      </c>
      <c r="U46" s="4" t="inlineStr">
        <is>
          <t>Sim</t>
        </is>
      </c>
      <c r="V46" s="4" t="inlineStr">
        <is>
          <t>Não</t>
        </is>
      </c>
      <c r="W46" s="4" t="inlineStr"/>
    </row>
    <row r="47">
      <c r="A47" s="4" t="inlineStr">
        <is>
          <t>XP Investimentos</t>
        </is>
      </c>
      <c r="B47" s="4" t="inlineStr">
        <is>
          <t>Drys Shelter Prev XP FIRF CP RL</t>
        </is>
      </c>
      <c r="C47" s="6" t="inlineStr">
        <is>
          <t>63.285.329/0001-66</t>
        </is>
      </c>
      <c r="D47" s="4" t="inlineStr">
        <is>
          <t>DRYS CAPITAL LTDA</t>
        </is>
      </c>
      <c r="E47" s="4" t="inlineStr">
        <is>
          <t>08.204.817/0001-93</t>
        </is>
      </c>
      <c r="F47" s="4" t="inlineStr">
        <is>
          <t>BNY Mellon DTVM</t>
        </is>
      </c>
      <c r="G47" s="4" t="inlineStr">
        <is>
          <t>Renda Fixa</t>
        </is>
      </c>
      <c r="H47" s="4" t="inlineStr">
        <is>
          <t>Crédito Liquidez</t>
        </is>
      </c>
      <c r="I47" s="7" t="n">
        <v>100</v>
      </c>
      <c r="J47" s="8" t="n">
        <v>0.8</v>
      </c>
      <c r="K47" s="8" t="n"/>
      <c r="L47" s="4" t="inlineStr"/>
      <c r="M47" s="5" t="n">
        <v>5</v>
      </c>
      <c r="N47" s="5" t="n">
        <v>1</v>
      </c>
      <c r="O47" s="5" t="n"/>
      <c r="P47" s="4" t="inlineStr"/>
      <c r="Q47" s="4" t="inlineStr">
        <is>
          <t>Não</t>
        </is>
      </c>
      <c r="R47" s="4" t="inlineStr">
        <is>
          <t>Site (navegador)</t>
        </is>
      </c>
      <c r="S47" s="4" t="n">
        <v>1</v>
      </c>
      <c r="T47" s="4" t="inlineStr">
        <is>
          <t>Não</t>
        </is>
      </c>
      <c r="U47" s="4" t="inlineStr">
        <is>
          <t>Sim</t>
        </is>
      </c>
      <c r="V47" s="4" t="inlineStr">
        <is>
          <t>Não</t>
        </is>
      </c>
      <c r="W47" s="4" t="inlineStr"/>
    </row>
    <row r="48">
      <c r="A48" s="4" t="inlineStr">
        <is>
          <t>XP Investimentos</t>
        </is>
      </c>
      <c r="B48" s="4" t="inlineStr">
        <is>
          <t>Encore Long Biased 100 Xp Seg Prev Ficfim Rl</t>
        </is>
      </c>
      <c r="C48" s="6" t="inlineStr">
        <is>
          <t>41.866.111/0001-62</t>
        </is>
      </c>
      <c r="D48" s="4" t="inlineStr">
        <is>
          <t>XP VIDA E PREVIDÊNCIA S.A.</t>
        </is>
      </c>
      <c r="E48" s="4" t="inlineStr">
        <is>
          <t>29.408.732/0001-05</t>
        </is>
      </c>
      <c r="F48" s="4" t="inlineStr">
        <is>
          <t>XPI Administradora - Modal</t>
        </is>
      </c>
      <c r="G48" s="4" t="inlineStr">
        <is>
          <t>Multimercado</t>
        </is>
      </c>
      <c r="H48" s="4" t="inlineStr">
        <is>
          <t>Renda Variável Long Biased</t>
        </is>
      </c>
      <c r="I48" s="7" t="n">
        <v>100</v>
      </c>
      <c r="J48" s="8" t="n">
        <v>2</v>
      </c>
      <c r="K48" s="8" t="n"/>
      <c r="L48" s="4" t="inlineStr"/>
      <c r="M48" s="5" t="n">
        <v>20</v>
      </c>
      <c r="N48" s="5" t="n">
        <v>2</v>
      </c>
      <c r="O48" s="5" t="n"/>
      <c r="P48" s="4" t="inlineStr"/>
      <c r="Q48" s="4" t="inlineStr">
        <is>
          <t>Não</t>
        </is>
      </c>
      <c r="R48" s="4" t="inlineStr">
        <is>
          <t>Site (navegador)</t>
        </is>
      </c>
      <c r="S48" s="4" t="n">
        <v>1</v>
      </c>
      <c r="T48" s="4" t="inlineStr">
        <is>
          <t>Não</t>
        </is>
      </c>
      <c r="U48" s="4" t="inlineStr">
        <is>
          <t>Sim</t>
        </is>
      </c>
      <c r="V48" s="4" t="inlineStr">
        <is>
          <t>Não</t>
        </is>
      </c>
      <c r="W48" s="4" t="inlineStr"/>
    </row>
    <row r="49">
      <c r="A49" s="4" t="inlineStr">
        <is>
          <t>XP Investimentos</t>
        </is>
      </c>
      <c r="B49" s="4" t="inlineStr">
        <is>
          <t>Encore Long Biased 70 XP Seg Prev FIC FIM</t>
        </is>
      </c>
      <c r="C49" s="6" t="inlineStr">
        <is>
          <t>41.802.178/0001-33</t>
        </is>
      </c>
      <c r="D49" s="4" t="inlineStr">
        <is>
          <t>XP VIDA E PREVIDÊNCIA S.A.</t>
        </is>
      </c>
      <c r="E49" s="4" t="inlineStr">
        <is>
          <t>29.408.732/0001-05</t>
        </is>
      </c>
      <c r="F49" s="4" t="inlineStr">
        <is>
          <t>XPI Administradora - Modal</t>
        </is>
      </c>
      <c r="G49" s="4" t="inlineStr">
        <is>
          <t>Multimercado</t>
        </is>
      </c>
      <c r="H49" s="4" t="inlineStr">
        <is>
          <t>Renda Variável Long Biased</t>
        </is>
      </c>
      <c r="I49" s="7" t="n">
        <v>100</v>
      </c>
      <c r="J49" s="8" t="n">
        <v>1.5</v>
      </c>
      <c r="K49" s="8" t="n"/>
      <c r="L49" s="4" t="inlineStr"/>
      <c r="M49" s="5" t="n">
        <v>7</v>
      </c>
      <c r="N49" s="5" t="n">
        <v>2</v>
      </c>
      <c r="O49" s="5" t="n"/>
      <c r="P49" s="4" t="inlineStr"/>
      <c r="Q49" s="4" t="inlineStr">
        <is>
          <t>Não</t>
        </is>
      </c>
      <c r="R49" s="4" t="inlineStr">
        <is>
          <t>Site (navegador)</t>
        </is>
      </c>
      <c r="S49" s="4" t="n">
        <v>1</v>
      </c>
      <c r="T49" s="4" t="inlineStr">
        <is>
          <t>Não</t>
        </is>
      </c>
      <c r="U49" s="4" t="inlineStr">
        <is>
          <t>Sim</t>
        </is>
      </c>
      <c r="V49" s="4" t="inlineStr">
        <is>
          <t>Não</t>
        </is>
      </c>
      <c r="W49" s="4" t="inlineStr"/>
    </row>
    <row r="50">
      <c r="A50" s="4" t="inlineStr">
        <is>
          <t>XP Investimentos</t>
        </is>
      </c>
      <c r="B50" s="4" t="inlineStr">
        <is>
          <t>Forpus 100 XP Seg Prev FICFIA</t>
        </is>
      </c>
      <c r="C50" s="6" t="inlineStr">
        <is>
          <t>40.212.923/0001-21</t>
        </is>
      </c>
      <c r="D50" s="4" t="inlineStr">
        <is>
          <t>FORPUS CAPITAL GESTÃO DE RECURSOS LTDA.</t>
        </is>
      </c>
      <c r="E50" s="4" t="inlineStr">
        <is>
          <t>21.018.289/0001-46</t>
        </is>
      </c>
      <c r="F50" s="4" t="inlineStr">
        <is>
          <t>BNY Mellon DTVM</t>
        </is>
      </c>
      <c r="G50" s="4" t="inlineStr">
        <is>
          <t>Ações</t>
        </is>
      </c>
      <c r="H50" s="4" t="inlineStr">
        <is>
          <t>Renda Variável Long Only</t>
        </is>
      </c>
      <c r="I50" s="7" t="n">
        <v>100</v>
      </c>
      <c r="J50" s="8" t="n">
        <v>2</v>
      </c>
      <c r="K50" s="8" t="n"/>
      <c r="L50" s="4" t="inlineStr"/>
      <c r="M50" s="5" t="n">
        <v>8</v>
      </c>
      <c r="N50" s="5" t="n">
        <v>2</v>
      </c>
      <c r="O50" s="5" t="n"/>
      <c r="P50" s="4" t="inlineStr"/>
      <c r="Q50" s="4" t="inlineStr">
        <is>
          <t>Não</t>
        </is>
      </c>
      <c r="R50" s="4" t="inlineStr">
        <is>
          <t>Site (navegador)</t>
        </is>
      </c>
      <c r="S50" s="4" t="n">
        <v>1</v>
      </c>
      <c r="T50" s="4" t="inlineStr">
        <is>
          <t>Não</t>
        </is>
      </c>
      <c r="U50" s="4" t="inlineStr">
        <is>
          <t>Sim</t>
        </is>
      </c>
      <c r="V50" s="4" t="inlineStr">
        <is>
          <t>Não</t>
        </is>
      </c>
      <c r="W50" s="4" t="inlineStr"/>
    </row>
    <row r="51">
      <c r="A51" s="4" t="inlineStr">
        <is>
          <t>XP Investimentos</t>
        </is>
      </c>
      <c r="B51" s="4" t="inlineStr">
        <is>
          <t>Forpus 70 XP Seg Prev FIM</t>
        </is>
      </c>
      <c r="C51" s="6" t="inlineStr">
        <is>
          <t>42.870.699/0001-90</t>
        </is>
      </c>
      <c r="D51" s="4" t="inlineStr">
        <is>
          <t>FORPUS CAPITAL GESTÃO DE RECURSOS LTDA.</t>
        </is>
      </c>
      <c r="E51" s="4" t="inlineStr">
        <is>
          <t>21.018.289/0001-46</t>
        </is>
      </c>
      <c r="F51" s="4" t="inlineStr">
        <is>
          <t>BNY Mellon DTVM</t>
        </is>
      </c>
      <c r="G51" s="4" t="inlineStr">
        <is>
          <t>Multimercado</t>
        </is>
      </c>
      <c r="H51" s="4" t="inlineStr">
        <is>
          <t>Renda Variável Long Only</t>
        </is>
      </c>
      <c r="I51" s="7" t="n">
        <v>100</v>
      </c>
      <c r="J51" s="8" t="n">
        <v>2</v>
      </c>
      <c r="K51" s="8" t="n"/>
      <c r="L51" s="4" t="inlineStr"/>
      <c r="M51" s="5" t="n">
        <v>7</v>
      </c>
      <c r="N51" s="5" t="n">
        <v>2</v>
      </c>
      <c r="O51" s="5" t="n"/>
      <c r="P51" s="4" t="inlineStr"/>
      <c r="Q51" s="4" t="inlineStr">
        <is>
          <t>Não</t>
        </is>
      </c>
      <c r="R51" s="4" t="inlineStr">
        <is>
          <t>Site (navegador)</t>
        </is>
      </c>
      <c r="S51" s="4" t="n">
        <v>1</v>
      </c>
      <c r="T51" s="4" t="inlineStr">
        <is>
          <t>Não</t>
        </is>
      </c>
      <c r="U51" s="4" t="inlineStr">
        <is>
          <t>Sim</t>
        </is>
      </c>
      <c r="V51" s="4" t="inlineStr">
        <is>
          <t>Não</t>
        </is>
      </c>
      <c r="W51" s="4" t="inlineStr"/>
    </row>
    <row r="52">
      <c r="A52" s="4" t="inlineStr">
        <is>
          <t>XP Investimentos</t>
        </is>
      </c>
      <c r="B52" s="4" t="inlineStr">
        <is>
          <t>Franklin Valor e Liquidez 70 XP Seg FIM</t>
        </is>
      </c>
      <c r="C52" s="6" t="inlineStr">
        <is>
          <t>32.319.047/0001-09</t>
        </is>
      </c>
      <c r="D52" s="4" t="inlineStr">
        <is>
          <t>Franklin Templeton Brasil Ltda.</t>
        </is>
      </c>
      <c r="E52" s="4" t="inlineStr">
        <is>
          <t>07.437.241/0001-41</t>
        </is>
      </c>
      <c r="F52" s="4" t="inlineStr">
        <is>
          <t>BNY Mellon DTVM</t>
        </is>
      </c>
      <c r="G52" s="4" t="inlineStr">
        <is>
          <t>Multimercado</t>
        </is>
      </c>
      <c r="H52" s="4" t="inlineStr">
        <is>
          <t>Renda Variável Long Only</t>
        </is>
      </c>
      <c r="I52" s="7" t="n">
        <v>100</v>
      </c>
      <c r="J52" s="8" t="n">
        <v>2</v>
      </c>
      <c r="K52" s="8" t="n"/>
      <c r="L52" s="4" t="inlineStr"/>
      <c r="M52" s="5" t="n">
        <v>2</v>
      </c>
      <c r="N52" s="5" t="n">
        <v>2</v>
      </c>
      <c r="O52" s="5" t="n"/>
      <c r="P52" s="4" t="inlineStr"/>
      <c r="Q52" s="4" t="inlineStr">
        <is>
          <t>Não</t>
        </is>
      </c>
      <c r="R52" s="4" t="inlineStr">
        <is>
          <t>Site (navegador)</t>
        </is>
      </c>
      <c r="S52" s="4" t="n">
        <v>1</v>
      </c>
      <c r="T52" s="4" t="inlineStr">
        <is>
          <t>Não</t>
        </is>
      </c>
      <c r="U52" s="4" t="inlineStr">
        <is>
          <t>Sim</t>
        </is>
      </c>
      <c r="V52" s="4" t="inlineStr">
        <is>
          <t>Não</t>
        </is>
      </c>
      <c r="W52" s="4" t="inlineStr"/>
    </row>
    <row r="53">
      <c r="A53" s="4" t="inlineStr">
        <is>
          <t>XP Investimentos</t>
        </is>
      </c>
      <c r="B53" s="4" t="inlineStr">
        <is>
          <t>Franklin Valor e Liquidez Long Bias Prev FIC FIM</t>
        </is>
      </c>
      <c r="C53" s="6" t="inlineStr">
        <is>
          <t>40.781.467/0001-30</t>
        </is>
      </c>
      <c r="D53" s="4" t="inlineStr">
        <is>
          <t>XP VIDA E PREVIDÊNCIA S.A.</t>
        </is>
      </c>
      <c r="E53" s="4" t="inlineStr">
        <is>
          <t>29.408.732/0001-05</t>
        </is>
      </c>
      <c r="F53" s="4" t="inlineStr">
        <is>
          <t>XPI Administradora - Modal</t>
        </is>
      </c>
      <c r="G53" s="4" t="inlineStr">
        <is>
          <t>Multimercado</t>
        </is>
      </c>
      <c r="H53" s="4" t="inlineStr">
        <is>
          <t>Renda Variável Long Only</t>
        </is>
      </c>
      <c r="I53" s="7" t="n">
        <v>100</v>
      </c>
      <c r="J53" s="8" t="n">
        <v>1.8</v>
      </c>
      <c r="K53" s="8" t="n"/>
      <c r="L53" s="4" t="inlineStr"/>
      <c r="M53" s="5" t="n">
        <v>13</v>
      </c>
      <c r="N53" s="5" t="n">
        <v>2</v>
      </c>
      <c r="O53" s="5" t="n"/>
      <c r="P53" s="4" t="inlineStr"/>
      <c r="Q53" s="4" t="inlineStr">
        <is>
          <t>Não</t>
        </is>
      </c>
      <c r="R53" s="4" t="inlineStr">
        <is>
          <t>Site (navegador)</t>
        </is>
      </c>
      <c r="S53" s="4" t="n">
        <v>1</v>
      </c>
      <c r="T53" s="4" t="inlineStr">
        <is>
          <t>Não</t>
        </is>
      </c>
      <c r="U53" s="4" t="inlineStr">
        <is>
          <t>Sim</t>
        </is>
      </c>
      <c r="V53" s="4" t="inlineStr">
        <is>
          <t>Não</t>
        </is>
      </c>
      <c r="W53" s="4" t="inlineStr"/>
    </row>
    <row r="54">
      <c r="A54" s="4" t="inlineStr">
        <is>
          <t>XP Investimentos</t>
        </is>
      </c>
      <c r="B54" s="4" t="inlineStr">
        <is>
          <t>Gap Absoluto XP Seg IQ FIC FIM</t>
        </is>
      </c>
      <c r="C54" s="6" t="inlineStr">
        <is>
          <t>35.956.326/0001-71</t>
        </is>
      </c>
      <c r="D54" s="4" t="inlineStr">
        <is>
          <t>LEGACY CAPITAL GESTORA DE RECURSOS LTDA.</t>
        </is>
      </c>
      <c r="E54" s="4" t="inlineStr">
        <is>
          <t>28.674.641/0001-40</t>
        </is>
      </c>
      <c r="F54" s="4" t="inlineStr">
        <is>
          <t>BTG Pactual DTVM</t>
        </is>
      </c>
      <c r="G54" s="4" t="inlineStr">
        <is>
          <t>Multimercado</t>
        </is>
      </c>
      <c r="H54" s="4" t="inlineStr">
        <is>
          <t>Macro Alta Vol</t>
        </is>
      </c>
      <c r="I54" s="7" t="n">
        <v>100</v>
      </c>
      <c r="J54" s="8" t="n">
        <v>2</v>
      </c>
      <c r="K54" s="8" t="n"/>
      <c r="L54" s="4" t="inlineStr"/>
      <c r="M54" s="5" t="n">
        <v>7</v>
      </c>
      <c r="N54" s="5" t="n">
        <v>1</v>
      </c>
      <c r="O54" s="5" t="n"/>
      <c r="P54" s="4" t="inlineStr"/>
      <c r="Q54" s="4" t="inlineStr">
        <is>
          <t>Sim</t>
        </is>
      </c>
      <c r="R54" s="4" t="inlineStr">
        <is>
          <t>Site (navegador)</t>
        </is>
      </c>
      <c r="S54" s="4" t="n">
        <v>1</v>
      </c>
      <c r="T54" s="4" t="inlineStr">
        <is>
          <t>Não</t>
        </is>
      </c>
      <c r="U54" s="4" t="inlineStr">
        <is>
          <t>Sim</t>
        </is>
      </c>
      <c r="V54" s="4" t="inlineStr">
        <is>
          <t>Não</t>
        </is>
      </c>
      <c r="W54" s="4" t="inlineStr"/>
    </row>
    <row r="55">
      <c r="A55" s="4" t="inlineStr">
        <is>
          <t>XP Investimentos</t>
        </is>
      </c>
      <c r="B55" s="4" t="inlineStr">
        <is>
          <t>Gauss Panorama Xp Seg Iq Prev Ficfim Cp Rl</t>
        </is>
      </c>
      <c r="C55" s="6" t="inlineStr">
        <is>
          <t>43.215.421/0001-42</t>
        </is>
      </c>
      <c r="D55" s="4" t="inlineStr">
        <is>
          <t>XP VIDA E PREVIDÊNCIA S.A.</t>
        </is>
      </c>
      <c r="E55" s="4" t="inlineStr">
        <is>
          <t>29.408.732/0001-05</t>
        </is>
      </c>
      <c r="F55" s="4" t="inlineStr">
        <is>
          <t>XPI Administradora - Modal</t>
        </is>
      </c>
      <c r="G55" s="4" t="inlineStr">
        <is>
          <t>Multimercado</t>
        </is>
      </c>
      <c r="H55" s="4" t="inlineStr">
        <is>
          <t>Macro Média Vol</t>
        </is>
      </c>
      <c r="I55" s="7" t="n">
        <v>100</v>
      </c>
      <c r="J55" s="8" t="n">
        <v>2</v>
      </c>
      <c r="K55" s="8" t="n"/>
      <c r="L55" s="4" t="inlineStr"/>
      <c r="M55" s="5" t="n">
        <v>5</v>
      </c>
      <c r="N55" s="5" t="n">
        <v>1</v>
      </c>
      <c r="O55" s="5" t="n"/>
      <c r="P55" s="4" t="inlineStr"/>
      <c r="Q55" s="4" t="inlineStr">
        <is>
          <t>Sim</t>
        </is>
      </c>
      <c r="R55" s="4" t="inlineStr">
        <is>
          <t>Site (navegador)</t>
        </is>
      </c>
      <c r="S55" s="4" t="n">
        <v>1</v>
      </c>
      <c r="T55" s="4" t="inlineStr">
        <is>
          <t>Não</t>
        </is>
      </c>
      <c r="U55" s="4" t="inlineStr">
        <is>
          <t>Sim</t>
        </is>
      </c>
      <c r="V55" s="4" t="inlineStr">
        <is>
          <t>Não</t>
        </is>
      </c>
      <c r="W55" s="4" t="inlineStr"/>
    </row>
    <row r="56">
      <c r="A56" s="4" t="inlineStr">
        <is>
          <t>XP Investimentos</t>
        </is>
      </c>
      <c r="B56" s="4" t="inlineStr">
        <is>
          <t>Gavea Macro Xp Seg Prev Ficfim Cp Rl</t>
        </is>
      </c>
      <c r="C56" s="6" t="inlineStr">
        <is>
          <t>40.635.018/0001-84</t>
        </is>
      </c>
      <c r="D56" s="4" t="inlineStr">
        <is>
          <t>XP VIDA E PREVIDÊNCIA S.A.</t>
        </is>
      </c>
      <c r="E56" s="4" t="inlineStr">
        <is>
          <t>29.408.732/0001-05</t>
        </is>
      </c>
      <c r="F56" s="4" t="inlineStr">
        <is>
          <t>XPI Administradora - Modal</t>
        </is>
      </c>
      <c r="G56" s="4" t="inlineStr">
        <is>
          <t>Multimercado</t>
        </is>
      </c>
      <c r="H56" s="4" t="inlineStr">
        <is>
          <t>Macro Média Vol</t>
        </is>
      </c>
      <c r="I56" s="7" t="n">
        <v>100</v>
      </c>
      <c r="J56" s="8" t="n">
        <v>2</v>
      </c>
      <c r="K56" s="8" t="n"/>
      <c r="L56" s="4" t="inlineStr"/>
      <c r="M56" s="5" t="n">
        <v>22</v>
      </c>
      <c r="N56" s="5" t="n">
        <v>1</v>
      </c>
      <c r="O56" s="5" t="n"/>
      <c r="P56" s="4" t="inlineStr"/>
      <c r="Q56" s="4" t="inlineStr">
        <is>
          <t>Sim</t>
        </is>
      </c>
      <c r="R56" s="4" t="inlineStr">
        <is>
          <t>Site (navegador)</t>
        </is>
      </c>
      <c r="S56" s="4" t="n">
        <v>1</v>
      </c>
      <c r="T56" s="4" t="inlineStr">
        <is>
          <t>Não</t>
        </is>
      </c>
      <c r="U56" s="4" t="inlineStr">
        <is>
          <t>Sim</t>
        </is>
      </c>
      <c r="V56" s="4" t="inlineStr">
        <is>
          <t>Não</t>
        </is>
      </c>
      <c r="W56" s="4" t="inlineStr"/>
    </row>
    <row r="57">
      <c r="A57" s="4" t="inlineStr">
        <is>
          <t>XP Investimentos</t>
        </is>
      </c>
      <c r="B57" s="4" t="inlineStr">
        <is>
          <t>Genoa Capital Cruise Prev XP Seg FIC FIM</t>
        </is>
      </c>
      <c r="C57" s="6" t="inlineStr">
        <is>
          <t>42.535.297/0001-30</t>
        </is>
      </c>
      <c r="D57" s="4" t="inlineStr">
        <is>
          <t>GENOA CAPITAL GESTORA DE RECURSOS LTDA</t>
        </is>
      </c>
      <c r="E57" s="4" t="inlineStr">
        <is>
          <t>34.276.448/0001-54</t>
        </is>
      </c>
      <c r="F57" s="4" t="inlineStr">
        <is>
          <t>Intrag DTVM</t>
        </is>
      </c>
      <c r="G57" s="4" t="inlineStr">
        <is>
          <t>Multimercado</t>
        </is>
      </c>
      <c r="H57" s="4" t="inlineStr">
        <is>
          <t>Macro Alta Vol</t>
        </is>
      </c>
      <c r="I57" s="7" t="n">
        <v>100</v>
      </c>
      <c r="J57" s="8" t="n">
        <v>2</v>
      </c>
      <c r="K57" s="8" t="n"/>
      <c r="L57" s="4" t="inlineStr"/>
      <c r="M57" s="5" t="n">
        <v>5</v>
      </c>
      <c r="N57" s="5" t="n">
        <v>2</v>
      </c>
      <c r="O57" s="5" t="n"/>
      <c r="P57" s="4" t="inlineStr"/>
      <c r="Q57" s="4" t="inlineStr">
        <is>
          <t>Não</t>
        </is>
      </c>
      <c r="R57" s="4" t="inlineStr">
        <is>
          <t>Site (navegador)</t>
        </is>
      </c>
      <c r="S57" s="4" t="n">
        <v>1</v>
      </c>
      <c r="T57" s="4" t="inlineStr">
        <is>
          <t>Não</t>
        </is>
      </c>
      <c r="U57" s="4" t="inlineStr">
        <is>
          <t>Sim</t>
        </is>
      </c>
      <c r="V57" s="4" t="inlineStr">
        <is>
          <t>Não</t>
        </is>
      </c>
      <c r="W57" s="4" t="inlineStr"/>
    </row>
    <row r="58">
      <c r="A58" s="4" t="inlineStr">
        <is>
          <t>XP Investimentos</t>
        </is>
      </c>
      <c r="B58" s="4" t="inlineStr">
        <is>
          <t>Genoa Capital Sagres XP Seg Prev FIF CIC Multi RL</t>
        </is>
      </c>
      <c r="C58" s="6" t="inlineStr">
        <is>
          <t>64.195.667/0001-70</t>
        </is>
      </c>
      <c r="D58" s="4" t="inlineStr">
        <is>
          <t>GENOA CAPITAL GESTORA DE RECURSOS LTDA</t>
        </is>
      </c>
      <c r="E58" s="4" t="inlineStr">
        <is>
          <t>34.276.448/0001-54</t>
        </is>
      </c>
      <c r="F58" s="4" t="inlineStr">
        <is>
          <t>Intrag DTVM</t>
        </is>
      </c>
      <c r="G58" s="4" t="inlineStr">
        <is>
          <t>Multimercado</t>
        </is>
      </c>
      <c r="H58" s="4" t="inlineStr">
        <is>
          <t>Quantitativo</t>
        </is>
      </c>
      <c r="I58" s="7" t="n">
        <v>100</v>
      </c>
      <c r="J58" s="8" t="n">
        <v>2</v>
      </c>
      <c r="K58" s="8" t="n"/>
      <c r="L58" s="4" t="inlineStr"/>
      <c r="M58" s="5" t="n">
        <v>22</v>
      </c>
      <c r="N58" s="5" t="n">
        <v>2</v>
      </c>
      <c r="O58" s="5" t="n"/>
      <c r="P58" s="4" t="inlineStr"/>
      <c r="Q58" s="4" t="inlineStr">
        <is>
          <t>Não</t>
        </is>
      </c>
      <c r="R58" s="4" t="inlineStr">
        <is>
          <t>Site (navegador)</t>
        </is>
      </c>
      <c r="S58" s="4" t="n">
        <v>1</v>
      </c>
      <c r="T58" s="4" t="inlineStr">
        <is>
          <t>Não</t>
        </is>
      </c>
      <c r="U58" s="4" t="inlineStr">
        <is>
          <t>Sim</t>
        </is>
      </c>
      <c r="V58" s="4" t="inlineStr">
        <is>
          <t>Não</t>
        </is>
      </c>
      <c r="W58" s="4" t="inlineStr"/>
    </row>
    <row r="59">
      <c r="A59" s="4" t="inlineStr">
        <is>
          <t>XP Investimentos</t>
        </is>
      </c>
      <c r="B59" s="4" t="inlineStr">
        <is>
          <t>Geo Empresas Globais Em Dólares Xp Seg Prev Ficfim Rl</t>
        </is>
      </c>
      <c r="C59" s="6" t="inlineStr">
        <is>
          <t>43.859.993/0001-64</t>
        </is>
      </c>
      <c r="D59" s="4" t="inlineStr">
        <is>
          <t>XP VIDA E PREVIDÊNCIA S.A.</t>
        </is>
      </c>
      <c r="E59" s="4" t="inlineStr">
        <is>
          <t>29.408.732/0001-05</t>
        </is>
      </c>
      <c r="F59" s="4" t="inlineStr">
        <is>
          <t>XPI Administradora - Modal</t>
        </is>
      </c>
      <c r="G59" s="4" t="inlineStr">
        <is>
          <t>Multimercado</t>
        </is>
      </c>
      <c r="H59" s="4" t="inlineStr">
        <is>
          <t>Internacional Ações Não Hedgeado</t>
        </is>
      </c>
      <c r="I59" s="7" t="n">
        <v>100</v>
      </c>
      <c r="J59" s="8" t="n">
        <v>1</v>
      </c>
      <c r="K59" s="8" t="n"/>
      <c r="L59" s="4" t="inlineStr"/>
      <c r="M59" s="5" t="n">
        <v>22</v>
      </c>
      <c r="N59" s="5" t="n">
        <v>3</v>
      </c>
      <c r="O59" s="5" t="n"/>
      <c r="P59" s="4" t="inlineStr"/>
      <c r="Q59" s="4" t="inlineStr">
        <is>
          <t>Não</t>
        </is>
      </c>
      <c r="R59" s="4" t="inlineStr">
        <is>
          <t>Site (navegador)</t>
        </is>
      </c>
      <c r="S59" s="4" t="n">
        <v>1</v>
      </c>
      <c r="T59" s="4" t="inlineStr">
        <is>
          <t>Não</t>
        </is>
      </c>
      <c r="U59" s="4" t="inlineStr">
        <is>
          <t>Sim</t>
        </is>
      </c>
      <c r="V59" s="4" t="inlineStr">
        <is>
          <t>Não</t>
        </is>
      </c>
      <c r="W59" s="4" t="inlineStr"/>
    </row>
    <row r="60">
      <c r="A60" s="4" t="inlineStr">
        <is>
          <t>XP Investimentos</t>
        </is>
      </c>
      <c r="B60" s="4" t="inlineStr">
        <is>
          <t>Giant Prev FIE FIC FIM</t>
        </is>
      </c>
      <c r="C60" s="6" t="inlineStr">
        <is>
          <t>32.847.791/0001-86</t>
        </is>
      </c>
      <c r="D60" s="4" t="inlineStr">
        <is>
          <t>XP VIDA E PREVIDÊNCIA S.A.</t>
        </is>
      </c>
      <c r="E60" s="4" t="inlineStr">
        <is>
          <t>29.408.732/0001-05</t>
        </is>
      </c>
      <c r="F60" s="4" t="inlineStr">
        <is>
          <t>BNY Mellon DTVM</t>
        </is>
      </c>
      <c r="G60" s="4" t="inlineStr">
        <is>
          <t>Multimercado</t>
        </is>
      </c>
      <c r="H60" s="4" t="inlineStr">
        <is>
          <t>Quantitativo</t>
        </is>
      </c>
      <c r="I60" s="7" t="n">
        <v>100</v>
      </c>
      <c r="J60" s="8" t="n">
        <v>1.5</v>
      </c>
      <c r="K60" s="8" t="n"/>
      <c r="L60" s="4" t="inlineStr"/>
      <c r="M60" s="5" t="n">
        <v>7</v>
      </c>
      <c r="N60" s="5" t="n">
        <v>1</v>
      </c>
      <c r="O60" s="5" t="n"/>
      <c r="P60" s="4" t="inlineStr"/>
      <c r="Q60" s="4" t="inlineStr">
        <is>
          <t>Não</t>
        </is>
      </c>
      <c r="R60" s="4" t="inlineStr">
        <is>
          <t>Site (navegador)</t>
        </is>
      </c>
      <c r="S60" s="4" t="n">
        <v>1</v>
      </c>
      <c r="T60" s="4" t="inlineStr">
        <is>
          <t>Não</t>
        </is>
      </c>
      <c r="U60" s="4" t="inlineStr">
        <is>
          <t>Sim</t>
        </is>
      </c>
      <c r="V60" s="4" t="inlineStr">
        <is>
          <t>Não</t>
        </is>
      </c>
      <c r="W60" s="4" t="inlineStr"/>
    </row>
    <row r="61">
      <c r="A61" s="4" t="inlineStr">
        <is>
          <t>XP Investimentos</t>
        </is>
      </c>
      <c r="B61" s="4" t="inlineStr">
        <is>
          <t>Giant Zarathustra 80 Prev Xp Seg Fic Fim Rl</t>
        </is>
      </c>
      <c r="C61" s="6" t="inlineStr">
        <is>
          <t>47.020.660/0001-06</t>
        </is>
      </c>
      <c r="D61" s="4" t="inlineStr">
        <is>
          <t>XP VIDA E PREVIDÊNCIA S.A.</t>
        </is>
      </c>
      <c r="E61" s="4" t="inlineStr">
        <is>
          <t>29.408.732/0001-05</t>
        </is>
      </c>
      <c r="F61" s="4" t="inlineStr">
        <is>
          <t>XPI Administradora - Modal</t>
        </is>
      </c>
      <c r="G61" s="4" t="inlineStr">
        <is>
          <t>Multimercado</t>
        </is>
      </c>
      <c r="H61" s="4" t="inlineStr">
        <is>
          <t>Quantitativo</t>
        </is>
      </c>
      <c r="I61" s="7" t="n">
        <v>100</v>
      </c>
      <c r="J61" s="8" t="n">
        <v>1</v>
      </c>
      <c r="K61" s="8" t="n"/>
      <c r="L61" s="4" t="inlineStr"/>
      <c r="M61" s="5" t="n">
        <v>5</v>
      </c>
      <c r="N61" s="5" t="n">
        <v>2</v>
      </c>
      <c r="O61" s="5" t="n"/>
      <c r="P61" s="4" t="inlineStr"/>
      <c r="Q61" s="4" t="inlineStr">
        <is>
          <t>Não</t>
        </is>
      </c>
      <c r="R61" s="4" t="inlineStr">
        <is>
          <t>Site (navegador)</t>
        </is>
      </c>
      <c r="S61" s="4" t="n">
        <v>1</v>
      </c>
      <c r="T61" s="4" t="inlineStr">
        <is>
          <t>Não</t>
        </is>
      </c>
      <c r="U61" s="4" t="inlineStr">
        <is>
          <t>Sim</t>
        </is>
      </c>
      <c r="V61" s="4" t="inlineStr">
        <is>
          <t>Não</t>
        </is>
      </c>
      <c r="W61" s="4" t="inlineStr"/>
    </row>
    <row r="62">
      <c r="A62" s="4" t="inlineStr">
        <is>
          <t>XP Investimentos</t>
        </is>
      </c>
      <c r="B62" s="4" t="inlineStr">
        <is>
          <t>Guepardo 70 Xp Seg Prev Ficfim</t>
        </is>
      </c>
      <c r="C62" s="6" t="inlineStr">
        <is>
          <t>44.409.327/0001-97</t>
        </is>
      </c>
      <c r="D62" s="4" t="inlineStr">
        <is>
          <t>XP VIDA E PREVIDÊNCIA S.A.</t>
        </is>
      </c>
      <c r="E62" s="4" t="inlineStr">
        <is>
          <t>29.408.732/0001-05</t>
        </is>
      </c>
      <c r="F62" s="4" t="inlineStr">
        <is>
          <t>XP Investimentos</t>
        </is>
      </c>
      <c r="G62" s="4" t="inlineStr">
        <is>
          <t>Multimercado</t>
        </is>
      </c>
      <c r="H62" s="4" t="inlineStr">
        <is>
          <t>Renda Variável Long Only</t>
        </is>
      </c>
      <c r="I62" s="7" t="n">
        <v>100</v>
      </c>
      <c r="J62" s="8" t="n">
        <v>1.5</v>
      </c>
      <c r="K62" s="8" t="n"/>
      <c r="L62" s="4" t="inlineStr"/>
      <c r="M62" s="5" t="n">
        <v>7</v>
      </c>
      <c r="N62" s="5" t="n">
        <v>2</v>
      </c>
      <c r="O62" s="5" t="n"/>
      <c r="P62" s="4" t="inlineStr"/>
      <c r="Q62" s="4" t="inlineStr">
        <is>
          <t>Não</t>
        </is>
      </c>
      <c r="R62" s="4" t="inlineStr">
        <is>
          <t>Site (navegador)</t>
        </is>
      </c>
      <c r="S62" s="4" t="n">
        <v>1</v>
      </c>
      <c r="T62" s="4" t="inlineStr">
        <is>
          <t>Não</t>
        </is>
      </c>
      <c r="U62" s="4" t="inlineStr">
        <is>
          <t>Sim</t>
        </is>
      </c>
      <c r="V62" s="4" t="inlineStr">
        <is>
          <t>Não</t>
        </is>
      </c>
      <c r="W62" s="4" t="inlineStr"/>
    </row>
    <row r="63">
      <c r="A63" s="4" t="inlineStr">
        <is>
          <t>XP Investimentos</t>
        </is>
      </c>
      <c r="B63" s="4" t="inlineStr">
        <is>
          <t>Guepardo XP Seg Prev FIC FIM</t>
        </is>
      </c>
      <c r="C63" s="6" t="inlineStr">
        <is>
          <t>35.956.641/0001-07</t>
        </is>
      </c>
      <c r="D63" s="4" t="inlineStr">
        <is>
          <t>XP VIDA E PREVIDÊNCIA S.A.</t>
        </is>
      </c>
      <c r="E63" s="4" t="inlineStr">
        <is>
          <t>29.408.732/0001-05</t>
        </is>
      </c>
      <c r="F63" s="4" t="inlineStr">
        <is>
          <t>BTG Pactual DTVM</t>
        </is>
      </c>
      <c r="G63" s="4" t="inlineStr">
        <is>
          <t>Multimercado</t>
        </is>
      </c>
      <c r="H63" s="4" t="inlineStr">
        <is>
          <t>Renda Variável Long Only</t>
        </is>
      </c>
      <c r="I63" s="7" t="n">
        <v>100</v>
      </c>
      <c r="J63" s="8" t="n">
        <v>2</v>
      </c>
      <c r="K63" s="8" t="n"/>
      <c r="L63" s="4" t="inlineStr"/>
      <c r="M63" s="5" t="n">
        <v>21</v>
      </c>
      <c r="N63" s="5" t="n">
        <v>2</v>
      </c>
      <c r="O63" s="5" t="n"/>
      <c r="P63" s="4" t="inlineStr"/>
      <c r="Q63" s="4" t="inlineStr">
        <is>
          <t>Não</t>
        </is>
      </c>
      <c r="R63" s="4" t="inlineStr">
        <is>
          <t>Site (navegador)</t>
        </is>
      </c>
      <c r="S63" s="4" t="n">
        <v>1</v>
      </c>
      <c r="T63" s="4" t="inlineStr">
        <is>
          <t>Não</t>
        </is>
      </c>
      <c r="U63" s="4" t="inlineStr">
        <is>
          <t>Sim</t>
        </is>
      </c>
      <c r="V63" s="4" t="inlineStr">
        <is>
          <t>Não</t>
        </is>
      </c>
      <c r="W63" s="4" t="inlineStr"/>
    </row>
    <row r="64">
      <c r="A64" s="4" t="inlineStr">
        <is>
          <t>XP Investimentos</t>
        </is>
      </c>
      <c r="B64" s="4" t="inlineStr">
        <is>
          <t>Hashdex 40 Nasdaq Crypto Index Xp Seg Prev Ficfim Rl</t>
        </is>
      </c>
      <c r="C64" s="6" t="inlineStr">
        <is>
          <t>39.992.897/0001-12</t>
        </is>
      </c>
      <c r="D64" s="4" t="inlineStr">
        <is>
          <t>XP VIDA E PREVIDÊNCIA S.A.</t>
        </is>
      </c>
      <c r="E64" s="4" t="inlineStr">
        <is>
          <t>29.408.732/0001-05</t>
        </is>
      </c>
      <c r="F64" s="4" t="inlineStr">
        <is>
          <t>XPI Administradora - Modal</t>
        </is>
      </c>
      <c r="G64" s="4" t="inlineStr">
        <is>
          <t>Multimercado</t>
        </is>
      </c>
      <c r="H64" s="4" t="inlineStr">
        <is>
          <t>Alternativo Líquido</t>
        </is>
      </c>
      <c r="I64" s="7" t="n">
        <v>100</v>
      </c>
      <c r="J64" s="8" t="n">
        <v>1.5</v>
      </c>
      <c r="K64" s="8" t="n"/>
      <c r="L64" s="4" t="inlineStr"/>
      <c r="M64" s="5" t="n">
        <v>5</v>
      </c>
      <c r="N64" s="5" t="n">
        <v>2</v>
      </c>
      <c r="O64" s="5" t="n"/>
      <c r="P64" s="4" t="inlineStr"/>
      <c r="Q64" s="4" t="inlineStr">
        <is>
          <t>Não</t>
        </is>
      </c>
      <c r="R64" s="4" t="inlineStr">
        <is>
          <t>Site (navegador)</t>
        </is>
      </c>
      <c r="S64" s="4" t="n">
        <v>1</v>
      </c>
      <c r="T64" s="4" t="inlineStr">
        <is>
          <t>Não</t>
        </is>
      </c>
      <c r="U64" s="4" t="inlineStr">
        <is>
          <t>Sim</t>
        </is>
      </c>
      <c r="V64" s="4" t="inlineStr">
        <is>
          <t>Não</t>
        </is>
      </c>
      <c r="W64" s="4" t="inlineStr"/>
    </row>
    <row r="65">
      <c r="A65" s="4" t="inlineStr">
        <is>
          <t>XP Investimentos</t>
        </is>
      </c>
      <c r="B65" s="4" t="inlineStr">
        <is>
          <t>Hix Xp Seg Prev Fic Fim</t>
        </is>
      </c>
      <c r="C65" s="6" t="inlineStr">
        <is>
          <t>40.779.216/0001-11</t>
        </is>
      </c>
      <c r="D65" s="4" t="inlineStr">
        <is>
          <t>XP VIDA E PREVIDÊNCIA S.A.</t>
        </is>
      </c>
      <c r="E65" s="4" t="inlineStr">
        <is>
          <t>29.408.732/0001-05</t>
        </is>
      </c>
      <c r="F65" s="4" t="inlineStr">
        <is>
          <t>XPI Administradora</t>
        </is>
      </c>
      <c r="G65" s="4" t="inlineStr">
        <is>
          <t>Multimercado</t>
        </is>
      </c>
      <c r="H65" s="4" t="inlineStr">
        <is>
          <t>Renda Variável Long Only</t>
        </is>
      </c>
      <c r="I65" s="7" t="n">
        <v>5000</v>
      </c>
      <c r="J65" s="8" t="n">
        <v>2</v>
      </c>
      <c r="K65" s="8" t="n"/>
      <c r="L65" s="4" t="inlineStr"/>
      <c r="M65" s="5" t="n">
        <v>60</v>
      </c>
      <c r="N65" s="5" t="n">
        <v>2</v>
      </c>
      <c r="O65" s="5" t="n"/>
      <c r="P65" s="4" t="inlineStr"/>
      <c r="Q65" s="4" t="inlineStr">
        <is>
          <t>Não</t>
        </is>
      </c>
      <c r="R65" s="4" t="inlineStr">
        <is>
          <t>Site (navegador)</t>
        </is>
      </c>
      <c r="S65" s="4" t="n">
        <v>1</v>
      </c>
      <c r="T65" s="4" t="inlineStr">
        <is>
          <t>Não</t>
        </is>
      </c>
      <c r="U65" s="4" t="inlineStr">
        <is>
          <t>Sim</t>
        </is>
      </c>
      <c r="V65" s="4" t="inlineStr">
        <is>
          <t>Não</t>
        </is>
      </c>
      <c r="W65" s="4" t="inlineStr"/>
    </row>
    <row r="66">
      <c r="A66" s="4" t="inlineStr">
        <is>
          <t>XP Investimentos</t>
        </is>
      </c>
      <c r="B66" s="4" t="inlineStr">
        <is>
          <t>IP Prev XP Seg IQ FIC FIM</t>
        </is>
      </c>
      <c r="C66" s="6" t="inlineStr">
        <is>
          <t>35.955.960/0001-90</t>
        </is>
      </c>
      <c r="D66" s="4" t="inlineStr">
        <is>
          <t>INVESTIDOR PROFISSIONAL GESTÃO DE RECURSOS LTDA</t>
        </is>
      </c>
      <c r="E66" s="4" t="inlineStr">
        <is>
          <t>32.319.907/0001-04</t>
        </is>
      </c>
      <c r="F66" s="4" t="inlineStr">
        <is>
          <t>BNY Mellon DTVM</t>
        </is>
      </c>
      <c r="G66" s="4" t="inlineStr">
        <is>
          <t>Multimercado</t>
        </is>
      </c>
      <c r="H66" s="4" t="inlineStr">
        <is>
          <t>Renda Variável Long Only</t>
        </is>
      </c>
      <c r="I66" s="7" t="n">
        <v>100</v>
      </c>
      <c r="J66" s="8" t="n">
        <v>2</v>
      </c>
      <c r="K66" s="8" t="n"/>
      <c r="L66" s="4" t="inlineStr"/>
      <c r="M66" s="5" t="n">
        <v>20</v>
      </c>
      <c r="N66" s="5" t="n">
        <v>2</v>
      </c>
      <c r="O66" s="5" t="n"/>
      <c r="P66" s="4" t="inlineStr"/>
      <c r="Q66" s="4" t="inlineStr">
        <is>
          <t>Não</t>
        </is>
      </c>
      <c r="R66" s="4" t="inlineStr">
        <is>
          <t>Site (navegador)</t>
        </is>
      </c>
      <c r="S66" s="4" t="n">
        <v>1</v>
      </c>
      <c r="T66" s="4" t="inlineStr">
        <is>
          <t>Não</t>
        </is>
      </c>
      <c r="U66" s="4" t="inlineStr">
        <is>
          <t>Sim</t>
        </is>
      </c>
      <c r="V66" s="4" t="inlineStr">
        <is>
          <t>Não</t>
        </is>
      </c>
      <c r="W66" s="4" t="inlineStr"/>
    </row>
    <row r="67">
      <c r="A67" s="4" t="inlineStr">
        <is>
          <t>XP Investimentos</t>
        </is>
      </c>
      <c r="B67" s="4" t="inlineStr">
        <is>
          <t>Ibiuna Credit Xp Seg Prev Ficfim Cp Rl</t>
        </is>
      </c>
      <c r="C67" s="6" t="inlineStr">
        <is>
          <t>44.409.353/0001-15</t>
        </is>
      </c>
      <c r="D67" s="4" t="inlineStr">
        <is>
          <t>XP VIDA E PREVIDÊNCIA S.A.</t>
        </is>
      </c>
      <c r="E67" s="4" t="inlineStr">
        <is>
          <t>29.408.732/0001-05</t>
        </is>
      </c>
      <c r="F67" s="4" t="inlineStr">
        <is>
          <t>XPI Administradora - Modal</t>
        </is>
      </c>
      <c r="G67" s="4" t="inlineStr">
        <is>
          <t>Multimercado</t>
        </is>
      </c>
      <c r="H67" s="4" t="inlineStr">
        <is>
          <t>Crédito High Grade</t>
        </is>
      </c>
      <c r="I67" s="7" t="n">
        <v>100</v>
      </c>
      <c r="J67" s="8" t="n">
        <v>0.8</v>
      </c>
      <c r="K67" s="8" t="n"/>
      <c r="L67" s="4" t="inlineStr"/>
      <c r="M67" s="5" t="n">
        <v>22</v>
      </c>
      <c r="N67" s="5" t="n">
        <v>1</v>
      </c>
      <c r="O67" s="5" t="n"/>
      <c r="P67" s="4" t="inlineStr"/>
      <c r="Q67" s="4" t="inlineStr">
        <is>
          <t>Não</t>
        </is>
      </c>
      <c r="R67" s="4" t="inlineStr">
        <is>
          <t>Site (navegador)</t>
        </is>
      </c>
      <c r="S67" s="4" t="n">
        <v>1</v>
      </c>
      <c r="T67" s="4" t="inlineStr">
        <is>
          <t>Não</t>
        </is>
      </c>
      <c r="U67" s="4" t="inlineStr">
        <is>
          <t>Sim</t>
        </is>
      </c>
      <c r="V67" s="4" t="inlineStr">
        <is>
          <t>Não</t>
        </is>
      </c>
      <c r="W67" s="4" t="inlineStr"/>
    </row>
    <row r="68">
      <c r="A68" s="4" t="inlineStr">
        <is>
          <t>XP Investimentos</t>
        </is>
      </c>
      <c r="B68" s="4" t="inlineStr">
        <is>
          <t>Ibiuna Prev Xp Seg Ficfim</t>
        </is>
      </c>
      <c r="C68" s="6" t="inlineStr">
        <is>
          <t>36.620.088/0001-91</t>
        </is>
      </c>
      <c r="D68" s="4" t="inlineStr">
        <is>
          <t>XP VIDA E PREVIDÊNCIA S.A.</t>
        </is>
      </c>
      <c r="E68" s="4" t="inlineStr">
        <is>
          <t>29.408.732/0001-05</t>
        </is>
      </c>
      <c r="F68" s="4" t="inlineStr">
        <is>
          <t>XP Serviços Financeiros DTVM LTDA</t>
        </is>
      </c>
      <c r="G68" s="4" t="inlineStr">
        <is>
          <t>Multimercado</t>
        </is>
      </c>
      <c r="H68" s="4" t="inlineStr">
        <is>
          <t>Macro Média Vol</t>
        </is>
      </c>
      <c r="I68" s="7" t="n">
        <v>100</v>
      </c>
      <c r="J68" s="8" t="n">
        <v>1.96</v>
      </c>
      <c r="K68" s="8" t="n"/>
      <c r="L68" s="4" t="inlineStr"/>
      <c r="M68" s="5" t="n">
        <v>0</v>
      </c>
      <c r="N68" s="5" t="n">
        <v>2</v>
      </c>
      <c r="O68" s="5" t="n"/>
      <c r="P68" s="4" t="inlineStr"/>
      <c r="Q68" s="4" t="inlineStr">
        <is>
          <t>Não</t>
        </is>
      </c>
      <c r="R68" s="4" t="inlineStr">
        <is>
          <t>Site (navegador)</t>
        </is>
      </c>
      <c r="S68" s="4" t="n">
        <v>1</v>
      </c>
      <c r="T68" s="4" t="inlineStr">
        <is>
          <t>Não</t>
        </is>
      </c>
      <c r="U68" s="4" t="inlineStr">
        <is>
          <t>Sim</t>
        </is>
      </c>
      <c r="V68" s="4" t="inlineStr">
        <is>
          <t>Não</t>
        </is>
      </c>
      <c r="W68" s="4" t="inlineStr"/>
    </row>
    <row r="69">
      <c r="A69" s="4" t="inlineStr">
        <is>
          <t>XP Investimentos</t>
        </is>
      </c>
      <c r="B69" s="4" t="inlineStr">
        <is>
          <t>Ibiuna RF Ativo XP Seg Prev FIE I FIF CI RF RL</t>
        </is>
      </c>
      <c r="C69" s="6" t="inlineStr">
        <is>
          <t>65.536.263/0001-65</t>
        </is>
      </c>
      <c r="D69" s="4" t="inlineStr">
        <is>
          <t>IBIUNA PREVIDÊNCIA GESTÃO DE RECURSOS LTDA.</t>
        </is>
      </c>
      <c r="E69" s="4" t="inlineStr">
        <is>
          <t>49.223.404/0001-33</t>
        </is>
      </c>
      <c r="F69" s="4" t="inlineStr">
        <is>
          <t>BEM DTVM</t>
        </is>
      </c>
      <c r="G69" s="4" t="inlineStr">
        <is>
          <t>Renda Fixa</t>
        </is>
      </c>
      <c r="H69" s="4" t="inlineStr">
        <is>
          <t>Renda Fixa Ativo</t>
        </is>
      </c>
      <c r="I69" s="7" t="n">
        <v>100</v>
      </c>
      <c r="J69" s="8" t="n">
        <v>0.8</v>
      </c>
      <c r="K69" s="8" t="n"/>
      <c r="L69" s="4" t="inlineStr"/>
      <c r="M69" s="5" t="n">
        <v>3</v>
      </c>
      <c r="N69" s="5" t="n">
        <v>1</v>
      </c>
      <c r="O69" s="5" t="n"/>
      <c r="P69" s="4" t="inlineStr"/>
      <c r="Q69" s="4" t="inlineStr">
        <is>
          <t>Não</t>
        </is>
      </c>
      <c r="R69" s="4" t="inlineStr">
        <is>
          <t>Site (navegador)</t>
        </is>
      </c>
      <c r="S69" s="4" t="n">
        <v>1</v>
      </c>
      <c r="T69" s="4" t="inlineStr">
        <is>
          <t>Não</t>
        </is>
      </c>
      <c r="U69" s="4" t="inlineStr">
        <is>
          <t>Sim</t>
        </is>
      </c>
      <c r="V69" s="4" t="inlineStr">
        <is>
          <t>Não</t>
        </is>
      </c>
      <c r="W69" s="4" t="inlineStr"/>
    </row>
    <row r="70">
      <c r="A70" s="4" t="inlineStr">
        <is>
          <t>XP Investimentos</t>
        </is>
      </c>
      <c r="B70" s="4" t="inlineStr">
        <is>
          <t>Ibiuna ST XP Seg Prev FIC FIM CP</t>
        </is>
      </c>
      <c r="C70" s="6" t="inlineStr">
        <is>
          <t>44.409.430/0001-37</t>
        </is>
      </c>
      <c r="D70" s="4" t="inlineStr">
        <is>
          <t>XP VIDA E PREVIDÊNCIA S.A.</t>
        </is>
      </c>
      <c r="E70" s="4" t="inlineStr">
        <is>
          <t>29.408.732/0001-05</t>
        </is>
      </c>
      <c r="F70" s="4" t="inlineStr">
        <is>
          <t>XPI Administradora - Modal</t>
        </is>
      </c>
      <c r="G70" s="4" t="inlineStr">
        <is>
          <t>Multimercado</t>
        </is>
      </c>
      <c r="H70" s="4" t="inlineStr">
        <is>
          <t>Macro Alta Vol</t>
        </is>
      </c>
      <c r="I70" s="7" t="n">
        <v>100</v>
      </c>
      <c r="J70" s="8" t="n">
        <v>2</v>
      </c>
      <c r="K70" s="8" t="n"/>
      <c r="L70" s="4" t="inlineStr"/>
      <c r="M70" s="5" t="n">
        <v>22</v>
      </c>
      <c r="N70" s="5" t="n">
        <v>1</v>
      </c>
      <c r="O70" s="5" t="n"/>
      <c r="P70" s="4" t="inlineStr"/>
      <c r="Q70" s="4" t="inlineStr">
        <is>
          <t>Não</t>
        </is>
      </c>
      <c r="R70" s="4" t="inlineStr">
        <is>
          <t>Site (navegador)</t>
        </is>
      </c>
      <c r="S70" s="4" t="n">
        <v>1</v>
      </c>
      <c r="T70" s="4" t="inlineStr">
        <is>
          <t>Não</t>
        </is>
      </c>
      <c r="U70" s="4" t="inlineStr">
        <is>
          <t>Sim</t>
        </is>
      </c>
      <c r="V70" s="4" t="inlineStr">
        <is>
          <t>Não</t>
        </is>
      </c>
      <c r="W70" s="4" t="inlineStr"/>
    </row>
    <row r="71">
      <c r="A71" s="4" t="inlineStr">
        <is>
          <t>XP Investimentos</t>
        </is>
      </c>
      <c r="B71" s="4" t="inlineStr">
        <is>
          <t>Icatu Vanguarda Absoluto II Xp Seg Fundo De Investimento Renda Fixa Crédito Priv</t>
        </is>
      </c>
      <c r="C71" s="6" t="inlineStr">
        <is>
          <t>52.986.251/0001-90</t>
        </is>
      </c>
      <c r="D71" s="4" t="inlineStr">
        <is>
          <t>ICATU VANGUARDA GESTÃO DE RECURSOS LTDA</t>
        </is>
      </c>
      <c r="E71" s="4" t="inlineStr">
        <is>
          <t>68.622.174/0001-20</t>
        </is>
      </c>
      <c r="F71" s="4" t="inlineStr">
        <is>
          <t>XP Investimentos</t>
        </is>
      </c>
      <c r="G71" s="4" t="inlineStr">
        <is>
          <t>Renda Fixa</t>
        </is>
      </c>
      <c r="H71" s="4" t="inlineStr">
        <is>
          <t>Crédito High Grade</t>
        </is>
      </c>
      <c r="I71" s="7" t="n">
        <v>100</v>
      </c>
      <c r="J71" s="8" t="n">
        <v>0.8</v>
      </c>
      <c r="K71" s="8" t="n"/>
      <c r="L71" s="4" t="inlineStr"/>
      <c r="M71" s="5" t="n">
        <v>9</v>
      </c>
      <c r="N71" s="5" t="n">
        <v>1</v>
      </c>
      <c r="O71" s="5" t="n"/>
      <c r="P71" s="4" t="inlineStr"/>
      <c r="Q71" s="4" t="inlineStr">
        <is>
          <t>Não</t>
        </is>
      </c>
      <c r="R71" s="4" t="inlineStr">
        <is>
          <t>Site (navegador)</t>
        </is>
      </c>
      <c r="S71" s="4" t="n">
        <v>1</v>
      </c>
      <c r="T71" s="4" t="inlineStr">
        <is>
          <t>Não</t>
        </is>
      </c>
      <c r="U71" s="4" t="inlineStr">
        <is>
          <t>Sim</t>
        </is>
      </c>
      <c r="V71" s="4" t="inlineStr">
        <is>
          <t>Não</t>
        </is>
      </c>
      <c r="W71" s="4" t="inlineStr"/>
    </row>
    <row r="72">
      <c r="A72" s="4" t="inlineStr">
        <is>
          <t>XP Investimentos</t>
        </is>
      </c>
      <c r="B72" s="4" t="inlineStr">
        <is>
          <t>Icatu Vanguarda Absoluto Inflação Xp Seg Cp Prev Rl</t>
        </is>
      </c>
      <c r="C72" s="6" t="inlineStr">
        <is>
          <t>52.986.103/0001-76</t>
        </is>
      </c>
      <c r="D72" s="4" t="inlineStr">
        <is>
          <t>ICATU VANGUARDA GESTÃO DE RECURSOS LTDA</t>
        </is>
      </c>
      <c r="E72" s="4" t="inlineStr">
        <is>
          <t>68.622.174/0001-20</t>
        </is>
      </c>
      <c r="F72" s="4" t="inlineStr">
        <is>
          <t>XP Investimentos</t>
        </is>
      </c>
      <c r="G72" s="4" t="inlineStr">
        <is>
          <t>Renda Fixa</t>
        </is>
      </c>
      <c r="H72" s="4" t="inlineStr">
        <is>
          <t>Renda Fixa Inflação</t>
        </is>
      </c>
      <c r="I72" s="7" t="n">
        <v>100</v>
      </c>
      <c r="J72" s="8" t="n">
        <v>0.83</v>
      </c>
      <c r="K72" s="8" t="n"/>
      <c r="L72" s="4" t="inlineStr"/>
      <c r="M72" s="5" t="n">
        <v>9</v>
      </c>
      <c r="N72" s="5" t="n">
        <v>1</v>
      </c>
      <c r="O72" s="5" t="n"/>
      <c r="P72" s="4" t="inlineStr"/>
      <c r="Q72" s="4" t="inlineStr">
        <is>
          <t>Não</t>
        </is>
      </c>
      <c r="R72" s="4" t="inlineStr">
        <is>
          <t>Site (navegador)</t>
        </is>
      </c>
      <c r="S72" s="4" t="n">
        <v>1</v>
      </c>
      <c r="T72" s="4" t="inlineStr">
        <is>
          <t>Não</t>
        </is>
      </c>
      <c r="U72" s="4" t="inlineStr">
        <is>
          <t>Sim</t>
        </is>
      </c>
      <c r="V72" s="4" t="inlineStr">
        <is>
          <t>Não</t>
        </is>
      </c>
      <c r="W72" s="4" t="inlineStr"/>
    </row>
    <row r="73">
      <c r="A73" s="4" t="inlineStr">
        <is>
          <t>XP Investimentos</t>
        </is>
      </c>
      <c r="B73" s="4" t="inlineStr">
        <is>
          <t>Icatu Vanguarda Absoluto Plus Qualificado Xp Seg FI RF CP PREV RL</t>
        </is>
      </c>
      <c r="C73" s="6" t="inlineStr">
        <is>
          <t>53.990.350/0001-09</t>
        </is>
      </c>
      <c r="D73" s="4" t="inlineStr">
        <is>
          <t>ICATU VANGUARDA GESTÃO DE RECURSOS LTDA</t>
        </is>
      </c>
      <c r="E73" s="4" t="inlineStr">
        <is>
          <t>68.622.174/0001-20</t>
        </is>
      </c>
      <c r="F73" s="4" t="inlineStr">
        <is>
          <t>XP Investimentos</t>
        </is>
      </c>
      <c r="G73" s="4" t="inlineStr">
        <is>
          <t>Renda Fixa</t>
        </is>
      </c>
      <c r="H73" s="4" t="inlineStr">
        <is>
          <t>Crédito High Grade</t>
        </is>
      </c>
      <c r="I73" s="7" t="n">
        <v>100</v>
      </c>
      <c r="J73" s="8" t="n">
        <v>0.73</v>
      </c>
      <c r="K73" s="8" t="n"/>
      <c r="L73" s="4" t="inlineStr"/>
      <c r="M73" s="5" t="n">
        <v>20</v>
      </c>
      <c r="N73" s="5" t="n">
        <v>1</v>
      </c>
      <c r="O73" s="5" t="n"/>
      <c r="P73" s="4" t="inlineStr"/>
      <c r="Q73" s="4" t="inlineStr">
        <is>
          <t>Não</t>
        </is>
      </c>
      <c r="R73" s="4" t="inlineStr">
        <is>
          <t>Site (navegador)</t>
        </is>
      </c>
      <c r="S73" s="4" t="n">
        <v>1</v>
      </c>
      <c r="T73" s="4" t="inlineStr">
        <is>
          <t>Não</t>
        </is>
      </c>
      <c r="U73" s="4" t="inlineStr">
        <is>
          <t>Sim</t>
        </is>
      </c>
      <c r="V73" s="4" t="inlineStr">
        <is>
          <t>Não</t>
        </is>
      </c>
      <c r="W73" s="4" t="inlineStr"/>
    </row>
    <row r="74">
      <c r="A74" s="4" t="inlineStr">
        <is>
          <t>XP Investimentos</t>
        </is>
      </c>
      <c r="B74" s="4" t="inlineStr">
        <is>
          <t>Icatu Vanguarda Dinâmico Cdi Xp Seg Fim Crédito Rl</t>
        </is>
      </c>
      <c r="C74" s="6" t="inlineStr">
        <is>
          <t>53.990.541/0001-70</t>
        </is>
      </c>
      <c r="D74" s="4" t="inlineStr">
        <is>
          <t>ICATU VANGUARDA GESTÃO DE RECURSOS LTDA</t>
        </is>
      </c>
      <c r="E74" s="4" t="inlineStr">
        <is>
          <t>68.622.174/0001-20</t>
        </is>
      </c>
      <c r="F74" s="4" t="inlineStr">
        <is>
          <t>XP Investimentos</t>
        </is>
      </c>
      <c r="G74" s="4" t="inlineStr">
        <is>
          <t>Multimercado</t>
        </is>
      </c>
      <c r="H74" s="4" t="inlineStr">
        <is>
          <t>Renda Fixa Ativo</t>
        </is>
      </c>
      <c r="I74" s="7" t="n">
        <v>100</v>
      </c>
      <c r="J74" s="8" t="n">
        <v>0.9</v>
      </c>
      <c r="K74" s="8" t="n"/>
      <c r="L74" s="4" t="inlineStr"/>
      <c r="M74" s="5" t="n">
        <v>8</v>
      </c>
      <c r="N74" s="5" t="n">
        <v>2</v>
      </c>
      <c r="O74" s="5" t="n"/>
      <c r="P74" s="4" t="inlineStr"/>
      <c r="Q74" s="4" t="inlineStr">
        <is>
          <t>Não</t>
        </is>
      </c>
      <c r="R74" s="4" t="inlineStr">
        <is>
          <t>Site (navegador)</t>
        </is>
      </c>
      <c r="S74" s="4" t="n">
        <v>1</v>
      </c>
      <c r="T74" s="4" t="inlineStr">
        <is>
          <t>Não</t>
        </is>
      </c>
      <c r="U74" s="4" t="inlineStr">
        <is>
          <t>Sim</t>
        </is>
      </c>
      <c r="V74" s="4" t="inlineStr">
        <is>
          <t>Não</t>
        </is>
      </c>
      <c r="W74" s="4" t="inlineStr"/>
    </row>
    <row r="75">
      <c r="A75" s="4" t="inlineStr">
        <is>
          <t>XP Investimentos</t>
        </is>
      </c>
      <c r="B75" s="4" t="inlineStr">
        <is>
          <t>Icatu Vanguarda Dinâmico Ipca Xp Seg Fim Cp Prev Rl</t>
        </is>
      </c>
      <c r="C75" s="6" t="inlineStr">
        <is>
          <t>47.020.699/0001-15</t>
        </is>
      </c>
      <c r="D75" s="4" t="inlineStr">
        <is>
          <t>ICATU VANGUARDA GESTÃO DE RECURSOS LTDA</t>
        </is>
      </c>
      <c r="E75" s="4" t="inlineStr">
        <is>
          <t>68.622.174/0001-20</t>
        </is>
      </c>
      <c r="F75" s="4" t="inlineStr">
        <is>
          <t>XP Investimentos</t>
        </is>
      </c>
      <c r="G75" s="4" t="inlineStr">
        <is>
          <t>Multimercado</t>
        </is>
      </c>
      <c r="H75" s="4" t="inlineStr">
        <is>
          <t>Inflação/Pré Indexado</t>
        </is>
      </c>
      <c r="I75" s="7" t="n">
        <v>100</v>
      </c>
      <c r="J75" s="8" t="n">
        <v>0.98</v>
      </c>
      <c r="K75" s="8" t="n"/>
      <c r="L75" s="4" t="inlineStr"/>
      <c r="M75" s="5" t="n">
        <v>8</v>
      </c>
      <c r="N75" s="5" t="n">
        <v>2</v>
      </c>
      <c r="O75" s="5" t="n"/>
      <c r="P75" s="4" t="inlineStr"/>
      <c r="Q75" s="4" t="inlineStr">
        <is>
          <t>Não</t>
        </is>
      </c>
      <c r="R75" s="4" t="inlineStr">
        <is>
          <t>Site (navegador)</t>
        </is>
      </c>
      <c r="S75" s="4" t="n">
        <v>1</v>
      </c>
      <c r="T75" s="4" t="inlineStr">
        <is>
          <t>Não</t>
        </is>
      </c>
      <c r="U75" s="4" t="inlineStr">
        <is>
          <t>Sim</t>
        </is>
      </c>
      <c r="V75" s="4" t="inlineStr">
        <is>
          <t>Não</t>
        </is>
      </c>
      <c r="W75" s="4" t="inlineStr"/>
    </row>
    <row r="76">
      <c r="A76" s="4" t="inlineStr">
        <is>
          <t>XP Investimentos</t>
        </is>
      </c>
      <c r="B76" s="4" t="inlineStr">
        <is>
          <t>Icatu Vanguarda Igaraté Xp Seg Fic Multimercado Cp Prev Rl</t>
        </is>
      </c>
      <c r="C76" s="6" t="inlineStr">
        <is>
          <t>49.228.291/0001-69</t>
        </is>
      </c>
      <c r="D76" s="4" t="inlineStr">
        <is>
          <t>ICATU VANGUARDA GESTÃO DE RECURSOS LTDA</t>
        </is>
      </c>
      <c r="E76" s="4" t="inlineStr">
        <is>
          <t>68.622.174/0001-20</t>
        </is>
      </c>
      <c r="F76" s="4" t="inlineStr">
        <is>
          <t>XP Investimentos</t>
        </is>
      </c>
      <c r="G76" s="4" t="inlineStr">
        <is>
          <t>Multimercado</t>
        </is>
      </c>
      <c r="H76" s="4" t="inlineStr">
        <is>
          <t>Renda Variável Long Biased</t>
        </is>
      </c>
      <c r="I76" s="7" t="n">
        <v>100</v>
      </c>
      <c r="J76" s="8" t="n">
        <v>2</v>
      </c>
      <c r="K76" s="8" t="n"/>
      <c r="L76" s="4" t="inlineStr"/>
      <c r="M76" s="5" t="n">
        <v>8</v>
      </c>
      <c r="N76" s="5" t="n">
        <v>2</v>
      </c>
      <c r="O76" s="5" t="n"/>
      <c r="P76" s="4" t="inlineStr"/>
      <c r="Q76" s="4" t="inlineStr">
        <is>
          <t>Não</t>
        </is>
      </c>
      <c r="R76" s="4" t="inlineStr">
        <is>
          <t>Site (navegador)</t>
        </is>
      </c>
      <c r="S76" s="4" t="n">
        <v>1</v>
      </c>
      <c r="T76" s="4" t="inlineStr">
        <is>
          <t>Não</t>
        </is>
      </c>
      <c r="U76" s="4" t="inlineStr">
        <is>
          <t>Sim</t>
        </is>
      </c>
      <c r="V76" s="4" t="inlineStr">
        <is>
          <t>Não</t>
        </is>
      </c>
      <c r="W76" s="4" t="inlineStr"/>
    </row>
    <row r="77">
      <c r="A77" s="4" t="inlineStr">
        <is>
          <t>XP Investimentos</t>
        </is>
      </c>
      <c r="B77" s="4" t="inlineStr">
        <is>
          <t>Icatu Vanguarda Plus Xp Seg Firf Rl</t>
        </is>
      </c>
      <c r="C77" s="6" t="inlineStr">
        <is>
          <t>53.074.033/0001-42</t>
        </is>
      </c>
      <c r="D77" s="4" t="inlineStr">
        <is>
          <t>ICATU VANGUARDA GESTÃO DE RECURSOS LTDA</t>
        </is>
      </c>
      <c r="E77" s="4" t="inlineStr">
        <is>
          <t>68.622.174/0001-20</t>
        </is>
      </c>
      <c r="F77" s="4" t="inlineStr">
        <is>
          <t>XP Investimentos</t>
        </is>
      </c>
      <c r="G77" s="4" t="inlineStr">
        <is>
          <t>Renda Fixa</t>
        </is>
      </c>
      <c r="H77" s="4" t="inlineStr">
        <is>
          <t>Renda Fixa Ativo</t>
        </is>
      </c>
      <c r="I77" s="7" t="n">
        <v>100</v>
      </c>
      <c r="J77" s="8" t="n">
        <v>0.75</v>
      </c>
      <c r="K77" s="8" t="n"/>
      <c r="L77" s="4" t="inlineStr"/>
      <c r="M77" s="5" t="n">
        <v>1</v>
      </c>
      <c r="N77" s="5" t="n">
        <v>1</v>
      </c>
      <c r="O77" s="5" t="n"/>
      <c r="P77" s="4" t="inlineStr"/>
      <c r="Q77" s="4" t="inlineStr">
        <is>
          <t>Não</t>
        </is>
      </c>
      <c r="R77" s="4" t="inlineStr">
        <is>
          <t>Site (navegador)</t>
        </is>
      </c>
      <c r="S77" s="4" t="n">
        <v>1</v>
      </c>
      <c r="T77" s="4" t="inlineStr">
        <is>
          <t>Não</t>
        </is>
      </c>
      <c r="U77" s="4" t="inlineStr">
        <is>
          <t>Sim</t>
        </is>
      </c>
      <c r="V77" s="4" t="inlineStr">
        <is>
          <t>Não</t>
        </is>
      </c>
      <c r="W77" s="4" t="inlineStr"/>
    </row>
    <row r="78">
      <c r="A78" s="4" t="inlineStr">
        <is>
          <t>XP Investimentos</t>
        </is>
      </c>
      <c r="B78" s="4" t="inlineStr">
        <is>
          <t>Indie 100 Xp Seg Prev Ficfim Rl</t>
        </is>
      </c>
      <c r="C78" s="6" t="inlineStr">
        <is>
          <t>40.655.014/0001-68</t>
        </is>
      </c>
      <c r="D78" s="4" t="inlineStr">
        <is>
          <t>XP VIDA E PREVIDÊNCIA S.A.</t>
        </is>
      </c>
      <c r="E78" s="4" t="inlineStr">
        <is>
          <t>29.408.732/0001-05</t>
        </is>
      </c>
      <c r="F78" s="4" t="inlineStr">
        <is>
          <t>XPI Administradora - Modal</t>
        </is>
      </c>
      <c r="G78" s="4" t="inlineStr">
        <is>
          <t>Multimercado</t>
        </is>
      </c>
      <c r="H78" s="4" t="inlineStr">
        <is>
          <t>Renda Variável Long Only</t>
        </is>
      </c>
      <c r="I78" s="7" t="n">
        <v>100</v>
      </c>
      <c r="J78" s="8" t="n">
        <v>2</v>
      </c>
      <c r="K78" s="8" t="n"/>
      <c r="L78" s="4" t="inlineStr"/>
      <c r="M78" s="5" t="n">
        <v>20</v>
      </c>
      <c r="N78" s="5" t="n">
        <v>2</v>
      </c>
      <c r="O78" s="5" t="n"/>
      <c r="P78" s="4" t="inlineStr"/>
      <c r="Q78" s="4" t="inlineStr">
        <is>
          <t>Não</t>
        </is>
      </c>
      <c r="R78" s="4" t="inlineStr">
        <is>
          <t>Site (navegador)</t>
        </is>
      </c>
      <c r="S78" s="4" t="n">
        <v>1</v>
      </c>
      <c r="T78" s="4" t="inlineStr">
        <is>
          <t>Não</t>
        </is>
      </c>
      <c r="U78" s="4" t="inlineStr">
        <is>
          <t>Sim</t>
        </is>
      </c>
      <c r="V78" s="4" t="inlineStr">
        <is>
          <t>Não</t>
        </is>
      </c>
      <c r="W78" s="4" t="inlineStr"/>
    </row>
    <row r="79">
      <c r="A79" s="4" t="inlineStr">
        <is>
          <t>XP Investimentos</t>
        </is>
      </c>
      <c r="B79" s="4" t="inlineStr">
        <is>
          <t>Investo Renda Fixa SELIC Global BRL XP Seg Prev FIRF RL</t>
        </is>
      </c>
      <c r="C79" s="6" t="inlineStr">
        <is>
          <t>68.007.229/0001-91</t>
        </is>
      </c>
      <c r="D79" s="4" t="inlineStr">
        <is>
          <t>INVESTO GESTÃO DE RECURSOS LTDA.</t>
        </is>
      </c>
      <c r="E79" s="4" t="inlineStr">
        <is>
          <t>37.788.647/0001-30</t>
        </is>
      </c>
      <c r="F79" s="4" t="inlineStr">
        <is>
          <t>BNY Mellon DTVM</t>
        </is>
      </c>
      <c r="G79" s="4" t="inlineStr">
        <is>
          <t>Renda Fixa</t>
        </is>
      </c>
      <c r="H79" s="4" t="inlineStr">
        <is>
          <t>Crédito Híbrido</t>
        </is>
      </c>
      <c r="I79" s="7" t="n">
        <v>100</v>
      </c>
      <c r="J79" s="8" t="n">
        <v>0.6</v>
      </c>
      <c r="K79" s="8" t="n"/>
      <c r="L79" s="4" t="inlineStr"/>
      <c r="M79" s="5" t="n">
        <v>2</v>
      </c>
      <c r="N79" s="5" t="n">
        <v>1</v>
      </c>
      <c r="O79" s="5" t="n"/>
      <c r="P79" s="4" t="inlineStr"/>
      <c r="Q79" s="4" t="inlineStr">
        <is>
          <t>Não</t>
        </is>
      </c>
      <c r="R79" s="4" t="inlineStr">
        <is>
          <t>Site (navegador)</t>
        </is>
      </c>
      <c r="S79" s="4" t="n">
        <v>1</v>
      </c>
      <c r="T79" s="4" t="inlineStr">
        <is>
          <t>Não</t>
        </is>
      </c>
      <c r="U79" s="4" t="inlineStr">
        <is>
          <t>Sim</t>
        </is>
      </c>
      <c r="V79" s="4" t="inlineStr">
        <is>
          <t>Não</t>
        </is>
      </c>
      <c r="W79" s="4" t="inlineStr"/>
    </row>
    <row r="80">
      <c r="A80" s="4" t="inlineStr">
        <is>
          <t>XP Investimentos</t>
        </is>
      </c>
      <c r="B80" s="4" t="inlineStr">
        <is>
          <t>Iridium Apollo Advisory Xp Seg Fic Firf Cp Rl</t>
        </is>
      </c>
      <c r="C80" s="6" t="inlineStr">
        <is>
          <t>32.849.785/0001-68</t>
        </is>
      </c>
      <c r="D80" s="4" t="inlineStr">
        <is>
          <t>XP VIDA E PREVIDÊNCIA S.A.</t>
        </is>
      </c>
      <c r="E80" s="4" t="inlineStr">
        <is>
          <t>29.408.732/0001-05</t>
        </is>
      </c>
      <c r="F80" s="4" t="inlineStr">
        <is>
          <t>XPI Administradora - Modal</t>
        </is>
      </c>
      <c r="G80" s="4" t="inlineStr">
        <is>
          <t>Renda Fixa</t>
        </is>
      </c>
      <c r="H80" s="4" t="inlineStr">
        <is>
          <t>Crédito Liquidez</t>
        </is>
      </c>
      <c r="I80" s="7" t="n">
        <v>100</v>
      </c>
      <c r="J80" s="8" t="n">
        <v>0.7</v>
      </c>
      <c r="K80" s="8" t="n"/>
      <c r="L80" s="4" t="inlineStr"/>
      <c r="M80" s="5" t="n">
        <v>5</v>
      </c>
      <c r="N80" s="5" t="n">
        <v>1</v>
      </c>
      <c r="O80" s="5" t="n"/>
      <c r="P80" s="4" t="inlineStr"/>
      <c r="Q80" s="4" t="inlineStr">
        <is>
          <t>Não</t>
        </is>
      </c>
      <c r="R80" s="4" t="inlineStr">
        <is>
          <t>Site (navegador)</t>
        </is>
      </c>
      <c r="S80" s="4" t="n">
        <v>1</v>
      </c>
      <c r="T80" s="4" t="inlineStr">
        <is>
          <t>Não</t>
        </is>
      </c>
      <c r="U80" s="4" t="inlineStr">
        <is>
          <t>Sim</t>
        </is>
      </c>
      <c r="V80" s="4" t="inlineStr">
        <is>
          <t>Não</t>
        </is>
      </c>
      <c r="W80" s="4" t="inlineStr"/>
    </row>
    <row r="81">
      <c r="A81" s="4" t="inlineStr">
        <is>
          <t>XP Investimentos</t>
        </is>
      </c>
      <c r="B81" s="4" t="inlineStr">
        <is>
          <t>Itaú Dual Advanced XP Seg I FIF CIC Multi CP RL</t>
        </is>
      </c>
      <c r="C81" s="6" t="inlineStr">
        <is>
          <t>68.097.895/0001-68</t>
        </is>
      </c>
      <c r="D81" s="4" t="inlineStr">
        <is>
          <t>ITAU UNIBANCO ASSET MANAGEMENT LTDA.</t>
        </is>
      </c>
      <c r="E81" s="4" t="inlineStr">
        <is>
          <t>40.430.971/0001-96</t>
        </is>
      </c>
      <c r="F81" s="4" t="inlineStr">
        <is>
          <t>Intrag DTVM</t>
        </is>
      </c>
      <c r="G81" s="4" t="inlineStr">
        <is>
          <t>Multimercado</t>
        </is>
      </c>
      <c r="H81" s="4" t="inlineStr">
        <is>
          <t>Crédito High Grade</t>
        </is>
      </c>
      <c r="I81" s="7" t="n">
        <v>100</v>
      </c>
      <c r="J81" s="8" t="n">
        <v>0.7</v>
      </c>
      <c r="K81" s="8" t="n"/>
      <c r="L81" s="4" t="inlineStr"/>
      <c r="M81" s="5" t="n">
        <v>10</v>
      </c>
      <c r="N81" s="5" t="n">
        <v>2</v>
      </c>
      <c r="O81" s="5" t="n"/>
      <c r="P81" s="4" t="inlineStr"/>
      <c r="Q81" s="4" t="inlineStr">
        <is>
          <t>Sim</t>
        </is>
      </c>
      <c r="R81" s="4" t="inlineStr">
        <is>
          <t>Site (navegador)</t>
        </is>
      </c>
      <c r="S81" s="4" t="n">
        <v>1</v>
      </c>
      <c r="T81" s="4" t="inlineStr">
        <is>
          <t>Não</t>
        </is>
      </c>
      <c r="U81" s="4" t="inlineStr">
        <is>
          <t>Sim</t>
        </is>
      </c>
      <c r="V81" s="4" t="inlineStr">
        <is>
          <t>Não</t>
        </is>
      </c>
      <c r="W81" s="4" t="inlineStr"/>
    </row>
    <row r="82">
      <c r="A82" s="4" t="inlineStr">
        <is>
          <t>XP Investimentos</t>
        </is>
      </c>
      <c r="B82" s="4" t="inlineStr">
        <is>
          <t>Itaú Global Dinâmico RF Prev XP Advisory Longo Prazo FIC FIM RL</t>
        </is>
      </c>
      <c r="C82" s="6" t="inlineStr">
        <is>
          <t>50.236.261/0001-83</t>
        </is>
      </c>
      <c r="D82" s="4" t="inlineStr">
        <is>
          <t>ITAU UNIBANCO ASSET MANAGEMENT LTDA.</t>
        </is>
      </c>
      <c r="E82" s="4" t="inlineStr">
        <is>
          <t>40.430.971/0001-96</t>
        </is>
      </c>
      <c r="F82" s="4" t="inlineStr">
        <is>
          <t>Intrag DTVM</t>
        </is>
      </c>
      <c r="G82" s="4" t="inlineStr">
        <is>
          <t>Renda Fixa</t>
        </is>
      </c>
      <c r="H82" s="4" t="inlineStr">
        <is>
          <t>Multiestratégia</t>
        </is>
      </c>
      <c r="I82" s="7" t="n">
        <v>100</v>
      </c>
      <c r="J82" s="8" t="n">
        <v>0.9</v>
      </c>
      <c r="K82" s="8" t="n"/>
      <c r="L82" s="4" t="inlineStr"/>
      <c r="M82" s="5" t="n">
        <v>0</v>
      </c>
      <c r="N82" s="5" t="n">
        <v>1</v>
      </c>
      <c r="O82" s="5" t="n"/>
      <c r="P82" s="4" t="inlineStr"/>
      <c r="Q82" s="4" t="inlineStr">
        <is>
          <t>Não</t>
        </is>
      </c>
      <c r="R82" s="4" t="inlineStr">
        <is>
          <t>Site (navegador)</t>
        </is>
      </c>
      <c r="S82" s="4" t="n">
        <v>1</v>
      </c>
      <c r="T82" s="4" t="inlineStr">
        <is>
          <t>Não</t>
        </is>
      </c>
      <c r="U82" s="4" t="inlineStr">
        <is>
          <t>Sim</t>
        </is>
      </c>
      <c r="V82" s="4" t="inlineStr">
        <is>
          <t>Não</t>
        </is>
      </c>
      <c r="W82" s="4" t="inlineStr"/>
    </row>
    <row r="83">
      <c r="A83" s="4" t="inlineStr">
        <is>
          <t>XP Investimentos</t>
        </is>
      </c>
      <c r="B83" s="4" t="inlineStr">
        <is>
          <t>Itaú High Yield II FIC FIM CP RL</t>
        </is>
      </c>
      <c r="C83" s="6" t="inlineStr">
        <is>
          <t>49.227.982/0001-48</t>
        </is>
      </c>
      <c r="D83" s="4" t="inlineStr">
        <is>
          <t>ITAU UNIBANCO ASSET MANAGEMENT LTDA.</t>
        </is>
      </c>
      <c r="E83" s="4" t="inlineStr">
        <is>
          <t>40.430.971/0001-96</t>
        </is>
      </c>
      <c r="F83" s="4" t="inlineStr">
        <is>
          <t>Intrag DTVM</t>
        </is>
      </c>
      <c r="G83" s="4" t="inlineStr">
        <is>
          <t>Multimercado</t>
        </is>
      </c>
      <c r="H83" s="4" t="inlineStr">
        <is>
          <t>Crédito High Grade</t>
        </is>
      </c>
      <c r="I83" s="7" t="n">
        <v>100</v>
      </c>
      <c r="J83" s="8" t="n">
        <v>0.6</v>
      </c>
      <c r="K83" s="8" t="n"/>
      <c r="L83" s="4" t="inlineStr"/>
      <c r="M83" s="5" t="n">
        <v>2</v>
      </c>
      <c r="N83" s="5" t="n">
        <v>1</v>
      </c>
      <c r="O83" s="5" t="n"/>
      <c r="P83" s="4" t="inlineStr"/>
      <c r="Q83" s="4" t="inlineStr">
        <is>
          <t>Não</t>
        </is>
      </c>
      <c r="R83" s="4" t="inlineStr">
        <is>
          <t>Site (navegador)</t>
        </is>
      </c>
      <c r="S83" s="4" t="n">
        <v>1</v>
      </c>
      <c r="T83" s="4" t="inlineStr">
        <is>
          <t>Não</t>
        </is>
      </c>
      <c r="U83" s="4" t="inlineStr">
        <is>
          <t>Sim</t>
        </is>
      </c>
      <c r="V83" s="4" t="inlineStr">
        <is>
          <t>Não</t>
        </is>
      </c>
      <c r="W83" s="4" t="inlineStr"/>
    </row>
    <row r="84">
      <c r="A84" s="4" t="inlineStr">
        <is>
          <t>XP Investimentos</t>
        </is>
      </c>
      <c r="B84" s="4" t="inlineStr">
        <is>
          <t>Itaú Janeiro XP Seg FIF CIC MM RL</t>
        </is>
      </c>
      <c r="C84" s="6" t="inlineStr">
        <is>
          <t>61.922.156/0001-14</t>
        </is>
      </c>
      <c r="D84" s="4" t="inlineStr">
        <is>
          <t>ITAU UNIBANCO ASSET MANAGEMENT LTDA.</t>
        </is>
      </c>
      <c r="E84" s="4" t="inlineStr">
        <is>
          <t>40.430.971/0001-96</t>
        </is>
      </c>
      <c r="F84" s="4" t="inlineStr">
        <is>
          <t>Intrag DTVM</t>
        </is>
      </c>
      <c r="G84" s="4" t="inlineStr">
        <is>
          <t>Multimercado</t>
        </is>
      </c>
      <c r="H84" s="4" t="inlineStr">
        <is>
          <t>Macro Média Vol</t>
        </is>
      </c>
      <c r="I84" s="7" t="n">
        <v>100</v>
      </c>
      <c r="J84" s="8" t="n">
        <v>2</v>
      </c>
      <c r="K84" s="8" t="n"/>
      <c r="L84" s="4" t="inlineStr"/>
      <c r="M84" s="5" t="n">
        <v>21</v>
      </c>
      <c r="N84" s="5" t="n">
        <v>1</v>
      </c>
      <c r="O84" s="5" t="n"/>
      <c r="P84" s="4" t="inlineStr"/>
      <c r="Q84" s="4" t="inlineStr">
        <is>
          <t>Sim</t>
        </is>
      </c>
      <c r="R84" s="4" t="inlineStr">
        <is>
          <t>Site (navegador)</t>
        </is>
      </c>
      <c r="S84" s="4" t="n">
        <v>1</v>
      </c>
      <c r="T84" s="4" t="inlineStr">
        <is>
          <t>Não</t>
        </is>
      </c>
      <c r="U84" s="4" t="inlineStr">
        <is>
          <t>Sim</t>
        </is>
      </c>
      <c r="V84" s="4" t="inlineStr">
        <is>
          <t>Não</t>
        </is>
      </c>
      <c r="W84" s="4" t="inlineStr"/>
    </row>
    <row r="85">
      <c r="A85" s="4" t="inlineStr">
        <is>
          <t>XP Investimentos</t>
        </is>
      </c>
      <c r="B85" s="4" t="inlineStr">
        <is>
          <t>Itaú Optimus RF XP Seg Prev FIC FIM RL</t>
        </is>
      </c>
      <c r="C85" s="6" t="inlineStr">
        <is>
          <t>47.020.776/0001-37</t>
        </is>
      </c>
      <c r="D85" s="4" t="inlineStr">
        <is>
          <t>ITAU UNIBANCO ASSET MANAGEMENT LTDA.</t>
        </is>
      </c>
      <c r="E85" s="4" t="inlineStr">
        <is>
          <t>40.430.971/0001-96</t>
        </is>
      </c>
      <c r="F85" s="4" t="inlineStr">
        <is>
          <t>Intrag DTVM</t>
        </is>
      </c>
      <c r="G85" s="4" t="inlineStr">
        <is>
          <t>Renda Fixa</t>
        </is>
      </c>
      <c r="H85" s="4" t="inlineStr">
        <is>
          <t>Renda Fixa Ativo</t>
        </is>
      </c>
      <c r="I85" s="7" t="n">
        <v>100</v>
      </c>
      <c r="J85" s="8" t="n">
        <v>0.9</v>
      </c>
      <c r="K85" s="8" t="n"/>
      <c r="L85" s="4" t="inlineStr"/>
      <c r="M85" s="5" t="n">
        <v>0</v>
      </c>
      <c r="N85" s="5" t="n">
        <v>1</v>
      </c>
      <c r="O85" s="5" t="n"/>
      <c r="P85" s="4" t="inlineStr"/>
      <c r="Q85" s="4" t="inlineStr">
        <is>
          <t>Não</t>
        </is>
      </c>
      <c r="R85" s="4" t="inlineStr">
        <is>
          <t>Site (navegador)</t>
        </is>
      </c>
      <c r="S85" s="4" t="n">
        <v>1</v>
      </c>
      <c r="T85" s="4" t="inlineStr">
        <is>
          <t>Não</t>
        </is>
      </c>
      <c r="U85" s="4" t="inlineStr">
        <is>
          <t>Sim</t>
        </is>
      </c>
      <c r="V85" s="4" t="inlineStr">
        <is>
          <t>Não</t>
        </is>
      </c>
      <c r="W85" s="4" t="inlineStr"/>
    </row>
    <row r="86">
      <c r="A86" s="4" t="inlineStr">
        <is>
          <t>XP Investimentos</t>
        </is>
      </c>
      <c r="B86" s="4" t="inlineStr">
        <is>
          <t>Itaú Optimus Titan XP Seg FIC FIM RL</t>
        </is>
      </c>
      <c r="C86" s="6" t="inlineStr">
        <is>
          <t>45.756.511/0001-76</t>
        </is>
      </c>
      <c r="D86" s="4" t="inlineStr">
        <is>
          <t>ITAU UNIBANCO ASSET MANAGEMENT LTDA.</t>
        </is>
      </c>
      <c r="E86" s="4" t="inlineStr">
        <is>
          <t>40.430.971/0001-96</t>
        </is>
      </c>
      <c r="F86" s="4" t="inlineStr">
        <is>
          <t>Intrag DTVM</t>
        </is>
      </c>
      <c r="G86" s="4" t="inlineStr">
        <is>
          <t>Multimercado</t>
        </is>
      </c>
      <c r="H86" s="4" t="inlineStr">
        <is>
          <t>Macro Média Vol</t>
        </is>
      </c>
      <c r="I86" s="7" t="n">
        <v>100</v>
      </c>
      <c r="J86" s="8" t="n">
        <v>2</v>
      </c>
      <c r="K86" s="8" t="n"/>
      <c r="L86" s="4" t="inlineStr"/>
      <c r="M86" s="5" t="n">
        <v>21</v>
      </c>
      <c r="N86" s="5" t="n">
        <v>1</v>
      </c>
      <c r="O86" s="5" t="n"/>
      <c r="P86" s="4" t="inlineStr"/>
      <c r="Q86" s="4" t="inlineStr">
        <is>
          <t>Não</t>
        </is>
      </c>
      <c r="R86" s="4" t="inlineStr">
        <is>
          <t>Site (navegador)</t>
        </is>
      </c>
      <c r="S86" s="4" t="n">
        <v>1</v>
      </c>
      <c r="T86" s="4" t="inlineStr">
        <is>
          <t>Não</t>
        </is>
      </c>
      <c r="U86" s="4" t="inlineStr">
        <is>
          <t>Sim</t>
        </is>
      </c>
      <c r="V86" s="4" t="inlineStr">
        <is>
          <t>Não</t>
        </is>
      </c>
      <c r="W86" s="4" t="inlineStr"/>
    </row>
    <row r="87">
      <c r="A87" s="4" t="inlineStr">
        <is>
          <t>XP Investimentos</t>
        </is>
      </c>
      <c r="B87" s="4" t="inlineStr">
        <is>
          <t>Itaú Sinfonia XP Seg Prev FIC FIM CP RL</t>
        </is>
      </c>
      <c r="C87" s="6" t="inlineStr">
        <is>
          <t>47.020.727/0001-02</t>
        </is>
      </c>
      <c r="D87" s="4" t="inlineStr">
        <is>
          <t>ITAU UNIBANCO ASSET MANAGEMENT LTDA.</t>
        </is>
      </c>
      <c r="E87" s="4" t="inlineStr">
        <is>
          <t>40.430.971/0001-96</t>
        </is>
      </c>
      <c r="F87" s="4" t="inlineStr">
        <is>
          <t>Intrag DTVM</t>
        </is>
      </c>
      <c r="G87" s="4" t="inlineStr">
        <is>
          <t>Multimercado</t>
        </is>
      </c>
      <c r="H87" s="4" t="inlineStr">
        <is>
          <t>Crédito Híbrido</t>
        </is>
      </c>
      <c r="I87" s="7" t="n">
        <v>100</v>
      </c>
      <c r="J87" s="8" t="n">
        <v>0.64</v>
      </c>
      <c r="K87" s="8" t="n"/>
      <c r="L87" s="4" t="inlineStr"/>
      <c r="M87" s="5" t="n">
        <v>9</v>
      </c>
      <c r="N87" s="5" t="n">
        <v>1</v>
      </c>
      <c r="O87" s="5" t="n"/>
      <c r="P87" s="4" t="inlineStr"/>
      <c r="Q87" s="4" t="inlineStr">
        <is>
          <t>Não</t>
        </is>
      </c>
      <c r="R87" s="4" t="inlineStr">
        <is>
          <t>Site (navegador)</t>
        </is>
      </c>
      <c r="S87" s="4" t="n">
        <v>1</v>
      </c>
      <c r="T87" s="4" t="inlineStr">
        <is>
          <t>Não</t>
        </is>
      </c>
      <c r="U87" s="4" t="inlineStr">
        <is>
          <t>Sim</t>
        </is>
      </c>
      <c r="V87" s="4" t="inlineStr">
        <is>
          <t>Não</t>
        </is>
      </c>
      <c r="W87" s="4" t="inlineStr"/>
    </row>
    <row r="88">
      <c r="A88" s="4" t="inlineStr">
        <is>
          <t>XP Investimentos</t>
        </is>
      </c>
      <c r="B88" s="4" t="inlineStr">
        <is>
          <t>JGP Ações 100 Prev XP Seg FIC FIA</t>
        </is>
      </c>
      <c r="C88" s="6" t="inlineStr">
        <is>
          <t>35.704.530/0001-03</t>
        </is>
      </c>
      <c r="D88" s="4" t="inlineStr">
        <is>
          <t>JGP GESTÃO DE RECURSOS LTDA</t>
        </is>
      </c>
      <c r="E88" s="4" t="inlineStr">
        <is>
          <t>02.312.792/0001-65</t>
        </is>
      </c>
      <c r="F88" s="4" t="inlineStr">
        <is>
          <t>BNY Mellon DTVM</t>
        </is>
      </c>
      <c r="G88" s="4" t="inlineStr">
        <is>
          <t>Ações</t>
        </is>
      </c>
      <c r="H88" s="4" t="inlineStr">
        <is>
          <t>Renda Variável Long Only</t>
        </is>
      </c>
      <c r="I88" s="7" t="n">
        <v>100</v>
      </c>
      <c r="J88" s="8" t="n">
        <v>2</v>
      </c>
      <c r="K88" s="8" t="n"/>
      <c r="L88" s="4" t="inlineStr"/>
      <c r="M88" s="5" t="n">
        <v>2</v>
      </c>
      <c r="N88" s="5" t="n">
        <v>2</v>
      </c>
      <c r="O88" s="5" t="n"/>
      <c r="P88" s="4" t="inlineStr"/>
      <c r="Q88" s="4" t="inlineStr">
        <is>
          <t>Sim</t>
        </is>
      </c>
      <c r="R88" s="4" t="inlineStr">
        <is>
          <t>Site (navegador)</t>
        </is>
      </c>
      <c r="S88" s="4" t="n">
        <v>1</v>
      </c>
      <c r="T88" s="4" t="inlineStr">
        <is>
          <t>Não</t>
        </is>
      </c>
      <c r="U88" s="4" t="inlineStr">
        <is>
          <t>Sim</t>
        </is>
      </c>
      <c r="V88" s="4" t="inlineStr">
        <is>
          <t>Não</t>
        </is>
      </c>
      <c r="W88" s="4" t="inlineStr"/>
    </row>
    <row r="89">
      <c r="A89" s="4" t="inlineStr">
        <is>
          <t>XP Investimentos</t>
        </is>
      </c>
      <c r="B89" s="4" t="inlineStr">
        <is>
          <t>JGP Crédito Prev Advisory XP Seg FIC RF CP</t>
        </is>
      </c>
      <c r="C89" s="6" t="inlineStr">
        <is>
          <t>32.319.225/0001-00</t>
        </is>
      </c>
      <c r="D89" s="4" t="inlineStr">
        <is>
          <t>LETO ASSET MANAGEMENT LTDA</t>
        </is>
      </c>
      <c r="E89" s="4" t="inlineStr">
        <is>
          <t>13.189.882/0001-27</t>
        </is>
      </c>
      <c r="F89" s="4" t="inlineStr">
        <is>
          <t>BNY Mellon DTVM</t>
        </is>
      </c>
      <c r="G89" s="4" t="inlineStr">
        <is>
          <t>Renda Fixa</t>
        </is>
      </c>
      <c r="H89" s="4" t="inlineStr">
        <is>
          <t>Crédito High Grade</t>
        </is>
      </c>
      <c r="I89" s="7" t="n">
        <v>100</v>
      </c>
      <c r="J89" s="8" t="n">
        <v>1.1</v>
      </c>
      <c r="K89" s="8" t="n"/>
      <c r="L89" s="4" t="inlineStr"/>
      <c r="M89" s="5" t="n">
        <v>5</v>
      </c>
      <c r="N89" s="5" t="n">
        <v>2</v>
      </c>
      <c r="O89" s="5" t="n"/>
      <c r="P89" s="4" t="inlineStr"/>
      <c r="Q89" s="4" t="inlineStr">
        <is>
          <t>Não</t>
        </is>
      </c>
      <c r="R89" s="4" t="inlineStr">
        <is>
          <t>Site (navegador)</t>
        </is>
      </c>
      <c r="S89" s="4" t="n">
        <v>1</v>
      </c>
      <c r="T89" s="4" t="inlineStr">
        <is>
          <t>Não</t>
        </is>
      </c>
      <c r="U89" s="4" t="inlineStr">
        <is>
          <t>Sim</t>
        </is>
      </c>
      <c r="V89" s="4" t="inlineStr">
        <is>
          <t>Não</t>
        </is>
      </c>
      <c r="W89" s="4" t="inlineStr"/>
    </row>
    <row r="90">
      <c r="A90" s="4" t="inlineStr">
        <is>
          <t>XP Investimentos</t>
        </is>
      </c>
      <c r="B90" s="4" t="inlineStr">
        <is>
          <t>JGP Multimercado Prev Advisory XP Seg FICFI</t>
        </is>
      </c>
      <c r="C90" s="6" t="inlineStr">
        <is>
          <t>34.474.500/0001-87</t>
        </is>
      </c>
      <c r="D90" s="4" t="inlineStr">
        <is>
          <t>JGP GESTÃO DE RECURSOS LTDA</t>
        </is>
      </c>
      <c r="E90" s="4" t="inlineStr">
        <is>
          <t>02.312.792/0001-65</t>
        </is>
      </c>
      <c r="F90" s="4" t="inlineStr">
        <is>
          <t>BNY Mellon DTVM</t>
        </is>
      </c>
      <c r="G90" s="4" t="inlineStr">
        <is>
          <t>Multimercado</t>
        </is>
      </c>
      <c r="H90" s="4" t="inlineStr">
        <is>
          <t>Macro Média Vol</t>
        </is>
      </c>
      <c r="I90" s="7" t="n">
        <v>100</v>
      </c>
      <c r="J90" s="8" t="n">
        <v>2</v>
      </c>
      <c r="K90" s="8" t="n"/>
      <c r="L90" s="4" t="inlineStr"/>
      <c r="M90" s="5" t="n">
        <v>1</v>
      </c>
      <c r="N90" s="5" t="n">
        <v>2</v>
      </c>
      <c r="O90" s="5" t="n"/>
      <c r="P90" s="4" t="inlineStr"/>
      <c r="Q90" s="4" t="inlineStr">
        <is>
          <t>Não</t>
        </is>
      </c>
      <c r="R90" s="4" t="inlineStr">
        <is>
          <t>Site (navegador)</t>
        </is>
      </c>
      <c r="S90" s="4" t="n">
        <v>1</v>
      </c>
      <c r="T90" s="4" t="inlineStr">
        <is>
          <t>Não</t>
        </is>
      </c>
      <c r="U90" s="4" t="inlineStr">
        <is>
          <t>Sim</t>
        </is>
      </c>
      <c r="V90" s="4" t="inlineStr">
        <is>
          <t>Não</t>
        </is>
      </c>
      <c r="W90" s="4" t="inlineStr"/>
    </row>
    <row r="91">
      <c r="A91" s="4" t="inlineStr">
        <is>
          <t>XP Investimentos</t>
        </is>
      </c>
      <c r="B91" s="4" t="inlineStr">
        <is>
          <t>JGP Strategy XP Seg Prev Qualificado FIC FIM RL</t>
        </is>
      </c>
      <c r="C91" s="6" t="inlineStr">
        <is>
          <t>62.403.552/0001-06</t>
        </is>
      </c>
      <c r="D91" s="4" t="inlineStr">
        <is>
          <t>JGP GESTÃO DE RECURSOS LTDA</t>
        </is>
      </c>
      <c r="E91" s="4" t="inlineStr">
        <is>
          <t>02.312.792/0001-65</t>
        </is>
      </c>
      <c r="F91" s="4" t="inlineStr">
        <is>
          <t>BNY Mellon DTVM</t>
        </is>
      </c>
      <c r="G91" s="4" t="inlineStr">
        <is>
          <t>Multimercado</t>
        </is>
      </c>
      <c r="H91" s="4" t="inlineStr">
        <is>
          <t>Macro Média Vol</t>
        </is>
      </c>
      <c r="I91" s="7" t="n">
        <v>100</v>
      </c>
      <c r="J91" s="8" t="n">
        <v>2</v>
      </c>
      <c r="K91" s="8" t="n"/>
      <c r="L91" s="4" t="inlineStr"/>
      <c r="M91" s="5" t="n">
        <v>22</v>
      </c>
      <c r="N91" s="5" t="n">
        <v>1</v>
      </c>
      <c r="O91" s="5" t="n"/>
      <c r="P91" s="4" t="inlineStr"/>
      <c r="Q91" s="4" t="inlineStr">
        <is>
          <t>Não</t>
        </is>
      </c>
      <c r="R91" s="4" t="inlineStr">
        <is>
          <t>Site (navegador)</t>
        </is>
      </c>
      <c r="S91" s="4" t="n">
        <v>1</v>
      </c>
      <c r="T91" s="4" t="inlineStr">
        <is>
          <t>Não</t>
        </is>
      </c>
      <c r="U91" s="4" t="inlineStr">
        <is>
          <t>Sim</t>
        </is>
      </c>
      <c r="V91" s="4" t="inlineStr">
        <is>
          <t>Não</t>
        </is>
      </c>
      <c r="W91" s="4" t="inlineStr"/>
    </row>
    <row r="92">
      <c r="A92" s="4" t="inlineStr">
        <is>
          <t>XP Investimentos</t>
        </is>
      </c>
      <c r="B92" s="4" t="inlineStr">
        <is>
          <t>Jive Soul 45 Xp Seg Prev Fic Multimercado Cp Rl</t>
        </is>
      </c>
      <c r="C92" s="6" t="inlineStr">
        <is>
          <t>53.990.872/0001-00</t>
        </is>
      </c>
      <c r="D92" s="4" t="inlineStr">
        <is>
          <t>JIVE HIGH YIELD GESTÃO DE RECURSOS LTDA.</t>
        </is>
      </c>
      <c r="E92" s="4" t="inlineStr">
        <is>
          <t>07.170.960/0001-49</t>
        </is>
      </c>
      <c r="F92" s="4" t="inlineStr">
        <is>
          <t>XP Investimentos</t>
        </is>
      </c>
      <c r="G92" s="4" t="inlineStr">
        <is>
          <t>Multimercado</t>
        </is>
      </c>
      <c r="H92" s="4" t="inlineStr">
        <is>
          <t>Crédito Privado High Yield</t>
        </is>
      </c>
      <c r="I92" s="7" t="n">
        <v>100</v>
      </c>
      <c r="J92" s="8" t="n">
        <v>1.5</v>
      </c>
      <c r="K92" s="8" t="n"/>
      <c r="L92" s="4" t="inlineStr"/>
      <c r="M92" s="5" t="n">
        <v>45</v>
      </c>
      <c r="N92" s="5" t="n">
        <v>2</v>
      </c>
      <c r="O92" s="5" t="n"/>
      <c r="P92" s="4" t="inlineStr"/>
      <c r="Q92" s="4" t="inlineStr">
        <is>
          <t>Não</t>
        </is>
      </c>
      <c r="R92" s="4" t="inlineStr">
        <is>
          <t>Site (navegador)</t>
        </is>
      </c>
      <c r="S92" s="4" t="n">
        <v>1</v>
      </c>
      <c r="T92" s="4" t="inlineStr">
        <is>
          <t>Não</t>
        </is>
      </c>
      <c r="U92" s="4" t="inlineStr">
        <is>
          <t>Sim</t>
        </is>
      </c>
      <c r="V92" s="4" t="inlineStr">
        <is>
          <t>Não</t>
        </is>
      </c>
      <c r="W92" s="4" t="inlineStr"/>
    </row>
    <row r="93">
      <c r="A93" s="4" t="inlineStr">
        <is>
          <t>XP Investimentos</t>
        </is>
      </c>
      <c r="B93" s="4" t="inlineStr">
        <is>
          <t>Kad Ima-B Xp Seg Prev Ficfim Rl</t>
        </is>
      </c>
      <c r="C93" s="6" t="inlineStr">
        <is>
          <t>44.434.888/0001-46</t>
        </is>
      </c>
      <c r="D93" s="4" t="inlineStr">
        <is>
          <t>XP VIDA E PREVIDÊNCIA S.A.</t>
        </is>
      </c>
      <c r="E93" s="4" t="inlineStr">
        <is>
          <t>29.408.732/0001-05</t>
        </is>
      </c>
      <c r="F93" s="4" t="inlineStr">
        <is>
          <t>XPI Administradora - Modal</t>
        </is>
      </c>
      <c r="G93" s="4" t="inlineStr">
        <is>
          <t>Multimercado</t>
        </is>
      </c>
      <c r="H93" s="4" t="inlineStr">
        <is>
          <t>Renda Fixa Inflação</t>
        </is>
      </c>
      <c r="I93" s="7" t="n">
        <v>100</v>
      </c>
      <c r="J93" s="8" t="n">
        <v>0.8</v>
      </c>
      <c r="K93" s="8" t="n"/>
      <c r="L93" s="4" t="inlineStr"/>
      <c r="M93" s="5" t="n">
        <v>5</v>
      </c>
      <c r="N93" s="5" t="n">
        <v>1</v>
      </c>
      <c r="O93" s="5" t="n"/>
      <c r="P93" s="4" t="inlineStr"/>
      <c r="Q93" s="4" t="inlineStr">
        <is>
          <t>Não</t>
        </is>
      </c>
      <c r="R93" s="4" t="inlineStr">
        <is>
          <t>Site (navegador)</t>
        </is>
      </c>
      <c r="S93" s="4" t="n">
        <v>1</v>
      </c>
      <c r="T93" s="4" t="inlineStr">
        <is>
          <t>Não</t>
        </is>
      </c>
      <c r="U93" s="4" t="inlineStr">
        <is>
          <t>Sim</t>
        </is>
      </c>
      <c r="V93" s="4" t="inlineStr">
        <is>
          <t>Não</t>
        </is>
      </c>
      <c r="W93" s="4" t="inlineStr"/>
    </row>
    <row r="94">
      <c r="A94" s="4" t="inlineStr">
        <is>
          <t>XP Investimentos</t>
        </is>
      </c>
      <c r="B94" s="4" t="inlineStr">
        <is>
          <t>Kadima Long Bias Xp Seg Prev Fic Fim Rl</t>
        </is>
      </c>
      <c r="C94" s="6" t="inlineStr">
        <is>
          <t>40.781.292/0001-61</t>
        </is>
      </c>
      <c r="D94" s="4" t="inlineStr">
        <is>
          <t>XP VIDA E PREVIDÊNCIA S.A.</t>
        </is>
      </c>
      <c r="E94" s="4" t="inlineStr">
        <is>
          <t>29.408.732/0001-05</t>
        </is>
      </c>
      <c r="F94" s="4" t="inlineStr">
        <is>
          <t>XPI Administradora - Modal</t>
        </is>
      </c>
      <c r="G94" s="4" t="inlineStr">
        <is>
          <t>Multimercado</t>
        </is>
      </c>
      <c r="H94" s="4" t="inlineStr">
        <is>
          <t>Quantitativo</t>
        </is>
      </c>
      <c r="I94" s="7" t="n">
        <v>100</v>
      </c>
      <c r="J94" s="8" t="n">
        <v>1.75</v>
      </c>
      <c r="K94" s="8" t="n"/>
      <c r="L94" s="4" t="inlineStr"/>
      <c r="M94" s="5" t="n">
        <v>5</v>
      </c>
      <c r="N94" s="5" t="n">
        <v>2</v>
      </c>
      <c r="O94" s="5" t="n"/>
      <c r="P94" s="4" t="inlineStr"/>
      <c r="Q94" s="4" t="inlineStr">
        <is>
          <t>Não</t>
        </is>
      </c>
      <c r="R94" s="4" t="inlineStr">
        <is>
          <t>Site (navegador)</t>
        </is>
      </c>
      <c r="S94" s="4" t="n">
        <v>1</v>
      </c>
      <c r="T94" s="4" t="inlineStr">
        <is>
          <t>Não</t>
        </is>
      </c>
      <c r="U94" s="4" t="inlineStr">
        <is>
          <t>Sim</t>
        </is>
      </c>
      <c r="V94" s="4" t="inlineStr">
        <is>
          <t>Não</t>
        </is>
      </c>
      <c r="W94" s="4" t="inlineStr"/>
    </row>
    <row r="95">
      <c r="A95" s="4" t="inlineStr">
        <is>
          <t>XP Investimentos</t>
        </is>
      </c>
      <c r="B95" s="4" t="inlineStr">
        <is>
          <t>Kadima Xp Seg Prev Fie Fic Fim Rl</t>
        </is>
      </c>
      <c r="C95" s="6" t="inlineStr">
        <is>
          <t>30.898.110/0001-83</t>
        </is>
      </c>
      <c r="D95" s="4" t="inlineStr">
        <is>
          <t>XP VIDA E PREVIDÊNCIA S.A.</t>
        </is>
      </c>
      <c r="E95" s="4" t="inlineStr">
        <is>
          <t>29.408.732/0001-05</t>
        </is>
      </c>
      <c r="F95" s="4" t="inlineStr">
        <is>
          <t>XPI Administradora - Modal</t>
        </is>
      </c>
      <c r="G95" s="4" t="inlineStr">
        <is>
          <t>Multimercado</t>
        </is>
      </c>
      <c r="H95" s="4" t="inlineStr">
        <is>
          <t>Quantitativo</t>
        </is>
      </c>
      <c r="I95" s="7" t="n">
        <v>100</v>
      </c>
      <c r="J95" s="8" t="n">
        <v>2</v>
      </c>
      <c r="K95" s="8" t="n"/>
      <c r="L95" s="4" t="inlineStr"/>
      <c r="M95" s="5" t="n">
        <v>2</v>
      </c>
      <c r="N95" s="5" t="n">
        <v>1</v>
      </c>
      <c r="O95" s="5" t="n"/>
      <c r="P95" s="4" t="inlineStr"/>
      <c r="Q95" s="4" t="inlineStr">
        <is>
          <t>Não</t>
        </is>
      </c>
      <c r="R95" s="4" t="inlineStr">
        <is>
          <t>Site (navegador)</t>
        </is>
      </c>
      <c r="S95" s="4" t="n">
        <v>1</v>
      </c>
      <c r="T95" s="4" t="inlineStr">
        <is>
          <t>Não</t>
        </is>
      </c>
      <c r="U95" s="4" t="inlineStr">
        <is>
          <t>Sim</t>
        </is>
      </c>
      <c r="V95" s="4" t="inlineStr">
        <is>
          <t>Não</t>
        </is>
      </c>
      <c r="W95" s="4" t="inlineStr"/>
    </row>
    <row r="96">
      <c r="A96" s="4" t="inlineStr">
        <is>
          <t>XP Investimentos</t>
        </is>
      </c>
      <c r="B96" s="4" t="inlineStr">
        <is>
          <t>Kadima Xp Seg Prev Long Short Ficfim</t>
        </is>
      </c>
      <c r="C96" s="6" t="inlineStr">
        <is>
          <t>40.635.009/0001-93</t>
        </is>
      </c>
      <c r="D96" s="4" t="inlineStr">
        <is>
          <t>XP VIDA E PREVIDÊNCIA S.A.</t>
        </is>
      </c>
      <c r="E96" s="4" t="inlineStr">
        <is>
          <t>29.408.732/0001-05</t>
        </is>
      </c>
      <c r="F96" s="4" t="inlineStr">
        <is>
          <t>XP Investimentos</t>
        </is>
      </c>
      <c r="G96" s="4" t="inlineStr">
        <is>
          <t>Multimercado</t>
        </is>
      </c>
      <c r="H96" s="4" t="inlineStr">
        <is>
          <t>Long Short Direcional</t>
        </is>
      </c>
      <c r="I96" s="7" t="n">
        <v>100</v>
      </c>
      <c r="J96" s="8" t="n">
        <v>1.9</v>
      </c>
      <c r="K96" s="8" t="n"/>
      <c r="L96" s="4" t="inlineStr"/>
      <c r="M96" s="5" t="n">
        <v>5</v>
      </c>
      <c r="N96" s="5" t="n">
        <v>2</v>
      </c>
      <c r="O96" s="5" t="n"/>
      <c r="P96" s="4" t="inlineStr"/>
      <c r="Q96" s="4" t="inlineStr">
        <is>
          <t>Não</t>
        </is>
      </c>
      <c r="R96" s="4" t="inlineStr">
        <is>
          <t>Site (navegador)</t>
        </is>
      </c>
      <c r="S96" s="4" t="n">
        <v>1</v>
      </c>
      <c r="T96" s="4" t="inlineStr">
        <is>
          <t>Não</t>
        </is>
      </c>
      <c r="U96" s="4" t="inlineStr">
        <is>
          <t>Sim</t>
        </is>
      </c>
      <c r="V96" s="4" t="inlineStr">
        <is>
          <t>Não</t>
        </is>
      </c>
      <c r="W96" s="4" t="inlineStr"/>
    </row>
    <row r="97">
      <c r="A97" s="4" t="inlineStr">
        <is>
          <t>XP Investimentos</t>
        </is>
      </c>
      <c r="B97" s="4" t="inlineStr">
        <is>
          <t>Kapitalo K10 Global Prev Xp Seg Advisory Fic Fim Rl</t>
        </is>
      </c>
      <c r="C97" s="6" t="inlineStr">
        <is>
          <t>40.679.129/0001-92</t>
        </is>
      </c>
      <c r="D97" s="4" t="inlineStr">
        <is>
          <t>XP VIDA E PREVIDÊNCIA S.A.</t>
        </is>
      </c>
      <c r="E97" s="4" t="inlineStr">
        <is>
          <t>29.408.732/0001-05</t>
        </is>
      </c>
      <c r="F97" s="4" t="inlineStr">
        <is>
          <t>XPI Administradora - Modal</t>
        </is>
      </c>
      <c r="G97" s="4" t="inlineStr">
        <is>
          <t>Multimercado</t>
        </is>
      </c>
      <c r="H97" s="4" t="inlineStr">
        <is>
          <t>Macro Alta Vol</t>
        </is>
      </c>
      <c r="I97" s="7" t="n">
        <v>100</v>
      </c>
      <c r="J97" s="8" t="n">
        <v>2</v>
      </c>
      <c r="K97" s="8" t="n"/>
      <c r="L97" s="4" t="inlineStr"/>
      <c r="M97" s="5" t="n">
        <v>7</v>
      </c>
      <c r="N97" s="5" t="n">
        <v>2</v>
      </c>
      <c r="O97" s="5" t="n"/>
      <c r="P97" s="4" t="inlineStr"/>
      <c r="Q97" s="4" t="inlineStr">
        <is>
          <t>Não</t>
        </is>
      </c>
      <c r="R97" s="4" t="inlineStr">
        <is>
          <t>Site (navegador)</t>
        </is>
      </c>
      <c r="S97" s="4" t="n">
        <v>1</v>
      </c>
      <c r="T97" s="4" t="inlineStr">
        <is>
          <t>Não</t>
        </is>
      </c>
      <c r="U97" s="4" t="inlineStr">
        <is>
          <t>Sim</t>
        </is>
      </c>
      <c r="V97" s="4" t="inlineStr">
        <is>
          <t>Não</t>
        </is>
      </c>
      <c r="W97" s="4" t="inlineStr"/>
    </row>
    <row r="98">
      <c r="A98" s="4" t="inlineStr">
        <is>
          <t>XP Investimentos</t>
        </is>
      </c>
      <c r="B98" s="4" t="inlineStr">
        <is>
          <t>Kapitalo Kappa Prev Xp Seg Ficfim Rl</t>
        </is>
      </c>
      <c r="C98" s="6" t="inlineStr">
        <is>
          <t>42.847.502/0001-00</t>
        </is>
      </c>
      <c r="D98" s="4" t="inlineStr">
        <is>
          <t>XP VIDA E PREVIDÊNCIA S.A.</t>
        </is>
      </c>
      <c r="E98" s="4" t="inlineStr">
        <is>
          <t>29.408.732/0001-05</t>
        </is>
      </c>
      <c r="F98" s="4" t="inlineStr">
        <is>
          <t>XPI Administradora - Modal</t>
        </is>
      </c>
      <c r="G98" s="4" t="inlineStr">
        <is>
          <t>Multimercado</t>
        </is>
      </c>
      <c r="H98" s="4" t="inlineStr">
        <is>
          <t>Macro Alta Vol</t>
        </is>
      </c>
      <c r="I98" s="7" t="n">
        <v>100</v>
      </c>
      <c r="J98" s="8" t="n">
        <v>2</v>
      </c>
      <c r="K98" s="8" t="n"/>
      <c r="L98" s="4" t="inlineStr"/>
      <c r="M98" s="5" t="n">
        <v>22</v>
      </c>
      <c r="N98" s="5" t="n">
        <v>2</v>
      </c>
      <c r="O98" s="5" t="n"/>
      <c r="P98" s="4" t="inlineStr"/>
      <c r="Q98" s="4" t="inlineStr">
        <is>
          <t>Não</t>
        </is>
      </c>
      <c r="R98" s="4" t="inlineStr">
        <is>
          <t>Site (navegador)</t>
        </is>
      </c>
      <c r="S98" s="4" t="n">
        <v>1</v>
      </c>
      <c r="T98" s="4" t="inlineStr">
        <is>
          <t>Não</t>
        </is>
      </c>
      <c r="U98" s="4" t="inlineStr">
        <is>
          <t>Sim</t>
        </is>
      </c>
      <c r="V98" s="4" t="inlineStr">
        <is>
          <t>Não</t>
        </is>
      </c>
      <c r="W98" s="4" t="inlineStr"/>
    </row>
    <row r="99">
      <c r="A99" s="4" t="inlineStr">
        <is>
          <t>XP Investimentos</t>
        </is>
      </c>
      <c r="B99" s="4" t="inlineStr">
        <is>
          <t>Kapitalo Zeta XP Seg Prev FIF CIC Multimercado RL</t>
        </is>
      </c>
      <c r="C99" s="6" t="inlineStr">
        <is>
          <t>58.841.072/0001-41</t>
        </is>
      </c>
      <c r="D99" s="4" t="inlineStr">
        <is>
          <t>KAPITALO INVESTIMENTOS LTDA.</t>
        </is>
      </c>
      <c r="E99" s="4" t="inlineStr">
        <is>
          <t>11.180.009/0001-48</t>
        </is>
      </c>
      <c r="F99" s="4" t="inlineStr">
        <is>
          <t>Intrag DTVM</t>
        </is>
      </c>
      <c r="G99" s="4" t="inlineStr">
        <is>
          <t>Multimercado</t>
        </is>
      </c>
      <c r="H99" s="4" t="inlineStr">
        <is>
          <t>Macro Alta Vol</t>
        </is>
      </c>
      <c r="I99" s="7" t="n">
        <v>100</v>
      </c>
      <c r="J99" s="8" t="n">
        <v>2</v>
      </c>
      <c r="K99" s="8" t="n"/>
      <c r="L99" s="4" t="inlineStr"/>
      <c r="M99" s="5" t="n">
        <v>44</v>
      </c>
      <c r="N99" s="5" t="n">
        <v>2</v>
      </c>
      <c r="O99" s="5" t="n"/>
      <c r="P99" s="4" t="inlineStr"/>
      <c r="Q99" s="4" t="inlineStr">
        <is>
          <t>Não</t>
        </is>
      </c>
      <c r="R99" s="4" t="inlineStr">
        <is>
          <t>Site (navegador)</t>
        </is>
      </c>
      <c r="S99" s="4" t="n">
        <v>1</v>
      </c>
      <c r="T99" s="4" t="inlineStr">
        <is>
          <t>Não</t>
        </is>
      </c>
      <c r="U99" s="4" t="inlineStr">
        <is>
          <t>Sim</t>
        </is>
      </c>
      <c r="V99" s="4" t="inlineStr">
        <is>
          <t>Não</t>
        </is>
      </c>
      <c r="W99" s="4" t="inlineStr"/>
    </row>
    <row r="100">
      <c r="A100" s="4" t="inlineStr">
        <is>
          <t>XP Investimentos</t>
        </is>
      </c>
      <c r="B100" s="4" t="inlineStr">
        <is>
          <t>Kinea Alpes Prev Xp Seg Mm Cp Ficfi</t>
        </is>
      </c>
      <c r="C100" s="6" t="inlineStr">
        <is>
          <t>43.636.203/0001-81</t>
        </is>
      </c>
      <c r="D100" s="4" t="inlineStr">
        <is>
          <t>XP VIDA E PREVIDÊNCIA S.A.</t>
        </is>
      </c>
      <c r="E100" s="4" t="inlineStr">
        <is>
          <t>29.408.732/0001-05</t>
        </is>
      </c>
      <c r="F100" s="4" t="inlineStr">
        <is>
          <t>XPI Administradora - Modal</t>
        </is>
      </c>
      <c r="G100" s="4" t="inlineStr">
        <is>
          <t>Multimercado</t>
        </is>
      </c>
      <c r="H100" s="4" t="inlineStr">
        <is>
          <t>Crédito High Grade</t>
        </is>
      </c>
      <c r="I100" s="7" t="n">
        <v>100</v>
      </c>
      <c r="J100" s="8" t="n">
        <v>1</v>
      </c>
      <c r="K100" s="8" t="n"/>
      <c r="L100" s="4" t="inlineStr"/>
      <c r="M100" s="5" t="n">
        <v>8</v>
      </c>
      <c r="N100" s="5" t="n">
        <v>1</v>
      </c>
      <c r="O100" s="5" t="n"/>
      <c r="P100" s="4" t="inlineStr"/>
      <c r="Q100" s="4" t="inlineStr">
        <is>
          <t>Não</t>
        </is>
      </c>
      <c r="R100" s="4" t="inlineStr">
        <is>
          <t>Site (navegador)</t>
        </is>
      </c>
      <c r="S100" s="4" t="n">
        <v>1</v>
      </c>
      <c r="T100" s="4" t="inlineStr">
        <is>
          <t>Não</t>
        </is>
      </c>
      <c r="U100" s="4" t="inlineStr">
        <is>
          <t>Sim</t>
        </is>
      </c>
      <c r="V100" s="4" t="inlineStr">
        <is>
          <t>Não</t>
        </is>
      </c>
      <c r="W100" s="4" t="inlineStr"/>
    </row>
    <row r="101">
      <c r="A101" s="4" t="inlineStr">
        <is>
          <t>XP Investimentos</t>
        </is>
      </c>
      <c r="B101" s="4" t="inlineStr">
        <is>
          <t>Kinea Apolo Advisory Xp Seg Prev Fic Fim Rl</t>
        </is>
      </c>
      <c r="C101" s="6" t="inlineStr">
        <is>
          <t>35.162.484/0001-50</t>
        </is>
      </c>
      <c r="D101" s="4" t="inlineStr">
        <is>
          <t>XP VIDA E PREVIDÊNCIA S.A.</t>
        </is>
      </c>
      <c r="E101" s="4" t="inlineStr">
        <is>
          <t>29.408.732/0001-05</t>
        </is>
      </c>
      <c r="F101" s="4" t="inlineStr">
        <is>
          <t>XPI Administradora - Modal</t>
        </is>
      </c>
      <c r="G101" s="4" t="inlineStr">
        <is>
          <t>Multimercado</t>
        </is>
      </c>
      <c r="H101" s="4" t="inlineStr">
        <is>
          <t>Macro Baixa Vol</t>
        </is>
      </c>
      <c r="I101" s="7" t="n">
        <v>100</v>
      </c>
      <c r="J101" s="8" t="n">
        <v>0.8</v>
      </c>
      <c r="K101" s="8" t="n"/>
      <c r="L101" s="4" t="inlineStr"/>
      <c r="M101" s="5" t="n">
        <v>0</v>
      </c>
      <c r="N101" s="5" t="n">
        <v>1</v>
      </c>
      <c r="O101" s="5" t="n"/>
      <c r="P101" s="4" t="inlineStr"/>
      <c r="Q101" s="4" t="inlineStr">
        <is>
          <t>Não</t>
        </is>
      </c>
      <c r="R101" s="4" t="inlineStr">
        <is>
          <t>Site (navegador)</t>
        </is>
      </c>
      <c r="S101" s="4" t="n">
        <v>1</v>
      </c>
      <c r="T101" s="4" t="inlineStr">
        <is>
          <t>Não</t>
        </is>
      </c>
      <c r="U101" s="4" t="inlineStr">
        <is>
          <t>Sim</t>
        </is>
      </c>
      <c r="V101" s="4" t="inlineStr">
        <is>
          <t>Não</t>
        </is>
      </c>
      <c r="W101" s="4" t="inlineStr"/>
    </row>
    <row r="102">
      <c r="A102" s="4" t="inlineStr">
        <is>
          <t>XP Investimentos</t>
        </is>
      </c>
      <c r="B102" s="4" t="inlineStr">
        <is>
          <t>Kinea Ações Advisory Xp Seg Prev Fic Fim Rl</t>
        </is>
      </c>
      <c r="C102" s="6" t="inlineStr">
        <is>
          <t>32.973.280/0001-00</t>
        </is>
      </c>
      <c r="D102" s="4" t="inlineStr">
        <is>
          <t>XP VIDA E PREVIDÊNCIA S.A.</t>
        </is>
      </c>
      <c r="E102" s="4" t="inlineStr">
        <is>
          <t>29.408.732/0001-05</t>
        </is>
      </c>
      <c r="F102" s="4" t="inlineStr">
        <is>
          <t>XP Investimentos</t>
        </is>
      </c>
      <c r="G102" s="4" t="inlineStr">
        <is>
          <t>Ações</t>
        </is>
      </c>
      <c r="H102" s="4" t="inlineStr">
        <is>
          <t>Renda Variável Long Only</t>
        </is>
      </c>
      <c r="I102" s="7" t="n">
        <v>100</v>
      </c>
      <c r="J102" s="8" t="n">
        <v>2</v>
      </c>
      <c r="K102" s="8" t="n"/>
      <c r="L102" s="4" t="inlineStr"/>
      <c r="M102" s="5" t="n">
        <v>1</v>
      </c>
      <c r="N102" s="5" t="n">
        <v>2</v>
      </c>
      <c r="O102" s="5" t="n"/>
      <c r="P102" s="4" t="inlineStr"/>
      <c r="Q102" s="4" t="inlineStr">
        <is>
          <t>Não</t>
        </is>
      </c>
      <c r="R102" s="4" t="inlineStr">
        <is>
          <t>Site (navegador)</t>
        </is>
      </c>
      <c r="S102" s="4" t="n">
        <v>1</v>
      </c>
      <c r="T102" s="4" t="inlineStr">
        <is>
          <t>Não</t>
        </is>
      </c>
      <c r="U102" s="4" t="inlineStr">
        <is>
          <t>Sim</t>
        </is>
      </c>
      <c r="V102" s="4" t="inlineStr">
        <is>
          <t>Não</t>
        </is>
      </c>
      <c r="W102" s="4" t="inlineStr"/>
    </row>
    <row r="103">
      <c r="A103" s="4" t="inlineStr">
        <is>
          <t>XP Investimentos</t>
        </is>
      </c>
      <c r="B103" s="4" t="inlineStr">
        <is>
          <t>Kinea Dakar Xp Seg Fic Rf Lp</t>
        </is>
      </c>
      <c r="C103" s="6" t="inlineStr">
        <is>
          <t>52.998.678/0001-09</t>
        </is>
      </c>
      <c r="D103" s="4" t="inlineStr">
        <is>
          <t>KINEA INVESTIMENTOS LTDA.</t>
        </is>
      </c>
      <c r="E103" s="4" t="inlineStr">
        <is>
          <t>08.604.187/0001-44</t>
        </is>
      </c>
      <c r="F103" s="4" t="inlineStr">
        <is>
          <t>Intrag DTVM</t>
        </is>
      </c>
      <c r="G103" s="4" t="inlineStr">
        <is>
          <t>Renda Fixa</t>
        </is>
      </c>
      <c r="H103" s="4" t="inlineStr">
        <is>
          <t>Renda Fixa Ativo</t>
        </is>
      </c>
      <c r="I103" s="7" t="n">
        <v>100</v>
      </c>
      <c r="J103" s="8" t="n">
        <v>0.9</v>
      </c>
      <c r="K103" s="8" t="n"/>
      <c r="L103" s="4" t="inlineStr"/>
      <c r="M103" s="5" t="n">
        <v>0</v>
      </c>
      <c r="N103" s="5" t="n">
        <v>1</v>
      </c>
      <c r="O103" s="5" t="n"/>
      <c r="P103" s="4" t="inlineStr"/>
      <c r="Q103" s="4" t="inlineStr">
        <is>
          <t>Não</t>
        </is>
      </c>
      <c r="R103" s="4" t="inlineStr">
        <is>
          <t>Site (navegador)</t>
        </is>
      </c>
      <c r="S103" s="4" t="n">
        <v>1</v>
      </c>
      <c r="T103" s="4" t="inlineStr">
        <is>
          <t>Não</t>
        </is>
      </c>
      <c r="U103" s="4" t="inlineStr">
        <is>
          <t>Sim</t>
        </is>
      </c>
      <c r="V103" s="4" t="inlineStr">
        <is>
          <t>Não</t>
        </is>
      </c>
      <c r="W103" s="4" t="inlineStr"/>
    </row>
    <row r="104">
      <c r="A104" s="4" t="inlineStr">
        <is>
          <t>XP Investimentos</t>
        </is>
      </c>
      <c r="B104" s="4" t="inlineStr">
        <is>
          <t>Kinea Prev Atlas XP Seg FIC FIM</t>
        </is>
      </c>
      <c r="C104" s="6" t="inlineStr">
        <is>
          <t>37.728.799/0001-47</t>
        </is>
      </c>
      <c r="D104" s="4" t="inlineStr">
        <is>
          <t>XP VIDA E PREVIDÊNCIA S.A.</t>
        </is>
      </c>
      <c r="E104" s="4" t="inlineStr">
        <is>
          <t>29.408.732/0001-05</t>
        </is>
      </c>
      <c r="F104" s="4" t="inlineStr">
        <is>
          <t>XPI Administradora - Modal</t>
        </is>
      </c>
      <c r="G104" s="4" t="inlineStr">
        <is>
          <t>Multimercado</t>
        </is>
      </c>
      <c r="H104" s="4" t="inlineStr">
        <is>
          <t>Macro Alta Vol</t>
        </is>
      </c>
      <c r="I104" s="7" t="n">
        <v>100</v>
      </c>
      <c r="J104" s="8" t="n">
        <v>2</v>
      </c>
      <c r="K104" s="8" t="n"/>
      <c r="L104" s="4" t="inlineStr"/>
      <c r="M104" s="5" t="n">
        <v>20</v>
      </c>
      <c r="N104" s="5" t="n">
        <v>1</v>
      </c>
      <c r="O104" s="5" t="n"/>
      <c r="P104" s="4" t="inlineStr"/>
      <c r="Q104" s="4" t="inlineStr">
        <is>
          <t>Não</t>
        </is>
      </c>
      <c r="R104" s="4" t="inlineStr">
        <is>
          <t>Site (navegador)</t>
        </is>
      </c>
      <c r="S104" s="4" t="n">
        <v>1</v>
      </c>
      <c r="T104" s="4" t="inlineStr">
        <is>
          <t>Não</t>
        </is>
      </c>
      <c r="U104" s="4" t="inlineStr">
        <is>
          <t>Sim</t>
        </is>
      </c>
      <c r="V104" s="4" t="inlineStr">
        <is>
          <t>Não</t>
        </is>
      </c>
      <c r="W104" s="4" t="inlineStr"/>
    </row>
    <row r="105">
      <c r="A105" s="4" t="inlineStr">
        <is>
          <t>XP Investimentos</t>
        </is>
      </c>
      <c r="B105" s="4" t="inlineStr">
        <is>
          <t>Kinea Prev Mont Blanc Xp Fif Cotas Rf Cp Rl</t>
        </is>
      </c>
      <c r="C105" s="6" t="inlineStr">
        <is>
          <t>61.182.246/0001-16</t>
        </is>
      </c>
      <c r="D105" s="4" t="inlineStr">
        <is>
          <t>KINEA INVESTIMENTOS LTDA.</t>
        </is>
      </c>
      <c r="E105" s="4" t="inlineStr">
        <is>
          <t>08.604.187/0001-44</t>
        </is>
      </c>
      <c r="F105" s="4" t="inlineStr">
        <is>
          <t>Intrag DTVM</t>
        </is>
      </c>
      <c r="G105" s="4" t="inlineStr">
        <is>
          <t>Renda Fixa</t>
        </is>
      </c>
      <c r="H105" s="4" t="inlineStr">
        <is>
          <t>Crédito High Grade</t>
        </is>
      </c>
      <c r="I105" s="7" t="n">
        <v>100</v>
      </c>
      <c r="J105" s="8" t="n">
        <v>1.2</v>
      </c>
      <c r="K105" s="8" t="n"/>
      <c r="L105" s="4" t="inlineStr"/>
      <c r="M105" s="5" t="n">
        <v>0</v>
      </c>
      <c r="N105" s="5" t="n">
        <v>1</v>
      </c>
      <c r="O105" s="5" t="n"/>
      <c r="P105" s="4" t="inlineStr"/>
      <c r="Q105" s="4" t="inlineStr">
        <is>
          <t>Não</t>
        </is>
      </c>
      <c r="R105" s="4" t="inlineStr">
        <is>
          <t>Site (navegador)</t>
        </is>
      </c>
      <c r="S105" s="4" t="n">
        <v>1</v>
      </c>
      <c r="T105" s="4" t="inlineStr">
        <is>
          <t>Não</t>
        </is>
      </c>
      <c r="U105" s="4" t="inlineStr">
        <is>
          <t>Sim</t>
        </is>
      </c>
      <c r="V105" s="4" t="inlineStr">
        <is>
          <t>Não</t>
        </is>
      </c>
      <c r="W105" s="4" t="inlineStr"/>
    </row>
    <row r="106">
      <c r="A106" s="4" t="inlineStr">
        <is>
          <t>XP Investimentos</t>
        </is>
      </c>
      <c r="B106" s="4" t="inlineStr">
        <is>
          <t>Kinea Prev XP Seg IPCA Dinâmico FICFI RF</t>
        </is>
      </c>
      <c r="C106" s="6" t="inlineStr">
        <is>
          <t>37.053.502/0001-90</t>
        </is>
      </c>
      <c r="D106" s="4" t="inlineStr">
        <is>
          <t>XP VIDA E PREVIDÊNCIA S.A.</t>
        </is>
      </c>
      <c r="E106" s="4" t="inlineStr">
        <is>
          <t>29.408.732/0001-05</t>
        </is>
      </c>
      <c r="F106" s="4" t="inlineStr">
        <is>
          <t>XPI Administradora - Modal</t>
        </is>
      </c>
      <c r="G106" s="4" t="inlineStr">
        <is>
          <t>Renda Fixa</t>
        </is>
      </c>
      <c r="H106" s="4" t="inlineStr">
        <is>
          <t>Renda Fixa Ativo</t>
        </is>
      </c>
      <c r="I106" s="7" t="n">
        <v>100</v>
      </c>
      <c r="J106" s="8" t="n">
        <v>1</v>
      </c>
      <c r="K106" s="8" t="n"/>
      <c r="L106" s="4" t="inlineStr"/>
      <c r="M106" s="5" t="n">
        <v>0</v>
      </c>
      <c r="N106" s="5" t="n">
        <v>1</v>
      </c>
      <c r="O106" s="5" t="n"/>
      <c r="P106" s="4" t="inlineStr"/>
      <c r="Q106" s="4" t="inlineStr">
        <is>
          <t>Não</t>
        </is>
      </c>
      <c r="R106" s="4" t="inlineStr">
        <is>
          <t>Site (navegador)</t>
        </is>
      </c>
      <c r="S106" s="4" t="n">
        <v>1</v>
      </c>
      <c r="T106" s="4" t="inlineStr">
        <is>
          <t>Não</t>
        </is>
      </c>
      <c r="U106" s="4" t="inlineStr">
        <is>
          <t>Sim</t>
        </is>
      </c>
      <c r="V106" s="4" t="inlineStr">
        <is>
          <t>Não</t>
        </is>
      </c>
      <c r="W106" s="4" t="inlineStr"/>
    </row>
    <row r="107">
      <c r="A107" s="4" t="inlineStr">
        <is>
          <t>XP Investimentos</t>
        </is>
      </c>
      <c r="B107" s="4" t="inlineStr">
        <is>
          <t>Kinea Xtr Xp Seg Prev Fic Fim</t>
        </is>
      </c>
      <c r="C107" s="6" t="inlineStr">
        <is>
          <t>32.864.403/0001-75</t>
        </is>
      </c>
      <c r="D107" s="4" t="inlineStr">
        <is>
          <t>XP VIDA E PREVIDÊNCIA S.A.</t>
        </is>
      </c>
      <c r="E107" s="4" t="inlineStr">
        <is>
          <t>29.408.732/0001-05</t>
        </is>
      </c>
      <c r="F107" s="4" t="inlineStr">
        <is>
          <t>XP Investimentos</t>
        </is>
      </c>
      <c r="G107" s="4" t="inlineStr">
        <is>
          <t>Multimercado</t>
        </is>
      </c>
      <c r="H107" s="4" t="inlineStr">
        <is>
          <t>Macro Média Vol</t>
        </is>
      </c>
      <c r="I107" s="7" t="n">
        <v>100</v>
      </c>
      <c r="J107" s="8" t="n">
        <v>1.5</v>
      </c>
      <c r="K107" s="8" t="n"/>
      <c r="L107" s="4" t="inlineStr"/>
      <c r="M107" s="5" t="n">
        <v>0</v>
      </c>
      <c r="N107" s="5" t="n">
        <v>1</v>
      </c>
      <c r="O107" s="5" t="n"/>
      <c r="P107" s="4" t="inlineStr"/>
      <c r="Q107" s="4" t="inlineStr">
        <is>
          <t>Não</t>
        </is>
      </c>
      <c r="R107" s="4" t="inlineStr">
        <is>
          <t>Site (navegador)</t>
        </is>
      </c>
      <c r="S107" s="4" t="n">
        <v>1</v>
      </c>
      <c r="T107" s="4" t="inlineStr">
        <is>
          <t>Não</t>
        </is>
      </c>
      <c r="U107" s="4" t="inlineStr">
        <is>
          <t>Sim</t>
        </is>
      </c>
      <c r="V107" s="4" t="inlineStr">
        <is>
          <t>Não</t>
        </is>
      </c>
      <c r="W107" s="4" t="inlineStr"/>
    </row>
    <row r="108">
      <c r="A108" s="4" t="inlineStr">
        <is>
          <t>XP Investimentos</t>
        </is>
      </c>
      <c r="B108" s="4" t="inlineStr">
        <is>
          <t>Kiron Prev XP Seg FIE FIA</t>
        </is>
      </c>
      <c r="C108" s="6" t="inlineStr">
        <is>
          <t>36.352.287/0001-66</t>
        </is>
      </c>
      <c r="D108" s="4" t="inlineStr">
        <is>
          <t>KIRON CAPITAL GESTÃO DE RECURSOS LTDA.</t>
        </is>
      </c>
      <c r="E108" s="4" t="inlineStr">
        <is>
          <t>22.688.191/0001-69</t>
        </is>
      </c>
      <c r="F108" s="4" t="inlineStr">
        <is>
          <t>BNY Mellon DTVM</t>
        </is>
      </c>
      <c r="G108" s="4" t="inlineStr">
        <is>
          <t>Ações</t>
        </is>
      </c>
      <c r="H108" s="4" t="inlineStr">
        <is>
          <t>Renda Variável Long Only</t>
        </is>
      </c>
      <c r="I108" s="7" t="n">
        <v>100</v>
      </c>
      <c r="J108" s="8" t="n">
        <v>2</v>
      </c>
      <c r="K108" s="8" t="n"/>
      <c r="L108" s="4" t="inlineStr"/>
      <c r="M108" s="5" t="n">
        <v>22</v>
      </c>
      <c r="N108" s="5" t="n">
        <v>2</v>
      </c>
      <c r="O108" s="5" t="n"/>
      <c r="P108" s="4" t="inlineStr"/>
      <c r="Q108" s="4" t="inlineStr">
        <is>
          <t>Não</t>
        </is>
      </c>
      <c r="R108" s="4" t="inlineStr">
        <is>
          <t>Site (navegador)</t>
        </is>
      </c>
      <c r="S108" s="4" t="n">
        <v>1</v>
      </c>
      <c r="T108" s="4" t="inlineStr">
        <is>
          <t>Não</t>
        </is>
      </c>
      <c r="U108" s="4" t="inlineStr">
        <is>
          <t>Sim</t>
        </is>
      </c>
      <c r="V108" s="4" t="inlineStr">
        <is>
          <t>Não</t>
        </is>
      </c>
      <c r="W108" s="4" t="inlineStr"/>
    </row>
    <row r="109">
      <c r="A109" s="4" t="inlineStr">
        <is>
          <t>XP Investimentos</t>
        </is>
      </c>
      <c r="B109" s="4" t="inlineStr">
        <is>
          <t>Leblon 100 XP Seg Prev FIM</t>
        </is>
      </c>
      <c r="C109" s="6" t="inlineStr">
        <is>
          <t>34.462.068/0001-04</t>
        </is>
      </c>
      <c r="D109" s="4" t="inlineStr">
        <is>
          <t>LEBLON EQUITIES GESTAO DE RECURSOS LTDA</t>
        </is>
      </c>
      <c r="E109" s="4" t="inlineStr">
        <is>
          <t>10.240.925/0001-63</t>
        </is>
      </c>
      <c r="F109" s="4" t="inlineStr">
        <is>
          <t>BNY Mellon DTVM</t>
        </is>
      </c>
      <c r="G109" s="4" t="inlineStr">
        <is>
          <t>Multimercado</t>
        </is>
      </c>
      <c r="H109" s="4" t="inlineStr">
        <is>
          <t>Renda Variável Long Only</t>
        </is>
      </c>
      <c r="I109" s="7" t="n">
        <v>100</v>
      </c>
      <c r="J109" s="8" t="n">
        <v>2</v>
      </c>
      <c r="K109" s="8" t="n"/>
      <c r="L109" s="4" t="inlineStr"/>
      <c r="M109" s="5" t="n">
        <v>28</v>
      </c>
      <c r="N109" s="5" t="n">
        <v>2</v>
      </c>
      <c r="O109" s="5" t="n"/>
      <c r="P109" s="4" t="inlineStr"/>
      <c r="Q109" s="4" t="inlineStr">
        <is>
          <t>Não</t>
        </is>
      </c>
      <c r="R109" s="4" t="inlineStr">
        <is>
          <t>Site (navegador)</t>
        </is>
      </c>
      <c r="S109" s="4" t="n">
        <v>1</v>
      </c>
      <c r="T109" s="4" t="inlineStr">
        <is>
          <t>Não</t>
        </is>
      </c>
      <c r="U109" s="4" t="inlineStr">
        <is>
          <t>Sim</t>
        </is>
      </c>
      <c r="V109" s="4" t="inlineStr">
        <is>
          <t>Não</t>
        </is>
      </c>
      <c r="W109" s="4" t="inlineStr"/>
    </row>
    <row r="110">
      <c r="A110" s="4" t="inlineStr">
        <is>
          <t>XP Investimentos</t>
        </is>
      </c>
      <c r="B110" s="4" t="inlineStr">
        <is>
          <t>Leblon 70 XP Seg Prev FIM</t>
        </is>
      </c>
      <c r="C110" s="6" t="inlineStr">
        <is>
          <t>27.793.095/0001-02</t>
        </is>
      </c>
      <c r="D110" s="4" t="inlineStr">
        <is>
          <t>LEBLON EQUITIES GESTAO DE RECURSOS LTDA</t>
        </is>
      </c>
      <c r="E110" s="4" t="inlineStr">
        <is>
          <t>10.240.925/0001-63</t>
        </is>
      </c>
      <c r="F110" s="4" t="inlineStr">
        <is>
          <t>BNY Mellon DTVM</t>
        </is>
      </c>
      <c r="G110" s="4" t="inlineStr">
        <is>
          <t>Multimercado</t>
        </is>
      </c>
      <c r="H110" s="4" t="inlineStr">
        <is>
          <t>Renda Variável Long Only</t>
        </is>
      </c>
      <c r="I110" s="7" t="n">
        <v>100</v>
      </c>
      <c r="J110" s="8" t="n">
        <v>2</v>
      </c>
      <c r="K110" s="8" t="n"/>
      <c r="L110" s="4" t="inlineStr"/>
      <c r="M110" s="5" t="n">
        <v>2</v>
      </c>
      <c r="N110" s="5" t="n">
        <v>2</v>
      </c>
      <c r="O110" s="5" t="n"/>
      <c r="P110" s="4" t="inlineStr"/>
      <c r="Q110" s="4" t="inlineStr">
        <is>
          <t>Não</t>
        </is>
      </c>
      <c r="R110" s="4" t="inlineStr">
        <is>
          <t>Site (navegador)</t>
        </is>
      </c>
      <c r="S110" s="4" t="n">
        <v>1</v>
      </c>
      <c r="T110" s="4" t="inlineStr">
        <is>
          <t>Não</t>
        </is>
      </c>
      <c r="U110" s="4" t="inlineStr">
        <is>
          <t>Sim</t>
        </is>
      </c>
      <c r="V110" s="4" t="inlineStr">
        <is>
          <t>Não</t>
        </is>
      </c>
      <c r="W110" s="4" t="inlineStr"/>
    </row>
    <row r="111">
      <c r="A111" s="4" t="inlineStr">
        <is>
          <t>XP Investimentos</t>
        </is>
      </c>
      <c r="B111" s="4" t="inlineStr">
        <is>
          <t>Legacy Capital Prev Advisory Ii Xp Seg Ficfim</t>
        </is>
      </c>
      <c r="C111" s="6" t="inlineStr">
        <is>
          <t>45.645.166/0001-01</t>
        </is>
      </c>
      <c r="D111" s="4" t="inlineStr">
        <is>
          <t>XP VIDA E PREVIDÊNCIA S.A.</t>
        </is>
      </c>
      <c r="E111" s="4" t="inlineStr">
        <is>
          <t>29.408.732/0001-05</t>
        </is>
      </c>
      <c r="F111" s="4" t="inlineStr">
        <is>
          <t>XP Investimentos</t>
        </is>
      </c>
      <c r="G111" s="4" t="inlineStr">
        <is>
          <t>Multimercado</t>
        </is>
      </c>
      <c r="H111" s="4" t="inlineStr">
        <is>
          <t>Macro Alta Vol</t>
        </is>
      </c>
      <c r="I111" s="7" t="n">
        <v>100</v>
      </c>
      <c r="J111" s="8" t="n">
        <v>2</v>
      </c>
      <c r="K111" s="8" t="n"/>
      <c r="L111" s="4" t="inlineStr"/>
      <c r="M111" s="5" t="n">
        <v>3</v>
      </c>
      <c r="N111" s="5" t="n">
        <v>1</v>
      </c>
      <c r="O111" s="5" t="n"/>
      <c r="P111" s="4" t="inlineStr"/>
      <c r="Q111" s="4" t="inlineStr">
        <is>
          <t>Não</t>
        </is>
      </c>
      <c r="R111" s="4" t="inlineStr">
        <is>
          <t>Site (navegador)</t>
        </is>
      </c>
      <c r="S111" s="4" t="n">
        <v>1</v>
      </c>
      <c r="T111" s="4" t="inlineStr">
        <is>
          <t>Não</t>
        </is>
      </c>
      <c r="U111" s="4" t="inlineStr">
        <is>
          <t>Sim</t>
        </is>
      </c>
      <c r="V111" s="4" t="inlineStr">
        <is>
          <t>Não</t>
        </is>
      </c>
      <c r="W111" s="4" t="inlineStr"/>
    </row>
    <row r="112">
      <c r="A112" s="4" t="inlineStr">
        <is>
          <t>XP Investimentos</t>
        </is>
      </c>
      <c r="B112" s="4" t="inlineStr">
        <is>
          <t>Legacy Crédito Prev Advisory XP Seg FIC FIRF CP</t>
        </is>
      </c>
      <c r="C112" s="6" t="inlineStr">
        <is>
          <t>42.195.844/0001-85</t>
        </is>
      </c>
      <c r="D112" s="4" t="inlineStr">
        <is>
          <t>LEGACY CAPITAL GESTORA DE RECURSOS LTDA.</t>
        </is>
      </c>
      <c r="E112" s="4" t="inlineStr">
        <is>
          <t>28.674.641/0001-40</t>
        </is>
      </c>
      <c r="F112" s="4" t="inlineStr">
        <is>
          <t>Intrag DTVM</t>
        </is>
      </c>
      <c r="G112" s="4" t="inlineStr">
        <is>
          <t>Renda Fixa</t>
        </is>
      </c>
      <c r="H112" s="4" t="inlineStr">
        <is>
          <t>Crédito Híbrido</t>
        </is>
      </c>
      <c r="I112" s="7" t="n">
        <v>100</v>
      </c>
      <c r="J112" s="8" t="n">
        <v>1</v>
      </c>
      <c r="K112" s="8" t="n"/>
      <c r="L112" s="4" t="inlineStr"/>
      <c r="M112" s="5" t="n">
        <v>5</v>
      </c>
      <c r="N112" s="5" t="n">
        <v>1</v>
      </c>
      <c r="O112" s="5" t="n"/>
      <c r="P112" s="4" t="inlineStr"/>
      <c r="Q112" s="4" t="inlineStr">
        <is>
          <t>Não</t>
        </is>
      </c>
      <c r="R112" s="4" t="inlineStr">
        <is>
          <t>Site (navegador)</t>
        </is>
      </c>
      <c r="S112" s="4" t="n">
        <v>1</v>
      </c>
      <c r="T112" s="4" t="inlineStr">
        <is>
          <t>Não</t>
        </is>
      </c>
      <c r="U112" s="4" t="inlineStr">
        <is>
          <t>Sim</t>
        </is>
      </c>
      <c r="V112" s="4" t="inlineStr">
        <is>
          <t>Não</t>
        </is>
      </c>
      <c r="W112" s="4" t="inlineStr"/>
    </row>
    <row r="113">
      <c r="A113" s="4" t="inlineStr">
        <is>
          <t>XP Investimentos</t>
        </is>
      </c>
      <c r="B113" s="4" t="inlineStr">
        <is>
          <t>Lis 100 Prev Xp Seguros Ficfim Rl</t>
        </is>
      </c>
      <c r="C113" s="6" t="inlineStr">
        <is>
          <t>47.033.051/0001-83</t>
        </is>
      </c>
      <c r="D113" s="4" t="inlineStr">
        <is>
          <t>XP VIDA E PREVIDÊNCIA S.A.</t>
        </is>
      </c>
      <c r="E113" s="4" t="inlineStr">
        <is>
          <t>29.408.732/0001-05</t>
        </is>
      </c>
      <c r="F113" s="4" t="inlineStr">
        <is>
          <t>XP Investimentos</t>
        </is>
      </c>
      <c r="G113" s="4" t="inlineStr">
        <is>
          <t>Multimercado</t>
        </is>
      </c>
      <c r="H113" s="4" t="inlineStr">
        <is>
          <t>Renda Variável Small/Mid Caps</t>
        </is>
      </c>
      <c r="I113" s="7" t="n">
        <v>100</v>
      </c>
      <c r="J113" s="8" t="n">
        <v>2</v>
      </c>
      <c r="K113" s="8" t="n"/>
      <c r="L113" s="4" t="inlineStr"/>
      <c r="M113" s="5" t="n">
        <v>30</v>
      </c>
      <c r="N113" s="5" t="n">
        <v>2</v>
      </c>
      <c r="O113" s="5" t="n"/>
      <c r="P113" s="4" t="inlineStr"/>
      <c r="Q113" s="4" t="inlineStr">
        <is>
          <t>Não</t>
        </is>
      </c>
      <c r="R113" s="4" t="inlineStr">
        <is>
          <t>Site (navegador)</t>
        </is>
      </c>
      <c r="S113" s="4" t="n">
        <v>1</v>
      </c>
      <c r="T113" s="4" t="inlineStr">
        <is>
          <t>Não</t>
        </is>
      </c>
      <c r="U113" s="4" t="inlineStr">
        <is>
          <t>Sim</t>
        </is>
      </c>
      <c r="V113" s="4" t="inlineStr">
        <is>
          <t>Não</t>
        </is>
      </c>
      <c r="W113" s="4" t="inlineStr"/>
    </row>
    <row r="114">
      <c r="A114" s="4" t="inlineStr">
        <is>
          <t>XP Investimentos</t>
        </is>
      </c>
      <c r="B114" s="4" t="inlineStr">
        <is>
          <t>Lis 70 Xp Seg Prev Ficfim Rl</t>
        </is>
      </c>
      <c r="C114" s="6" t="inlineStr">
        <is>
          <t>43.860.692/0001-50</t>
        </is>
      </c>
      <c r="D114" s="4" t="inlineStr">
        <is>
          <t>XP Vida e Previdência</t>
        </is>
      </c>
      <c r="E114" s="4" t="inlineStr"/>
      <c r="F114" s="4" t="inlineStr">
        <is>
          <t>XP Investimentos</t>
        </is>
      </c>
      <c r="G114" s="4" t="inlineStr">
        <is>
          <t>Multimercado</t>
        </is>
      </c>
      <c r="H114" s="4" t="inlineStr">
        <is>
          <t>Renda Variável Small/Mid Caps</t>
        </is>
      </c>
      <c r="I114" s="7" t="n">
        <v>100</v>
      </c>
      <c r="J114" s="8" t="n">
        <v>2</v>
      </c>
      <c r="K114" s="8" t="n"/>
      <c r="L114" s="4" t="inlineStr"/>
      <c r="M114" s="5" t="n">
        <v>7</v>
      </c>
      <c r="N114" s="5" t="n">
        <v>2</v>
      </c>
      <c r="O114" s="5" t="n"/>
      <c r="P114" s="4" t="inlineStr"/>
      <c r="Q114" s="4" t="inlineStr">
        <is>
          <t>Sim</t>
        </is>
      </c>
      <c r="R114" s="4" t="inlineStr">
        <is>
          <t>Site (navegador)</t>
        </is>
      </c>
      <c r="S114" s="4" t="n">
        <v>1</v>
      </c>
      <c r="T114" s="4" t="inlineStr">
        <is>
          <t>Não</t>
        </is>
      </c>
      <c r="U114" s="4" t="inlineStr">
        <is>
          <t>Sim</t>
        </is>
      </c>
      <c r="V114" s="4" t="inlineStr">
        <is>
          <t>Não</t>
        </is>
      </c>
      <c r="W114" s="4" t="inlineStr"/>
    </row>
    <row r="115">
      <c r="A115" s="4" t="inlineStr">
        <is>
          <t>XP Investimentos</t>
        </is>
      </c>
      <c r="B115" s="4" t="inlineStr">
        <is>
          <t>M Global 40 Xp Seg Prev Fic Fim Rl</t>
        </is>
      </c>
      <c r="C115" s="6" t="inlineStr">
        <is>
          <t>40.682.081/0001-71</t>
        </is>
      </c>
      <c r="D115" s="4" t="inlineStr">
        <is>
          <t>XP ALLOCATION ASSET MANAGEMENT LTDA</t>
        </is>
      </c>
      <c r="E115" s="4" t="inlineStr">
        <is>
          <t>37.918.829/0001-88</t>
        </is>
      </c>
      <c r="F115" s="4" t="inlineStr">
        <is>
          <t>XP Investimentos</t>
        </is>
      </c>
      <c r="G115" s="4" t="inlineStr">
        <is>
          <t>Multimercado</t>
        </is>
      </c>
      <c r="H115" s="4" t="inlineStr">
        <is>
          <t>Internacional Ações Não Hedgeado</t>
        </is>
      </c>
      <c r="I115" s="7" t="n">
        <v>100</v>
      </c>
      <c r="J115" s="8" t="n">
        <v>0.9399999999999999</v>
      </c>
      <c r="K115" s="8" t="n"/>
      <c r="L115" s="4" t="inlineStr"/>
      <c r="M115" s="5" t="n">
        <v>3</v>
      </c>
      <c r="N115" s="5" t="n">
        <v>3</v>
      </c>
      <c r="O115" s="5" t="n"/>
      <c r="P115" s="4" t="inlineStr"/>
      <c r="Q115" s="4" t="inlineStr">
        <is>
          <t>Não</t>
        </is>
      </c>
      <c r="R115" s="4" t="inlineStr">
        <is>
          <t>Site (navegador)</t>
        </is>
      </c>
      <c r="S115" s="4" t="n">
        <v>1</v>
      </c>
      <c r="T115" s="4" t="inlineStr">
        <is>
          <t>Não</t>
        </is>
      </c>
      <c r="U115" s="4" t="inlineStr">
        <is>
          <t>Sim</t>
        </is>
      </c>
      <c r="V115" s="4" t="inlineStr">
        <is>
          <t>Não</t>
        </is>
      </c>
      <c r="W115" s="4" t="inlineStr"/>
    </row>
    <row r="116">
      <c r="A116" s="4" t="inlineStr">
        <is>
          <t>XP Investimentos</t>
        </is>
      </c>
      <c r="B116" s="4" t="inlineStr">
        <is>
          <t>M8 Capital XP Seg Previdência FIC FIRF CP RL</t>
        </is>
      </c>
      <c r="C116" s="6" t="inlineStr">
        <is>
          <t>61.539.506/0001-68</t>
        </is>
      </c>
      <c r="D116" s="4" t="inlineStr">
        <is>
          <t>M8 PARTNERS GESTORA DE RECURSOS LTDA.</t>
        </is>
      </c>
      <c r="E116" s="4" t="inlineStr">
        <is>
          <t>18.038.439/0001-79</t>
        </is>
      </c>
      <c r="F116" s="4" t="inlineStr">
        <is>
          <t>BTG Pactual DTVM</t>
        </is>
      </c>
      <c r="G116" s="4" t="inlineStr">
        <is>
          <t>Renda Fixa</t>
        </is>
      </c>
      <c r="H116" s="4" t="inlineStr">
        <is>
          <t>Crédito High Yield</t>
        </is>
      </c>
      <c r="I116" s="7" t="n">
        <v>100</v>
      </c>
      <c r="J116" s="8" t="n">
        <v>1</v>
      </c>
      <c r="K116" s="8" t="n"/>
      <c r="L116" s="4" t="inlineStr"/>
      <c r="M116" s="5" t="n">
        <v>7</v>
      </c>
      <c r="N116" s="5" t="n">
        <v>2</v>
      </c>
      <c r="O116" s="5" t="n"/>
      <c r="P116" s="4" t="inlineStr"/>
      <c r="Q116" s="4" t="inlineStr">
        <is>
          <t>Não</t>
        </is>
      </c>
      <c r="R116" s="4" t="inlineStr">
        <is>
          <t>Site (navegador)</t>
        </is>
      </c>
      <c r="S116" s="4" t="n">
        <v>1</v>
      </c>
      <c r="T116" s="4" t="inlineStr">
        <is>
          <t>Não</t>
        </is>
      </c>
      <c r="U116" s="4" t="inlineStr">
        <is>
          <t>Sim</t>
        </is>
      </c>
      <c r="V116" s="4" t="inlineStr">
        <is>
          <t>Não</t>
        </is>
      </c>
      <c r="W116" s="4" t="inlineStr"/>
    </row>
    <row r="117">
      <c r="A117" s="4" t="inlineStr">
        <is>
          <t>XP Investimentos</t>
        </is>
      </c>
      <c r="B117" s="4" t="inlineStr">
        <is>
          <t>MAG Prev XP Seg Advisory FIRF CP</t>
        </is>
      </c>
      <c r="C117" s="6" t="inlineStr">
        <is>
          <t>32.385.140/0001-11</t>
        </is>
      </c>
      <c r="D117" s="4" t="inlineStr">
        <is>
          <t>MONGERAL AEGON INVESTIMENTOS LTDA</t>
        </is>
      </c>
      <c r="E117" s="4" t="inlineStr">
        <is>
          <t>16.500.294/0001-50</t>
        </is>
      </c>
      <c r="F117" s="4" t="inlineStr">
        <is>
          <t>BNY Mellon DTVM</t>
        </is>
      </c>
      <c r="G117" s="4" t="inlineStr">
        <is>
          <t>Renda Fixa</t>
        </is>
      </c>
      <c r="H117" s="4" t="inlineStr">
        <is>
          <t>Crédito High Grade</t>
        </is>
      </c>
      <c r="I117" s="7" t="n">
        <v>100</v>
      </c>
      <c r="J117" s="8" t="n">
        <v>0.95</v>
      </c>
      <c r="K117" s="8" t="n"/>
      <c r="L117" s="4" t="inlineStr"/>
      <c r="M117" s="5" t="n">
        <v>1</v>
      </c>
      <c r="N117" s="5" t="n">
        <v>1</v>
      </c>
      <c r="O117" s="5" t="n"/>
      <c r="P117" s="4" t="inlineStr"/>
      <c r="Q117" s="4" t="inlineStr">
        <is>
          <t>Não</t>
        </is>
      </c>
      <c r="R117" s="4" t="inlineStr">
        <is>
          <t>Site (navegador)</t>
        </is>
      </c>
      <c r="S117" s="4" t="n">
        <v>1</v>
      </c>
      <c r="T117" s="4" t="inlineStr">
        <is>
          <t>Não</t>
        </is>
      </c>
      <c r="U117" s="4" t="inlineStr">
        <is>
          <t>Sim</t>
        </is>
      </c>
      <c r="V117" s="4" t="inlineStr">
        <is>
          <t>Não</t>
        </is>
      </c>
      <c r="W117" s="4" t="inlineStr"/>
    </row>
    <row r="118">
      <c r="A118" s="4" t="inlineStr">
        <is>
          <t>XP Investimentos</t>
        </is>
      </c>
      <c r="B118" s="4" t="inlineStr">
        <is>
          <t>Mag Cash Xp Seg Prev Ficfirf Rl</t>
        </is>
      </c>
      <c r="C118" s="6" t="inlineStr">
        <is>
          <t>58.543.779/0001-71</t>
        </is>
      </c>
      <c r="D118" s="4" t="inlineStr">
        <is>
          <t>MONGERAL AEGON INVESTIMENTOS LTDA</t>
        </is>
      </c>
      <c r="E118" s="4" t="inlineStr">
        <is>
          <t>16.500.294/0001-50</t>
        </is>
      </c>
      <c r="F118" s="4" t="inlineStr">
        <is>
          <t>BNY Mellon DTVM</t>
        </is>
      </c>
      <c r="G118" s="4" t="inlineStr">
        <is>
          <t>Renda Fixa</t>
        </is>
      </c>
      <c r="H118" s="4" t="inlineStr">
        <is>
          <t>Crédito Liquidez</t>
        </is>
      </c>
      <c r="I118" s="7" t="n">
        <v>100</v>
      </c>
      <c r="J118" s="8" t="n">
        <v>0.8</v>
      </c>
      <c r="K118" s="8" t="n"/>
      <c r="L118" s="4" t="inlineStr"/>
      <c r="M118" s="5" t="n">
        <v>0</v>
      </c>
      <c r="N118" s="5" t="n">
        <v>1</v>
      </c>
      <c r="O118" s="5" t="n"/>
      <c r="P118" s="4" t="inlineStr"/>
      <c r="Q118" s="4" t="inlineStr">
        <is>
          <t>Sim</t>
        </is>
      </c>
      <c r="R118" s="4" t="inlineStr">
        <is>
          <t>Site (navegador)</t>
        </is>
      </c>
      <c r="S118" s="4" t="n">
        <v>1</v>
      </c>
      <c r="T118" s="4" t="inlineStr">
        <is>
          <t>Não</t>
        </is>
      </c>
      <c r="U118" s="4" t="inlineStr">
        <is>
          <t>Sim</t>
        </is>
      </c>
      <c r="V118" s="4" t="inlineStr">
        <is>
          <t>Não</t>
        </is>
      </c>
      <c r="W118" s="4" t="inlineStr"/>
    </row>
    <row r="119">
      <c r="A119" s="4" t="inlineStr">
        <is>
          <t>XP Investimentos</t>
        </is>
      </c>
      <c r="B119" s="4" t="inlineStr">
        <is>
          <t>Mag Prev Rf Fic Fim</t>
        </is>
      </c>
      <c r="C119" s="6" t="inlineStr">
        <is>
          <t>45.645.112/0001-38</t>
        </is>
      </c>
      <c r="D119" s="4" t="inlineStr">
        <is>
          <t>XP VIDA E PREVIDÊNCIA S.A.</t>
        </is>
      </c>
      <c r="E119" s="4" t="inlineStr">
        <is>
          <t>29.408.732/0001-05</t>
        </is>
      </c>
      <c r="F119" s="4" t="inlineStr">
        <is>
          <t>XPI Administradora - Modal</t>
        </is>
      </c>
      <c r="G119" s="4" t="inlineStr">
        <is>
          <t>Multimercado</t>
        </is>
      </c>
      <c r="H119" s="4" t="inlineStr">
        <is>
          <t>Renda Fixa Ativo</t>
        </is>
      </c>
      <c r="I119" s="7" t="n">
        <v>100</v>
      </c>
      <c r="J119" s="8" t="n">
        <v>0.7</v>
      </c>
      <c r="K119" s="8" t="n"/>
      <c r="L119" s="4" t="inlineStr"/>
      <c r="M119" s="5" t="n">
        <v>0</v>
      </c>
      <c r="N119" s="5" t="n">
        <v>1</v>
      </c>
      <c r="O119" s="5" t="n"/>
      <c r="P119" s="4" t="inlineStr"/>
      <c r="Q119" s="4" t="inlineStr">
        <is>
          <t>Não</t>
        </is>
      </c>
      <c r="R119" s="4" t="inlineStr">
        <is>
          <t>Site (navegador)</t>
        </is>
      </c>
      <c r="S119" s="4" t="n">
        <v>1</v>
      </c>
      <c r="T119" s="4" t="inlineStr">
        <is>
          <t>Não</t>
        </is>
      </c>
      <c r="U119" s="4" t="inlineStr">
        <is>
          <t>Sim</t>
        </is>
      </c>
      <c r="V119" s="4" t="inlineStr">
        <is>
          <t>Não</t>
        </is>
      </c>
      <c r="W119" s="4" t="inlineStr"/>
    </row>
    <row r="120">
      <c r="A120" s="4" t="inlineStr">
        <is>
          <t>XP Investimentos</t>
        </is>
      </c>
      <c r="B120" s="4" t="inlineStr">
        <is>
          <t>Mantaro LB Prev Advisory XP Seg FIC FIM</t>
        </is>
      </c>
      <c r="C120" s="6" t="inlineStr">
        <is>
          <t>36.327.253/0001-11</t>
        </is>
      </c>
      <c r="D120" s="4" t="inlineStr">
        <is>
          <t>MANTARO CAPITAL LTDA</t>
        </is>
      </c>
      <c r="E120" s="4" t="inlineStr">
        <is>
          <t>43.353.050/0001-65</t>
        </is>
      </c>
      <c r="F120" s="4" t="inlineStr">
        <is>
          <t>BTG Pactual DTVM</t>
        </is>
      </c>
      <c r="G120" s="4" t="inlineStr">
        <is>
          <t>Multimercado</t>
        </is>
      </c>
      <c r="H120" s="4" t="inlineStr">
        <is>
          <t>Renda Variável Long Biased</t>
        </is>
      </c>
      <c r="I120" s="7" t="n">
        <v>100</v>
      </c>
      <c r="J120" s="8" t="n">
        <v>2</v>
      </c>
      <c r="K120" s="8" t="n"/>
      <c r="L120" s="4" t="inlineStr"/>
      <c r="M120" s="5" t="n">
        <v>15</v>
      </c>
      <c r="N120" s="5" t="n">
        <v>2</v>
      </c>
      <c r="O120" s="5" t="n"/>
      <c r="P120" s="4" t="inlineStr"/>
      <c r="Q120" s="4" t="inlineStr">
        <is>
          <t>Não</t>
        </is>
      </c>
      <c r="R120" s="4" t="inlineStr">
        <is>
          <t>Site (navegador)</t>
        </is>
      </c>
      <c r="S120" s="4" t="n">
        <v>1</v>
      </c>
      <c r="T120" s="4" t="inlineStr">
        <is>
          <t>Não</t>
        </is>
      </c>
      <c r="U120" s="4" t="inlineStr">
        <is>
          <t>Sim</t>
        </is>
      </c>
      <c r="V120" s="4" t="inlineStr">
        <is>
          <t>Não</t>
        </is>
      </c>
      <c r="W120" s="4" t="inlineStr"/>
    </row>
    <row r="121">
      <c r="A121" s="4" t="inlineStr">
        <is>
          <t>XP Investimentos</t>
        </is>
      </c>
      <c r="B121" s="4" t="inlineStr">
        <is>
          <t>Mapfre Confianza XP Seg FIC FIF RF RL</t>
        </is>
      </c>
      <c r="C121" s="6" t="inlineStr">
        <is>
          <t>56.385.272/0001-01</t>
        </is>
      </c>
      <c r="D121" s="4" t="inlineStr">
        <is>
          <t>MAPFRE INVESTIMENTOS LTDA.</t>
        </is>
      </c>
      <c r="E121" s="4" t="inlineStr">
        <is>
          <t>04.160.039/0001-27</t>
        </is>
      </c>
      <c r="F121" s="4" t="inlineStr">
        <is>
          <t>BNY Mellon DTVM</t>
        </is>
      </c>
      <c r="G121" s="4" t="inlineStr">
        <is>
          <t>Renda Fixa</t>
        </is>
      </c>
      <c r="H121" s="4" t="inlineStr">
        <is>
          <t>Crédito Liquidez</t>
        </is>
      </c>
      <c r="I121" s="7" t="n">
        <v>100</v>
      </c>
      <c r="J121" s="8" t="n">
        <v>0.45</v>
      </c>
      <c r="K121" s="8" t="n"/>
      <c r="L121" s="4" t="inlineStr"/>
      <c r="M121" s="5" t="n">
        <v>0</v>
      </c>
      <c r="N121" s="5" t="n">
        <v>0</v>
      </c>
      <c r="O121" s="5" t="n"/>
      <c r="P121" s="4" t="inlineStr"/>
      <c r="Q121" s="4" t="inlineStr">
        <is>
          <t>Não</t>
        </is>
      </c>
      <c r="R121" s="4" t="inlineStr">
        <is>
          <t>Site (navegador)</t>
        </is>
      </c>
      <c r="S121" s="4" t="n">
        <v>1</v>
      </c>
      <c r="T121" s="4" t="inlineStr">
        <is>
          <t>Não</t>
        </is>
      </c>
      <c r="U121" s="4" t="inlineStr">
        <is>
          <t>Sim</t>
        </is>
      </c>
      <c r="V121" s="4" t="inlineStr">
        <is>
          <t>Não</t>
        </is>
      </c>
      <c r="W121" s="4" t="inlineStr"/>
    </row>
    <row r="122">
      <c r="A122" s="4" t="inlineStr">
        <is>
          <t>XP Investimentos</t>
        </is>
      </c>
      <c r="B122" s="4" t="inlineStr">
        <is>
          <t>Miles Virtus Advisory XP Seg Prev FIC FIA</t>
        </is>
      </c>
      <c r="C122" s="6" t="inlineStr">
        <is>
          <t>34.475.121/0001-01</t>
        </is>
      </c>
      <c r="D122" s="4" t="inlineStr">
        <is>
          <t>Miles Capital</t>
        </is>
      </c>
      <c r="E122" s="4" t="inlineStr"/>
      <c r="F122" s="4" t="inlineStr">
        <is>
          <t>BNY Mellon DTVM</t>
        </is>
      </c>
      <c r="G122" s="4" t="inlineStr">
        <is>
          <t>Ações</t>
        </is>
      </c>
      <c r="H122" s="4" t="inlineStr">
        <is>
          <t>Renda Variável Long Only</t>
        </is>
      </c>
      <c r="I122" s="7" t="n">
        <v>100</v>
      </c>
      <c r="J122" s="8" t="n">
        <v>2</v>
      </c>
      <c r="K122" s="8" t="n"/>
      <c r="L122" s="4" t="inlineStr"/>
      <c r="M122" s="5" t="n">
        <v>2</v>
      </c>
      <c r="N122" s="5" t="n">
        <v>2</v>
      </c>
      <c r="O122" s="5" t="n"/>
      <c r="P122" s="4" t="inlineStr"/>
      <c r="Q122" s="4" t="inlineStr">
        <is>
          <t>Sim</t>
        </is>
      </c>
      <c r="R122" s="4" t="inlineStr">
        <is>
          <t>Site (navegador)</t>
        </is>
      </c>
      <c r="S122" s="4" t="n">
        <v>1</v>
      </c>
      <c r="T122" s="4" t="inlineStr">
        <is>
          <t>Não</t>
        </is>
      </c>
      <c r="U122" s="4" t="inlineStr">
        <is>
          <t>Sim</t>
        </is>
      </c>
      <c r="V122" s="4" t="inlineStr">
        <is>
          <t>Não</t>
        </is>
      </c>
      <c r="W122" s="4" t="inlineStr"/>
    </row>
    <row r="123">
      <c r="A123" s="4" t="inlineStr">
        <is>
          <t>XP Investimentos</t>
        </is>
      </c>
      <c r="B123" s="4" t="inlineStr">
        <is>
          <t>Moat Prev XP Seg FICFIA</t>
        </is>
      </c>
      <c r="C123" s="6" t="inlineStr">
        <is>
          <t>37.037.432/0001-87</t>
        </is>
      </c>
      <c r="D123" s="4" t="inlineStr">
        <is>
          <t>MOAT CAPITAL GESTÃO DE RECURSOS LTDA</t>
        </is>
      </c>
      <c r="E123" s="4" t="inlineStr">
        <is>
          <t>18.730.786/0001-68</t>
        </is>
      </c>
      <c r="F123" s="4" t="inlineStr">
        <is>
          <t>Intrag DTVM</t>
        </is>
      </c>
      <c r="G123" s="4" t="inlineStr">
        <is>
          <t>Ações</t>
        </is>
      </c>
      <c r="H123" s="4" t="inlineStr">
        <is>
          <t>Renda Variável Long Only</t>
        </is>
      </c>
      <c r="I123" s="7" t="n">
        <v>100</v>
      </c>
      <c r="J123" s="8" t="n">
        <v>2</v>
      </c>
      <c r="K123" s="8" t="n"/>
      <c r="L123" s="4" t="inlineStr"/>
      <c r="M123" s="5" t="n">
        <v>15</v>
      </c>
      <c r="N123" s="5" t="n">
        <v>2</v>
      </c>
      <c r="O123" s="5" t="n"/>
      <c r="P123" s="4" t="inlineStr"/>
      <c r="Q123" s="4" t="inlineStr">
        <is>
          <t>Não</t>
        </is>
      </c>
      <c r="R123" s="4" t="inlineStr">
        <is>
          <t>Site (navegador)</t>
        </is>
      </c>
      <c r="S123" s="4" t="n">
        <v>1</v>
      </c>
      <c r="T123" s="4" t="inlineStr">
        <is>
          <t>Não</t>
        </is>
      </c>
      <c r="U123" s="4" t="inlineStr">
        <is>
          <t>Sim</t>
        </is>
      </c>
      <c r="V123" s="4" t="inlineStr">
        <is>
          <t>Não</t>
        </is>
      </c>
      <c r="W123" s="4" t="inlineStr"/>
    </row>
    <row r="124">
      <c r="A124" s="4" t="inlineStr">
        <is>
          <t>XP Investimentos</t>
        </is>
      </c>
      <c r="B124" s="4" t="inlineStr">
        <is>
          <t>Neo Navitas Prev XP Seg FICFIA</t>
        </is>
      </c>
      <c r="C124" s="6" t="inlineStr">
        <is>
          <t>41.081.187/0001-82</t>
        </is>
      </c>
      <c r="D124" s="4" t="inlineStr">
        <is>
          <t>NEO Investimentos</t>
        </is>
      </c>
      <c r="E124" s="4" t="inlineStr"/>
      <c r="F124" s="4" t="inlineStr">
        <is>
          <t>Intrag DTVM</t>
        </is>
      </c>
      <c r="G124" s="4" t="inlineStr">
        <is>
          <t>Ações</t>
        </is>
      </c>
      <c r="H124" s="4" t="inlineStr">
        <is>
          <t>Renda Variável Long Only</t>
        </is>
      </c>
      <c r="I124" s="7" t="n">
        <v>100</v>
      </c>
      <c r="J124" s="8" t="n">
        <v>2</v>
      </c>
      <c r="K124" s="8" t="n"/>
      <c r="L124" s="4" t="inlineStr"/>
      <c r="M124" s="5" t="n">
        <v>22</v>
      </c>
      <c r="N124" s="5" t="n">
        <v>2</v>
      </c>
      <c r="O124" s="5" t="n"/>
      <c r="P124" s="4" t="inlineStr"/>
      <c r="Q124" s="4" t="inlineStr">
        <is>
          <t>Sim</t>
        </is>
      </c>
      <c r="R124" s="4" t="inlineStr">
        <is>
          <t>Site (navegador)</t>
        </is>
      </c>
      <c r="S124" s="4" t="n">
        <v>1</v>
      </c>
      <c r="T124" s="4" t="inlineStr">
        <is>
          <t>Não</t>
        </is>
      </c>
      <c r="U124" s="4" t="inlineStr">
        <is>
          <t>Sim</t>
        </is>
      </c>
      <c r="V124" s="4" t="inlineStr">
        <is>
          <t>Não</t>
        </is>
      </c>
      <c r="W124" s="4" t="inlineStr"/>
    </row>
    <row r="125">
      <c r="A125" s="4" t="inlineStr">
        <is>
          <t>XP Investimentos</t>
        </is>
      </c>
      <c r="B125" s="4" t="inlineStr">
        <is>
          <t>Novus Bolsa Macro Global Prev Xp Seg Ficfia</t>
        </is>
      </c>
      <c r="C125" s="6" t="inlineStr">
        <is>
          <t>38.035.023/0001-04</t>
        </is>
      </c>
      <c r="D125" s="4" t="inlineStr">
        <is>
          <t>NOVUS CAPITAL GESTORA DE RECURSOS LTDA.</t>
        </is>
      </c>
      <c r="E125" s="4" t="inlineStr">
        <is>
          <t>15.388.425/0001-97</t>
        </is>
      </c>
      <c r="F125" s="4" t="inlineStr">
        <is>
          <t>Intrag DTVM</t>
        </is>
      </c>
      <c r="G125" s="4" t="inlineStr">
        <is>
          <t>Ações</t>
        </is>
      </c>
      <c r="H125" s="4" t="inlineStr">
        <is>
          <t>Renda Variável Long Biased</t>
        </is>
      </c>
      <c r="I125" s="7" t="n">
        <v>100</v>
      </c>
      <c r="J125" s="8" t="n">
        <v>2</v>
      </c>
      <c r="K125" s="8" t="n"/>
      <c r="L125" s="4" t="inlineStr"/>
      <c r="M125" s="5" t="n">
        <v>21</v>
      </c>
      <c r="N125" s="5" t="n">
        <v>2</v>
      </c>
      <c r="O125" s="5" t="n"/>
      <c r="P125" s="4" t="inlineStr"/>
      <c r="Q125" s="4" t="inlineStr">
        <is>
          <t>Sim</t>
        </is>
      </c>
      <c r="R125" s="4" t="inlineStr">
        <is>
          <t>Site (navegador)</t>
        </is>
      </c>
      <c r="S125" s="4" t="n">
        <v>1</v>
      </c>
      <c r="T125" s="4" t="inlineStr">
        <is>
          <t>Não</t>
        </is>
      </c>
      <c r="U125" s="4" t="inlineStr">
        <is>
          <t>Sim</t>
        </is>
      </c>
      <c r="V125" s="4" t="inlineStr">
        <is>
          <t>Não</t>
        </is>
      </c>
      <c r="W125" s="4" t="inlineStr"/>
    </row>
    <row r="126">
      <c r="A126" s="4" t="inlineStr">
        <is>
          <t>XP Investimentos</t>
        </is>
      </c>
      <c r="B126" s="4" t="inlineStr">
        <is>
          <t>Novus Crédito Previdência Xp Fif Em Cotas Fim Cp Rl</t>
        </is>
      </c>
      <c r="C126" s="6" t="inlineStr">
        <is>
          <t>60.818.157/0001-50</t>
        </is>
      </c>
      <c r="D126" s="4" t="inlineStr">
        <is>
          <t>NOVUS CREDITO GESTAO DE RECURSOS LTDA</t>
        </is>
      </c>
      <c r="E126" s="4" t="inlineStr">
        <is>
          <t>42.524.344/0001-40</t>
        </is>
      </c>
      <c r="F126" s="4" t="inlineStr">
        <is>
          <t>BTG Pactual DTVM</t>
        </is>
      </c>
      <c r="G126" s="4" t="inlineStr">
        <is>
          <t>Multimercado</t>
        </is>
      </c>
      <c r="H126" s="4" t="inlineStr">
        <is>
          <t>Crédito High Grade</t>
        </is>
      </c>
      <c r="I126" s="7" t="n">
        <v>100</v>
      </c>
      <c r="J126" s="8" t="n">
        <v>0.9</v>
      </c>
      <c r="K126" s="8" t="n"/>
      <c r="L126" s="4" t="inlineStr"/>
      <c r="M126" s="5" t="n">
        <v>22</v>
      </c>
      <c r="N126" s="5" t="n">
        <v>1</v>
      </c>
      <c r="O126" s="5" t="n"/>
      <c r="P126" s="4" t="inlineStr"/>
      <c r="Q126" s="4" t="inlineStr">
        <is>
          <t>Sim</t>
        </is>
      </c>
      <c r="R126" s="4" t="inlineStr">
        <is>
          <t>Site (navegador)</t>
        </is>
      </c>
      <c r="S126" s="4" t="n">
        <v>1</v>
      </c>
      <c r="T126" s="4" t="inlineStr">
        <is>
          <t>Não</t>
        </is>
      </c>
      <c r="U126" s="4" t="inlineStr">
        <is>
          <t>Sim</t>
        </is>
      </c>
      <c r="V126" s="4" t="inlineStr">
        <is>
          <t>Não</t>
        </is>
      </c>
      <c r="W126" s="4" t="inlineStr"/>
    </row>
    <row r="127">
      <c r="A127" s="4" t="inlineStr">
        <is>
          <t>XP Investimentos</t>
        </is>
      </c>
      <c r="B127" s="4" t="inlineStr">
        <is>
          <t>Occam Liquidez Prev Xp Seg Fic Fim</t>
        </is>
      </c>
      <c r="C127" s="6" t="inlineStr">
        <is>
          <t>40.780.979/0001-82</t>
        </is>
      </c>
      <c r="D127" s="4" t="inlineStr">
        <is>
          <t>XP VIDA E PREVIDÊNCIA S.A.</t>
        </is>
      </c>
      <c r="E127" s="4" t="inlineStr">
        <is>
          <t>29.408.732/0001-05</t>
        </is>
      </c>
      <c r="F127" s="4" t="inlineStr">
        <is>
          <t>XPI Administradora</t>
        </is>
      </c>
      <c r="G127" s="4" t="inlineStr">
        <is>
          <t>Multimercado</t>
        </is>
      </c>
      <c r="H127" s="4" t="inlineStr">
        <is>
          <t>Macro Baixa Vol</t>
        </is>
      </c>
      <c r="I127" s="7" t="n">
        <v>100</v>
      </c>
      <c r="J127" s="8" t="n">
        <v>1.15</v>
      </c>
      <c r="K127" s="8" t="n"/>
      <c r="L127" s="4" t="inlineStr"/>
      <c r="M127" s="5" t="n">
        <v>0</v>
      </c>
      <c r="N127" s="5" t="n">
        <v>1</v>
      </c>
      <c r="O127" s="5" t="n"/>
      <c r="P127" s="4" t="inlineStr"/>
      <c r="Q127" s="4" t="inlineStr">
        <is>
          <t>Não</t>
        </is>
      </c>
      <c r="R127" s="4" t="inlineStr">
        <is>
          <t>Site (navegador)</t>
        </is>
      </c>
      <c r="S127" s="4" t="n">
        <v>1</v>
      </c>
      <c r="T127" s="4" t="inlineStr">
        <is>
          <t>Não</t>
        </is>
      </c>
      <c r="U127" s="4" t="inlineStr">
        <is>
          <t>Sim</t>
        </is>
      </c>
      <c r="V127" s="4" t="inlineStr">
        <is>
          <t>Não</t>
        </is>
      </c>
      <c r="W127" s="4" t="inlineStr"/>
    </row>
    <row r="128">
      <c r="A128" s="4" t="inlineStr">
        <is>
          <t>XP Investimentos</t>
        </is>
      </c>
      <c r="B128" s="4" t="inlineStr">
        <is>
          <t>Occam Liquidez XP Seg Prev FIC FIRF CP RL</t>
        </is>
      </c>
      <c r="C128" s="6" t="inlineStr">
        <is>
          <t>63.799.359/0001-90</t>
        </is>
      </c>
      <c r="D128" s="4" t="inlineStr">
        <is>
          <t>NOVA OCCAM BRASIL GESTAO DE RECURSOS LTDA.</t>
        </is>
      </c>
      <c r="E128" s="4" t="inlineStr">
        <is>
          <t>43.228.545/0001-62</t>
        </is>
      </c>
      <c r="F128" s="4" t="inlineStr">
        <is>
          <t>BNY Mellon DTVM</t>
        </is>
      </c>
      <c r="G128" s="4" t="inlineStr">
        <is>
          <t>Renda Fixa</t>
        </is>
      </c>
      <c r="H128" s="4" t="inlineStr">
        <is>
          <t>Crédito Liquidez</t>
        </is>
      </c>
      <c r="I128" s="7" t="n">
        <v>100</v>
      </c>
      <c r="J128" s="8" t="n">
        <v>0.8</v>
      </c>
      <c r="K128" s="8" t="n"/>
      <c r="L128" s="4" t="inlineStr"/>
      <c r="M128" s="5" t="n">
        <v>6</v>
      </c>
      <c r="N128" s="5" t="n">
        <v>1</v>
      </c>
      <c r="O128" s="5" t="n"/>
      <c r="P128" s="4" t="inlineStr"/>
      <c r="Q128" s="4" t="inlineStr">
        <is>
          <t>Não</t>
        </is>
      </c>
      <c r="R128" s="4" t="inlineStr">
        <is>
          <t>Site (navegador)</t>
        </is>
      </c>
      <c r="S128" s="4" t="n">
        <v>1</v>
      </c>
      <c r="T128" s="4" t="inlineStr">
        <is>
          <t>Não</t>
        </is>
      </c>
      <c r="U128" s="4" t="inlineStr">
        <is>
          <t>Sim</t>
        </is>
      </c>
      <c r="V128" s="4" t="inlineStr">
        <is>
          <t>Não</t>
        </is>
      </c>
      <c r="W128" s="4" t="inlineStr"/>
    </row>
    <row r="129">
      <c r="A129" s="4" t="inlineStr">
        <is>
          <t>XP Investimentos</t>
        </is>
      </c>
      <c r="B129" s="4" t="inlineStr">
        <is>
          <t>Occam Xp Seg Prev Fic Fim Rl</t>
        </is>
      </c>
      <c r="C129" s="6" t="inlineStr">
        <is>
          <t>32.312.361/0001-60</t>
        </is>
      </c>
      <c r="D129" s="4" t="inlineStr">
        <is>
          <t>XP VIDA E PREVIDÊNCIA S.A.</t>
        </is>
      </c>
      <c r="E129" s="4" t="inlineStr">
        <is>
          <t>29.408.732/0001-05</t>
        </is>
      </c>
      <c r="F129" s="4" t="inlineStr">
        <is>
          <t>XPI Administradora - Modal</t>
        </is>
      </c>
      <c r="G129" s="4" t="inlineStr">
        <is>
          <t>Multimercado</t>
        </is>
      </c>
      <c r="H129" s="4" t="inlineStr">
        <is>
          <t>Long Short Direcional</t>
        </is>
      </c>
      <c r="I129" s="7" t="n">
        <v>100</v>
      </c>
      <c r="J129" s="8" t="n">
        <v>2</v>
      </c>
      <c r="K129" s="8" t="n"/>
      <c r="L129" s="4" t="inlineStr"/>
      <c r="M129" s="5" t="n">
        <v>1</v>
      </c>
      <c r="N129" s="5" t="n">
        <v>2</v>
      </c>
      <c r="O129" s="5" t="n"/>
      <c r="P129" s="4" t="inlineStr"/>
      <c r="Q129" s="4" t="inlineStr">
        <is>
          <t>Não</t>
        </is>
      </c>
      <c r="R129" s="4" t="inlineStr">
        <is>
          <t>Site (navegador)</t>
        </is>
      </c>
      <c r="S129" s="4" t="n">
        <v>1</v>
      </c>
      <c r="T129" s="4" t="inlineStr">
        <is>
          <t>Não</t>
        </is>
      </c>
      <c r="U129" s="4" t="inlineStr">
        <is>
          <t>Sim</t>
        </is>
      </c>
      <c r="V129" s="4" t="inlineStr">
        <is>
          <t>Não</t>
        </is>
      </c>
      <c r="W129" s="4" t="inlineStr"/>
    </row>
    <row r="130">
      <c r="A130" s="4" t="inlineStr">
        <is>
          <t>XP Investimentos</t>
        </is>
      </c>
      <c r="B130" s="4" t="inlineStr">
        <is>
          <t>Oceana Long Biased Advisory XP Seg Prev FIC FIM</t>
        </is>
      </c>
      <c r="C130" s="6" t="inlineStr">
        <is>
          <t>38.236.291/0001-94</t>
        </is>
      </c>
      <c r="D130" s="4" t="inlineStr">
        <is>
          <t>OCEANA INVESTIMENTOS ADMINISTRADORA DE CARTEIRA DE VALORES MOBILIÁRIOS LTDA</t>
        </is>
      </c>
      <c r="E130" s="4" t="inlineStr">
        <is>
          <t>09.326.542/0001-23</t>
        </is>
      </c>
      <c r="F130" s="4" t="inlineStr">
        <is>
          <t>BNY Mellon DTVM</t>
        </is>
      </c>
      <c r="G130" s="4" t="inlineStr">
        <is>
          <t>Multimercado</t>
        </is>
      </c>
      <c r="H130" s="4" t="inlineStr">
        <is>
          <t>Renda Variável Long Biased</t>
        </is>
      </c>
      <c r="I130" s="7" t="n">
        <v>100</v>
      </c>
      <c r="J130" s="8" t="n">
        <v>2</v>
      </c>
      <c r="K130" s="8" t="n"/>
      <c r="L130" s="4" t="inlineStr"/>
      <c r="M130" s="5" t="n">
        <v>21</v>
      </c>
      <c r="N130" s="5" t="n">
        <v>2</v>
      </c>
      <c r="O130" s="5" t="n"/>
      <c r="P130" s="4" t="inlineStr"/>
      <c r="Q130" s="4" t="inlineStr">
        <is>
          <t>Não</t>
        </is>
      </c>
      <c r="R130" s="4" t="inlineStr">
        <is>
          <t>Site (navegador)</t>
        </is>
      </c>
      <c r="S130" s="4" t="n">
        <v>1</v>
      </c>
      <c r="T130" s="4" t="inlineStr">
        <is>
          <t>Não</t>
        </is>
      </c>
      <c r="U130" s="4" t="inlineStr">
        <is>
          <t>Sim</t>
        </is>
      </c>
      <c r="V130" s="4" t="inlineStr">
        <is>
          <t>Não</t>
        </is>
      </c>
      <c r="W130" s="4" t="inlineStr"/>
    </row>
    <row r="131">
      <c r="A131" s="4" t="inlineStr">
        <is>
          <t>XP Investimentos</t>
        </is>
      </c>
      <c r="B131" s="4" t="inlineStr">
        <is>
          <t>Oceana Valor Advisory XP Seg Prev FICFIA</t>
        </is>
      </c>
      <c r="C131" s="6" t="inlineStr">
        <is>
          <t>39.958.567/0001-00</t>
        </is>
      </c>
      <c r="D131" s="4" t="inlineStr">
        <is>
          <t>XP VIDA E PREVIDÊNCIA S.A.</t>
        </is>
      </c>
      <c r="E131" s="4" t="inlineStr">
        <is>
          <t>29.408.732/0001-05</t>
        </is>
      </c>
      <c r="F131" s="4" t="inlineStr">
        <is>
          <t>BNY Mellon DTVM</t>
        </is>
      </c>
      <c r="G131" s="4" t="inlineStr">
        <is>
          <t>Ações</t>
        </is>
      </c>
      <c r="H131" s="4" t="inlineStr">
        <is>
          <t>Renda Variável Long Only</t>
        </is>
      </c>
      <c r="I131" s="7" t="n">
        <v>100</v>
      </c>
      <c r="J131" s="8" t="n">
        <v>2</v>
      </c>
      <c r="K131" s="8" t="n"/>
      <c r="L131" s="4" t="inlineStr"/>
      <c r="M131" s="5" t="n">
        <v>21</v>
      </c>
      <c r="N131" s="5" t="n">
        <v>2</v>
      </c>
      <c r="O131" s="5" t="n"/>
      <c r="P131" s="4" t="inlineStr"/>
      <c r="Q131" s="4" t="inlineStr">
        <is>
          <t>Não</t>
        </is>
      </c>
      <c r="R131" s="4" t="inlineStr">
        <is>
          <t>Site (navegador)</t>
        </is>
      </c>
      <c r="S131" s="4" t="n">
        <v>1</v>
      </c>
      <c r="T131" s="4" t="inlineStr">
        <is>
          <t>Não</t>
        </is>
      </c>
      <c r="U131" s="4" t="inlineStr">
        <is>
          <t>Sim</t>
        </is>
      </c>
      <c r="V131" s="4" t="inlineStr">
        <is>
          <t>Não</t>
        </is>
      </c>
      <c r="W131" s="4" t="inlineStr"/>
    </row>
    <row r="132">
      <c r="A132" s="4" t="inlineStr">
        <is>
          <t>XP Investimentos</t>
        </is>
      </c>
      <c r="B132" s="4" t="inlineStr">
        <is>
          <t>Pacifico Macro Prev Advisory Xp Seg Fic Fim</t>
        </is>
      </c>
      <c r="C132" s="6" t="inlineStr">
        <is>
          <t>33.755.685/0001-35</t>
        </is>
      </c>
      <c r="D132" s="4" t="inlineStr">
        <is>
          <t>BTG PACTUAL ASSET MANAGEMENT S/A DTVM</t>
        </is>
      </c>
      <c r="E132" s="4" t="inlineStr">
        <is>
          <t>29.650.082/0001-00</t>
        </is>
      </c>
      <c r="F132" s="4" t="inlineStr">
        <is>
          <t>BTG Pactual DTVM</t>
        </is>
      </c>
      <c r="G132" s="4" t="inlineStr">
        <is>
          <t>Multimercado</t>
        </is>
      </c>
      <c r="H132" s="4" t="inlineStr">
        <is>
          <t>Macro Alta Vol</t>
        </is>
      </c>
      <c r="I132" s="7" t="n">
        <v>100</v>
      </c>
      <c r="J132" s="8" t="n">
        <v>2</v>
      </c>
      <c r="K132" s="8" t="n"/>
      <c r="L132" s="4" t="inlineStr"/>
      <c r="M132" s="5" t="n">
        <v>1</v>
      </c>
      <c r="N132" s="5" t="n">
        <v>2</v>
      </c>
      <c r="O132" s="5" t="n"/>
      <c r="P132" s="4" t="inlineStr"/>
      <c r="Q132" s="4" t="inlineStr">
        <is>
          <t>Sim</t>
        </is>
      </c>
      <c r="R132" s="4" t="inlineStr">
        <is>
          <t>Site (navegador)</t>
        </is>
      </c>
      <c r="S132" s="4" t="n">
        <v>1</v>
      </c>
      <c r="T132" s="4" t="inlineStr">
        <is>
          <t>Não</t>
        </is>
      </c>
      <c r="U132" s="4" t="inlineStr">
        <is>
          <t>Sim</t>
        </is>
      </c>
      <c r="V132" s="4" t="inlineStr">
        <is>
          <t>Não</t>
        </is>
      </c>
      <c r="W132" s="4" t="inlineStr"/>
    </row>
    <row r="133">
      <c r="A133" s="4" t="inlineStr">
        <is>
          <t>XP Investimentos</t>
        </is>
      </c>
      <c r="B133" s="4" t="inlineStr">
        <is>
          <t>Patria Previdenciário XP Seg FIC MM CP RL</t>
        </is>
      </c>
      <c r="C133" s="6" t="inlineStr">
        <is>
          <t>53.990.084/0001-14</t>
        </is>
      </c>
      <c r="D133" s="4" t="inlineStr">
        <is>
          <t>PÁTRIA INVESTIMENTOS LTDA.</t>
        </is>
      </c>
      <c r="E133" s="4" t="inlineStr">
        <is>
          <t>12.461.756/0001-17</t>
        </is>
      </c>
      <c r="F133" s="4" t="inlineStr">
        <is>
          <t>XP Investimentos</t>
        </is>
      </c>
      <c r="G133" s="4" t="inlineStr">
        <is>
          <t>Multimercado</t>
        </is>
      </c>
      <c r="H133" s="4" t="inlineStr">
        <is>
          <t>Crédito High Yield</t>
        </is>
      </c>
      <c r="I133" s="7" t="n">
        <v>100</v>
      </c>
      <c r="J133" s="8" t="n">
        <v>1.59</v>
      </c>
      <c r="K133" s="8" t="n"/>
      <c r="L133" s="4" t="inlineStr"/>
      <c r="M133" s="5" t="n">
        <v>90</v>
      </c>
      <c r="N133" s="5" t="n">
        <v>2</v>
      </c>
      <c r="O133" s="5" t="n"/>
      <c r="P133" s="4" t="inlineStr"/>
      <c r="Q133" s="4" t="inlineStr">
        <is>
          <t>Não</t>
        </is>
      </c>
      <c r="R133" s="4" t="inlineStr">
        <is>
          <t>Site (navegador)</t>
        </is>
      </c>
      <c r="S133" s="4" t="n">
        <v>1</v>
      </c>
      <c r="T133" s="4" t="inlineStr">
        <is>
          <t>Não</t>
        </is>
      </c>
      <c r="U133" s="4" t="inlineStr">
        <is>
          <t>Sim</t>
        </is>
      </c>
      <c r="V133" s="4" t="inlineStr">
        <is>
          <t>Não</t>
        </is>
      </c>
      <c r="W133" s="4" t="inlineStr"/>
    </row>
    <row r="134">
      <c r="A134" s="4" t="inlineStr">
        <is>
          <t>XP Investimentos</t>
        </is>
      </c>
      <c r="B134" s="4" t="inlineStr">
        <is>
          <t>Persevera Prospera Xp Seg Prev Firf Cp</t>
        </is>
      </c>
      <c r="C134" s="6" t="inlineStr">
        <is>
          <t>53.856.982/0001-84</t>
        </is>
      </c>
      <c r="D134" s="4" t="inlineStr">
        <is>
          <t>PERSEVERA GESTÃO DE RECURSOS LTDA.</t>
        </is>
      </c>
      <c r="E134" s="4" t="inlineStr">
        <is>
          <t>29.608.120/0001-58</t>
        </is>
      </c>
      <c r="F134" s="4" t="inlineStr">
        <is>
          <t>Daycoval Asset</t>
        </is>
      </c>
      <c r="G134" s="4" t="inlineStr">
        <is>
          <t>Renda Fixa</t>
        </is>
      </c>
      <c r="H134" s="4" t="inlineStr">
        <is>
          <t>Renda Fixa Ativo</t>
        </is>
      </c>
      <c r="I134" s="7" t="n">
        <v>500</v>
      </c>
      <c r="J134" s="8" t="n">
        <v>0.9</v>
      </c>
      <c r="K134" s="8" t="n"/>
      <c r="L134" s="4" t="inlineStr"/>
      <c r="M134" s="5" t="n">
        <v>4</v>
      </c>
      <c r="N134" s="5" t="n">
        <v>2</v>
      </c>
      <c r="O134" s="5" t="n"/>
      <c r="P134" s="4" t="inlineStr"/>
      <c r="Q134" s="4" t="inlineStr">
        <is>
          <t>Não</t>
        </is>
      </c>
      <c r="R134" s="4" t="inlineStr">
        <is>
          <t>Site (navegador)</t>
        </is>
      </c>
      <c r="S134" s="4" t="n">
        <v>1</v>
      </c>
      <c r="T134" s="4" t="inlineStr">
        <is>
          <t>Não</t>
        </is>
      </c>
      <c r="U134" s="4" t="inlineStr">
        <is>
          <t>Sim</t>
        </is>
      </c>
      <c r="V134" s="4" t="inlineStr">
        <is>
          <t>Não</t>
        </is>
      </c>
      <c r="W134" s="4" t="inlineStr"/>
    </row>
    <row r="135">
      <c r="A135" s="4" t="inlineStr">
        <is>
          <t>XP Investimentos</t>
        </is>
      </c>
      <c r="B135" s="4" t="inlineStr">
        <is>
          <t>Polo Crédito Corporativo Prev Xp Seg Fic Rf Cp Rl</t>
        </is>
      </c>
      <c r="C135" s="6" t="inlineStr">
        <is>
          <t>52.955.528/0001-18</t>
        </is>
      </c>
      <c r="D135" s="4" t="inlineStr">
        <is>
          <t>POLO CAPITAL GESTÃO DE RECURSOS LTDA</t>
        </is>
      </c>
      <c r="E135" s="4" t="inlineStr">
        <is>
          <t>05.451.668/0001-79</t>
        </is>
      </c>
      <c r="F135" s="4" t="inlineStr">
        <is>
          <t>XP Investimentos</t>
        </is>
      </c>
      <c r="G135" s="4" t="inlineStr">
        <is>
          <t>Renda Fixa</t>
        </is>
      </c>
      <c r="H135" s="4" t="inlineStr">
        <is>
          <t>Crédito High Grade</t>
        </is>
      </c>
      <c r="I135" s="7" t="n">
        <v>100</v>
      </c>
      <c r="J135" s="8" t="n">
        <v>0.9</v>
      </c>
      <c r="K135" s="8" t="n"/>
      <c r="L135" s="4" t="inlineStr"/>
      <c r="M135" s="5" t="n">
        <v>7</v>
      </c>
      <c r="N135" s="5" t="n">
        <v>2</v>
      </c>
      <c r="O135" s="5" t="n"/>
      <c r="P135" s="4" t="inlineStr"/>
      <c r="Q135" s="4" t="inlineStr">
        <is>
          <t>Não</t>
        </is>
      </c>
      <c r="R135" s="4" t="inlineStr">
        <is>
          <t>Site (navegador)</t>
        </is>
      </c>
      <c r="S135" s="4" t="n">
        <v>1</v>
      </c>
      <c r="T135" s="4" t="inlineStr">
        <is>
          <t>Não</t>
        </is>
      </c>
      <c r="U135" s="4" t="inlineStr">
        <is>
          <t>Sim</t>
        </is>
      </c>
      <c r="V135" s="4" t="inlineStr">
        <is>
          <t>Não</t>
        </is>
      </c>
      <c r="W135" s="4" t="inlineStr"/>
    </row>
    <row r="136">
      <c r="A136" s="4" t="inlineStr">
        <is>
          <t>XP Investimentos</t>
        </is>
      </c>
      <c r="B136" s="4" t="inlineStr">
        <is>
          <t>Porto CP Prev XP Seg FICFIM RL</t>
        </is>
      </c>
      <c r="C136" s="6" t="inlineStr">
        <is>
          <t>45.089.750/0001-10</t>
        </is>
      </c>
      <c r="D136" s="4" t="inlineStr">
        <is>
          <t>XP VIDA E PREVIDÊNCIA S.A.</t>
        </is>
      </c>
      <c r="E136" s="4" t="inlineStr">
        <is>
          <t>29.408.732/0001-05</t>
        </is>
      </c>
      <c r="F136" s="4" t="inlineStr">
        <is>
          <t>XP Serviços Financeiros DTVM LTDA</t>
        </is>
      </c>
      <c r="G136" s="4" t="inlineStr">
        <is>
          <t>Multimercado</t>
        </is>
      </c>
      <c r="H136" s="4" t="inlineStr">
        <is>
          <t>Crédito High Grade</t>
        </is>
      </c>
      <c r="I136" s="7" t="n">
        <v>100</v>
      </c>
      <c r="J136" s="8" t="n">
        <v>0.9</v>
      </c>
      <c r="K136" s="8" t="n"/>
      <c r="L136" s="4" t="inlineStr"/>
      <c r="M136" s="5" t="n">
        <v>8</v>
      </c>
      <c r="N136" s="5" t="n">
        <v>1</v>
      </c>
      <c r="O136" s="5" t="n"/>
      <c r="P136" s="4" t="inlineStr"/>
      <c r="Q136" s="4" t="inlineStr">
        <is>
          <t>Sim</t>
        </is>
      </c>
      <c r="R136" s="4" t="inlineStr">
        <is>
          <t>Site (navegador)</t>
        </is>
      </c>
      <c r="S136" s="4" t="n">
        <v>1</v>
      </c>
      <c r="T136" s="4" t="inlineStr">
        <is>
          <t>Não</t>
        </is>
      </c>
      <c r="U136" s="4" t="inlineStr">
        <is>
          <t>Sim</t>
        </is>
      </c>
      <c r="V136" s="4" t="inlineStr">
        <is>
          <t>Não</t>
        </is>
      </c>
      <c r="W136" s="4" t="inlineStr"/>
    </row>
    <row r="137">
      <c r="A137" s="4" t="inlineStr">
        <is>
          <t>XP Investimentos</t>
        </is>
      </c>
      <c r="B137" s="4" t="inlineStr">
        <is>
          <t>Quantitas Capri Xp Seg Prev Ficfim</t>
        </is>
      </c>
      <c r="C137" s="6" t="inlineStr">
        <is>
          <t>46.948.233/0001-11</t>
        </is>
      </c>
      <c r="D137" s="4" t="inlineStr">
        <is>
          <t>XP VIDA E PREVIDÊNCIA S.A.</t>
        </is>
      </c>
      <c r="E137" s="4" t="inlineStr">
        <is>
          <t>29.408.732/0001-05</t>
        </is>
      </c>
      <c r="F137" s="4" t="inlineStr">
        <is>
          <t>XPI Administradora</t>
        </is>
      </c>
      <c r="G137" s="4" t="inlineStr">
        <is>
          <t>Multimercado</t>
        </is>
      </c>
      <c r="H137" s="4" t="inlineStr">
        <is>
          <t>Macro Média Vol</t>
        </is>
      </c>
      <c r="I137" s="7" t="n">
        <v>100</v>
      </c>
      <c r="J137" s="8" t="n">
        <v>1.8</v>
      </c>
      <c r="K137" s="8" t="n"/>
      <c r="L137" s="4" t="inlineStr"/>
      <c r="M137" s="5" t="n">
        <v>8</v>
      </c>
      <c r="N137" s="5" t="n">
        <v>1</v>
      </c>
      <c r="O137" s="5" t="n"/>
      <c r="P137" s="4" t="inlineStr"/>
      <c r="Q137" s="4" t="inlineStr">
        <is>
          <t>Não</t>
        </is>
      </c>
      <c r="R137" s="4" t="inlineStr">
        <is>
          <t>Site (navegador)</t>
        </is>
      </c>
      <c r="S137" s="4" t="n">
        <v>1</v>
      </c>
      <c r="T137" s="4" t="inlineStr">
        <is>
          <t>Não</t>
        </is>
      </c>
      <c r="U137" s="4" t="inlineStr">
        <is>
          <t>Sim</t>
        </is>
      </c>
      <c r="V137" s="4" t="inlineStr">
        <is>
          <t>Não</t>
        </is>
      </c>
      <c r="W137" s="4" t="inlineStr"/>
    </row>
    <row r="138">
      <c r="A138" s="4" t="inlineStr">
        <is>
          <t>XP Investimentos</t>
        </is>
      </c>
      <c r="B138" s="4" t="inlineStr">
        <is>
          <t>RPS Prev Absoluto FIC FIM</t>
        </is>
      </c>
      <c r="C138" s="6" t="inlineStr">
        <is>
          <t>31.340.875/0001-66</t>
        </is>
      </c>
      <c r="D138" s="4" t="inlineStr">
        <is>
          <t>RPS CAPITAL ADMINISTRADORA DE RECURSOS LTDA</t>
        </is>
      </c>
      <c r="E138" s="4" t="inlineStr">
        <is>
          <t>17.839.284/0001-07</t>
        </is>
      </c>
      <c r="F138" s="4" t="inlineStr">
        <is>
          <t>BTG Pactual DTVM</t>
        </is>
      </c>
      <c r="G138" s="4" t="inlineStr">
        <is>
          <t>Multimercado</t>
        </is>
      </c>
      <c r="H138" s="4" t="inlineStr">
        <is>
          <t>Long Short Direcional</t>
        </is>
      </c>
      <c r="I138" s="7" t="n">
        <v>500</v>
      </c>
      <c r="J138" s="8" t="n">
        <v>2</v>
      </c>
      <c r="K138" s="8" t="n"/>
      <c r="L138" s="4" t="inlineStr"/>
      <c r="M138" s="5" t="n">
        <v>2</v>
      </c>
      <c r="N138" s="5" t="n">
        <v>3</v>
      </c>
      <c r="O138" s="5" t="n"/>
      <c r="P138" s="4" t="inlineStr"/>
      <c r="Q138" s="4" t="inlineStr">
        <is>
          <t>Sim</t>
        </is>
      </c>
      <c r="R138" s="4" t="inlineStr">
        <is>
          <t>Site (navegador)</t>
        </is>
      </c>
      <c r="S138" s="4" t="n">
        <v>1</v>
      </c>
      <c r="T138" s="4" t="inlineStr">
        <is>
          <t>Não</t>
        </is>
      </c>
      <c r="U138" s="4" t="inlineStr">
        <is>
          <t>Sim</t>
        </is>
      </c>
      <c r="V138" s="4" t="inlineStr">
        <is>
          <t>Não</t>
        </is>
      </c>
      <c r="W138" s="4" t="inlineStr"/>
    </row>
    <row r="139">
      <c r="A139" s="4" t="inlineStr">
        <is>
          <t>XP Investimentos</t>
        </is>
      </c>
      <c r="B139" s="4" t="inlineStr">
        <is>
          <t>RPS Prev Ações XP Seg FICFI</t>
        </is>
      </c>
      <c r="C139" s="6" t="inlineStr">
        <is>
          <t>37.567.399/0001-05</t>
        </is>
      </c>
      <c r="D139" s="4" t="inlineStr">
        <is>
          <t>RPS CAPITAL ADMINISTRADORA DE RECURSOS LTDA</t>
        </is>
      </c>
      <c r="E139" s="4" t="inlineStr">
        <is>
          <t>17.839.284/0001-07</t>
        </is>
      </c>
      <c r="F139" s="4" t="inlineStr">
        <is>
          <t>Intrag DTVM</t>
        </is>
      </c>
      <c r="G139" s="4" t="inlineStr">
        <is>
          <t>Ações</t>
        </is>
      </c>
      <c r="H139" s="4" t="inlineStr">
        <is>
          <t>Renda Variável Long Only</t>
        </is>
      </c>
      <c r="I139" s="7" t="n">
        <v>100</v>
      </c>
      <c r="J139" s="8" t="n">
        <v>2</v>
      </c>
      <c r="K139" s="8" t="n"/>
      <c r="L139" s="4" t="inlineStr"/>
      <c r="M139" s="5" t="n">
        <v>22</v>
      </c>
      <c r="N139" s="5" t="n">
        <v>2</v>
      </c>
      <c r="O139" s="5" t="n"/>
      <c r="P139" s="4" t="inlineStr"/>
      <c r="Q139" s="4" t="inlineStr">
        <is>
          <t>Não</t>
        </is>
      </c>
      <c r="R139" s="4" t="inlineStr">
        <is>
          <t>Site (navegador)</t>
        </is>
      </c>
      <c r="S139" s="4" t="n">
        <v>1</v>
      </c>
      <c r="T139" s="4" t="inlineStr">
        <is>
          <t>Não</t>
        </is>
      </c>
      <c r="U139" s="4" t="inlineStr">
        <is>
          <t>Sim</t>
        </is>
      </c>
      <c r="V139" s="4" t="inlineStr">
        <is>
          <t>Não</t>
        </is>
      </c>
      <c r="W139" s="4" t="inlineStr"/>
    </row>
    <row r="140">
      <c r="A140" s="4" t="inlineStr">
        <is>
          <t>XP Investimentos</t>
        </is>
      </c>
      <c r="B140" s="4" t="inlineStr">
        <is>
          <t>Reach Total Return Xp Seg Fic Fim</t>
        </is>
      </c>
      <c r="C140" s="6" t="inlineStr">
        <is>
          <t>44.157.016/0001-88</t>
        </is>
      </c>
      <c r="D140" s="4" t="inlineStr">
        <is>
          <t>XP VIDA E PREVIDÊNCIA S.A.</t>
        </is>
      </c>
      <c r="E140" s="4" t="inlineStr">
        <is>
          <t>29.408.732/0001-05</t>
        </is>
      </c>
      <c r="F140" s="4" t="inlineStr">
        <is>
          <t>BNY Mellon DTVM</t>
        </is>
      </c>
      <c r="G140" s="4" t="inlineStr">
        <is>
          <t>Multimercado</t>
        </is>
      </c>
      <c r="H140" s="4" t="inlineStr">
        <is>
          <t>Renda Variável Long Biased</t>
        </is>
      </c>
      <c r="I140" s="7" t="n">
        <v>100</v>
      </c>
      <c r="J140" s="8" t="n">
        <v>2</v>
      </c>
      <c r="K140" s="8" t="n"/>
      <c r="L140" s="4" t="inlineStr"/>
      <c r="M140" s="5" t="n">
        <v>21</v>
      </c>
      <c r="N140" s="5" t="n">
        <v>2</v>
      </c>
      <c r="O140" s="5" t="n"/>
      <c r="P140" s="4" t="inlineStr"/>
      <c r="Q140" s="4" t="inlineStr">
        <is>
          <t>Não</t>
        </is>
      </c>
      <c r="R140" s="4" t="inlineStr">
        <is>
          <t>Site (navegador)</t>
        </is>
      </c>
      <c r="S140" s="4" t="n">
        <v>1</v>
      </c>
      <c r="T140" s="4" t="inlineStr">
        <is>
          <t>Não</t>
        </is>
      </c>
      <c r="U140" s="4" t="inlineStr">
        <is>
          <t>Sim</t>
        </is>
      </c>
      <c r="V140" s="4" t="inlineStr">
        <is>
          <t>Não</t>
        </is>
      </c>
      <c r="W140" s="4" t="inlineStr"/>
    </row>
    <row r="141">
      <c r="A141" s="4" t="inlineStr">
        <is>
          <t>XP Investimentos</t>
        </is>
      </c>
      <c r="B141" s="4" t="inlineStr">
        <is>
          <t>Real Investor 100 Xp Seg Ad Ficfia</t>
        </is>
      </c>
      <c r="C141" s="6" t="inlineStr">
        <is>
          <t>41.035.989/0001-56</t>
        </is>
      </c>
      <c r="D141" s="4" t="inlineStr">
        <is>
          <t>XP VIDA E PREVIDÊNCIA S.A.</t>
        </is>
      </c>
      <c r="E141" s="4" t="inlineStr">
        <is>
          <t>29.408.732/0001-05</t>
        </is>
      </c>
      <c r="F141" s="4" t="inlineStr">
        <is>
          <t>XPI Administradora - Modal</t>
        </is>
      </c>
      <c r="G141" s="4" t="inlineStr">
        <is>
          <t>Ações</t>
        </is>
      </c>
      <c r="H141" s="4" t="inlineStr">
        <is>
          <t>Renda Variável Long Only</t>
        </is>
      </c>
      <c r="I141" s="7" t="n">
        <v>100</v>
      </c>
      <c r="J141" s="8" t="n">
        <v>2</v>
      </c>
      <c r="K141" s="8" t="n"/>
      <c r="L141" s="4" t="inlineStr"/>
      <c r="M141" s="5" t="n">
        <v>20</v>
      </c>
      <c r="N141" s="5" t="n">
        <v>2</v>
      </c>
      <c r="O141" s="5" t="n"/>
      <c r="P141" s="4" t="inlineStr"/>
      <c r="Q141" s="4" t="inlineStr">
        <is>
          <t>Não</t>
        </is>
      </c>
      <c r="R141" s="4" t="inlineStr">
        <is>
          <t>Site (navegador)</t>
        </is>
      </c>
      <c r="S141" s="4" t="n">
        <v>1</v>
      </c>
      <c r="T141" s="4" t="inlineStr">
        <is>
          <t>Não</t>
        </is>
      </c>
      <c r="U141" s="4" t="inlineStr">
        <is>
          <t>Sim</t>
        </is>
      </c>
      <c r="V141" s="4" t="inlineStr">
        <is>
          <t>Não</t>
        </is>
      </c>
      <c r="W141" s="4" t="inlineStr"/>
    </row>
    <row r="142">
      <c r="A142" s="4" t="inlineStr">
        <is>
          <t>XP Investimentos</t>
        </is>
      </c>
      <c r="B142" s="4" t="inlineStr">
        <is>
          <t>Real Investor 70 Xp Seg Advisory Prev Fif Multimercado Rl</t>
        </is>
      </c>
      <c r="C142" s="6" t="inlineStr">
        <is>
          <t>53.826.252/0001-30</t>
        </is>
      </c>
      <c r="D142" s="4" t="inlineStr">
        <is>
          <t>REAL INVESTOR ASSET MANAGEMENT LTDA</t>
        </is>
      </c>
      <c r="E142" s="4" t="inlineStr">
        <is>
          <t>11.570.951/0001-12</t>
        </is>
      </c>
      <c r="F142" s="4" t="inlineStr">
        <is>
          <t>BNY Mellon DTVM</t>
        </is>
      </c>
      <c r="G142" s="4" t="inlineStr">
        <is>
          <t>Multimercado</t>
        </is>
      </c>
      <c r="H142" s="4" t="inlineStr">
        <is>
          <t>Crédito High Grade</t>
        </is>
      </c>
      <c r="I142" s="7" t="n">
        <v>100</v>
      </c>
      <c r="J142" s="8" t="n">
        <v>1.9</v>
      </c>
      <c r="K142" s="8" t="n"/>
      <c r="L142" s="4" t="inlineStr"/>
      <c r="M142" s="5" t="n">
        <v>7</v>
      </c>
      <c r="N142" s="5" t="n">
        <v>2</v>
      </c>
      <c r="O142" s="5" t="n"/>
      <c r="P142" s="4" t="inlineStr"/>
      <c r="Q142" s="4" t="inlineStr">
        <is>
          <t>Não</t>
        </is>
      </c>
      <c r="R142" s="4" t="inlineStr">
        <is>
          <t>Site (navegador)</t>
        </is>
      </c>
      <c r="S142" s="4" t="n">
        <v>1</v>
      </c>
      <c r="T142" s="4" t="inlineStr">
        <is>
          <t>Não</t>
        </is>
      </c>
      <c r="U142" s="4" t="inlineStr">
        <is>
          <t>Sim</t>
        </is>
      </c>
      <c r="V142" s="4" t="inlineStr">
        <is>
          <t>Não</t>
        </is>
      </c>
      <c r="W142" s="4" t="inlineStr"/>
    </row>
    <row r="143">
      <c r="A143" s="4" t="inlineStr">
        <is>
          <t>XP Investimentos</t>
        </is>
      </c>
      <c r="B143" s="4" t="inlineStr">
        <is>
          <t>Real Investor Xp Seg Prev Fif Multimercado Rl</t>
        </is>
      </c>
      <c r="C143" s="6" t="inlineStr">
        <is>
          <t>57.446.923/0001-99</t>
        </is>
      </c>
      <c r="D143" s="4" t="inlineStr">
        <is>
          <t>REAL INVESTOR ASSET MANAGEMENT LTDA</t>
        </is>
      </c>
      <c r="E143" s="4" t="inlineStr">
        <is>
          <t>11.570.951/0001-12</t>
        </is>
      </c>
      <c r="F143" s="4" t="inlineStr">
        <is>
          <t>BNY Mellon DTVM</t>
        </is>
      </c>
      <c r="G143" s="4" t="inlineStr">
        <is>
          <t>Multimercado</t>
        </is>
      </c>
      <c r="H143" s="4" t="inlineStr">
        <is>
          <t>Crédito High Grade</t>
        </is>
      </c>
      <c r="I143" s="7" t="n">
        <v>100</v>
      </c>
      <c r="J143" s="8" t="n">
        <v>1.7</v>
      </c>
      <c r="K143" s="8" t="n"/>
      <c r="L143" s="4" t="inlineStr"/>
      <c r="M143" s="5" t="n">
        <v>20</v>
      </c>
      <c r="N143" s="5" t="n">
        <v>2</v>
      </c>
      <c r="O143" s="5" t="n"/>
      <c r="P143" s="4" t="inlineStr"/>
      <c r="Q143" s="4" t="inlineStr">
        <is>
          <t>Não</t>
        </is>
      </c>
      <c r="R143" s="4" t="inlineStr">
        <is>
          <t>Site (navegador)</t>
        </is>
      </c>
      <c r="S143" s="4" t="n">
        <v>1</v>
      </c>
      <c r="T143" s="4" t="inlineStr">
        <is>
          <t>Não</t>
        </is>
      </c>
      <c r="U143" s="4" t="inlineStr">
        <is>
          <t>Sim</t>
        </is>
      </c>
      <c r="V143" s="4" t="inlineStr">
        <is>
          <t>Não</t>
        </is>
      </c>
      <c r="W143" s="4" t="inlineStr"/>
    </row>
    <row r="144">
      <c r="A144" s="4" t="inlineStr">
        <is>
          <t>XP Investimentos</t>
        </is>
      </c>
      <c r="B144" s="4" t="inlineStr">
        <is>
          <t>Riza Evi Prev Xp Seg Ficfim Cp Rl</t>
        </is>
      </c>
      <c r="C144" s="6" t="inlineStr">
        <is>
          <t>43.121.014/0001-76</t>
        </is>
      </c>
      <c r="D144" s="4" t="inlineStr">
        <is>
          <t>XP VIDA E PREVIDÊNCIA S.A.</t>
        </is>
      </c>
      <c r="E144" s="4" t="inlineStr">
        <is>
          <t>29.408.732/0001-05</t>
        </is>
      </c>
      <c r="F144" s="4" t="inlineStr">
        <is>
          <t>XPI Administradora - Modal</t>
        </is>
      </c>
      <c r="G144" s="4" t="inlineStr">
        <is>
          <t>Multimercado</t>
        </is>
      </c>
      <c r="H144" s="4" t="inlineStr">
        <is>
          <t>Multiestratégia</t>
        </is>
      </c>
      <c r="I144" s="7" t="n">
        <v>100</v>
      </c>
      <c r="J144" s="8" t="n">
        <v>1.05</v>
      </c>
      <c r="K144" s="8" t="n"/>
      <c r="L144" s="4" t="inlineStr"/>
      <c r="M144" s="5" t="n">
        <v>8</v>
      </c>
      <c r="N144" s="5" t="n">
        <v>1</v>
      </c>
      <c r="O144" s="5" t="n"/>
      <c r="P144" s="4" t="inlineStr"/>
      <c r="Q144" s="4" t="inlineStr">
        <is>
          <t>Não</t>
        </is>
      </c>
      <c r="R144" s="4" t="inlineStr">
        <is>
          <t>Site (navegador)</t>
        </is>
      </c>
      <c r="S144" s="4" t="n">
        <v>1</v>
      </c>
      <c r="T144" s="4" t="inlineStr">
        <is>
          <t>Não</t>
        </is>
      </c>
      <c r="U144" s="4" t="inlineStr">
        <is>
          <t>Sim</t>
        </is>
      </c>
      <c r="V144" s="4" t="inlineStr">
        <is>
          <t>Não</t>
        </is>
      </c>
      <c r="W144" s="4" t="inlineStr"/>
    </row>
    <row r="145">
      <c r="A145" s="4" t="inlineStr">
        <is>
          <t>XP Investimentos</t>
        </is>
      </c>
      <c r="B145" s="4" t="inlineStr">
        <is>
          <t>Riza Lotus Prev Xp Seg Fic Fim Cp</t>
        </is>
      </c>
      <c r="C145" s="6" t="inlineStr">
        <is>
          <t>43.423.186/0001-02</t>
        </is>
      </c>
      <c r="D145" s="4" t="inlineStr">
        <is>
          <t>XP VIDA E PREVIDÊNCIA S.A.</t>
        </is>
      </c>
      <c r="E145" s="4" t="inlineStr">
        <is>
          <t>29.408.732/0001-05</t>
        </is>
      </c>
      <c r="F145" s="4" t="inlineStr">
        <is>
          <t>XPI Administradora - Modal</t>
        </is>
      </c>
      <c r="G145" s="4" t="inlineStr">
        <is>
          <t>Multimercado</t>
        </is>
      </c>
      <c r="H145" s="4" t="inlineStr">
        <is>
          <t>Crédito Liquidez</t>
        </is>
      </c>
      <c r="I145" s="7" t="n">
        <v>100</v>
      </c>
      <c r="J145" s="8" t="n">
        <v>0.75</v>
      </c>
      <c r="K145" s="8" t="n"/>
      <c r="L145" s="4" t="inlineStr"/>
      <c r="M145" s="5" t="n">
        <v>7</v>
      </c>
      <c r="N145" s="5" t="n">
        <v>1</v>
      </c>
      <c r="O145" s="5" t="n"/>
      <c r="P145" s="4" t="inlineStr"/>
      <c r="Q145" s="4" t="inlineStr">
        <is>
          <t>Não</t>
        </is>
      </c>
      <c r="R145" s="4" t="inlineStr">
        <is>
          <t>Site (navegador)</t>
        </is>
      </c>
      <c r="S145" s="4" t="n">
        <v>1</v>
      </c>
      <c r="T145" s="4" t="inlineStr">
        <is>
          <t>Não</t>
        </is>
      </c>
      <c r="U145" s="4" t="inlineStr">
        <is>
          <t>Sim</t>
        </is>
      </c>
      <c r="V145" s="4" t="inlineStr">
        <is>
          <t>Não</t>
        </is>
      </c>
      <c r="W145" s="4" t="inlineStr"/>
    </row>
    <row r="146">
      <c r="A146" s="4" t="inlineStr">
        <is>
          <t>XP Investimentos</t>
        </is>
      </c>
      <c r="B146" s="4" t="inlineStr">
        <is>
          <t>Root Capital Crédito HG PREV XP SEG FIC FIRF CP</t>
        </is>
      </c>
      <c r="C146" s="6" t="inlineStr">
        <is>
          <t>48.940.997/0001-96</t>
        </is>
      </c>
      <c r="D146" s="4" t="inlineStr">
        <is>
          <t>ROOT CAPITAL - GESTÃO DE RECURSOS LTDA</t>
        </is>
      </c>
      <c r="E146" s="4" t="inlineStr">
        <is>
          <t>11.397.040/0001-35</t>
        </is>
      </c>
      <c r="F146" s="4" t="inlineStr">
        <is>
          <t>BNY Mellon DTVM</t>
        </is>
      </c>
      <c r="G146" s="4" t="inlineStr">
        <is>
          <t>Renda Fixa</t>
        </is>
      </c>
      <c r="H146" s="4" t="inlineStr">
        <is>
          <t>Crédito High Yield</t>
        </is>
      </c>
      <c r="I146" s="7" t="n">
        <v>100</v>
      </c>
      <c r="J146" s="8" t="n">
        <v>0.9</v>
      </c>
      <c r="K146" s="8" t="n"/>
      <c r="L146" s="4" t="inlineStr"/>
      <c r="M146" s="5" t="n">
        <v>7</v>
      </c>
      <c r="N146" s="5" t="n">
        <v>2</v>
      </c>
      <c r="O146" s="5" t="n"/>
      <c r="P146" s="4" t="inlineStr"/>
      <c r="Q146" s="4" t="inlineStr">
        <is>
          <t>Sim</t>
        </is>
      </c>
      <c r="R146" s="4" t="inlineStr">
        <is>
          <t>Site (navegador)</t>
        </is>
      </c>
      <c r="S146" s="4" t="n">
        <v>1</v>
      </c>
      <c r="T146" s="4" t="inlineStr">
        <is>
          <t>Não</t>
        </is>
      </c>
      <c r="U146" s="4" t="inlineStr">
        <is>
          <t>Sim</t>
        </is>
      </c>
      <c r="V146" s="4" t="inlineStr">
        <is>
          <t>Não</t>
        </is>
      </c>
      <c r="W146" s="4" t="inlineStr"/>
    </row>
    <row r="147">
      <c r="A147" s="4" t="inlineStr">
        <is>
          <t>XP Investimentos</t>
        </is>
      </c>
      <c r="B147" s="4" t="inlineStr">
        <is>
          <t>Root Capital Hg Prev Plus Xp Seg Fic De Fif Multi Cp Rl</t>
        </is>
      </c>
      <c r="C147" s="6" t="inlineStr">
        <is>
          <t>62.669.471/0001-44</t>
        </is>
      </c>
      <c r="D147" s="4" t="inlineStr">
        <is>
          <t>ROOT CAPITAL - GESTÃO DE RECURSOS LTDA</t>
        </is>
      </c>
      <c r="E147" s="4" t="inlineStr">
        <is>
          <t>11.397.040/0001-35</t>
        </is>
      </c>
      <c r="F147" s="4" t="inlineStr">
        <is>
          <t>BNY Mellon DTVM</t>
        </is>
      </c>
      <c r="G147" s="4" t="inlineStr">
        <is>
          <t>Renda Fixa</t>
        </is>
      </c>
      <c r="H147" s="4" t="inlineStr"/>
      <c r="I147" s="7" t="n">
        <v>100</v>
      </c>
      <c r="J147" s="8" t="n">
        <v>1.1</v>
      </c>
      <c r="K147" s="8" t="n"/>
      <c r="L147" s="4" t="inlineStr"/>
      <c r="M147" s="5" t="n">
        <v>23</v>
      </c>
      <c r="N147" s="5" t="n">
        <v>1</v>
      </c>
      <c r="O147" s="5" t="n"/>
      <c r="P147" s="4" t="inlineStr"/>
      <c r="Q147" s="4" t="inlineStr">
        <is>
          <t>Não</t>
        </is>
      </c>
      <c r="R147" s="4" t="inlineStr">
        <is>
          <t>Site (navegador)</t>
        </is>
      </c>
      <c r="S147" s="4" t="n">
        <v>1</v>
      </c>
      <c r="T147" s="4" t="inlineStr">
        <is>
          <t>Não</t>
        </is>
      </c>
      <c r="U147" s="4" t="inlineStr">
        <is>
          <t>Sim</t>
        </is>
      </c>
      <c r="V147" s="4" t="inlineStr">
        <is>
          <t>Não</t>
        </is>
      </c>
      <c r="W147" s="4" t="inlineStr"/>
    </row>
    <row r="148">
      <c r="A148" s="4" t="inlineStr">
        <is>
          <t>XP Investimentos</t>
        </is>
      </c>
      <c r="B148" s="4" t="inlineStr">
        <is>
          <t>Root Hy Xp Seg Prev Ficfirf Cp</t>
        </is>
      </c>
      <c r="C148" s="6" t="inlineStr">
        <is>
          <t>52.955.482/0001-37</t>
        </is>
      </c>
      <c r="D148" s="4" t="inlineStr">
        <is>
          <t>ROOT CAPITAL - GESTÃO DE RECURSOS LTDA</t>
        </is>
      </c>
      <c r="E148" s="4" t="inlineStr">
        <is>
          <t>11.397.040/0001-35</t>
        </is>
      </c>
      <c r="F148" s="4" t="inlineStr">
        <is>
          <t>XP Investimentos</t>
        </is>
      </c>
      <c r="G148" s="4" t="inlineStr">
        <is>
          <t>Renda Fixa</t>
        </is>
      </c>
      <c r="H148" s="4" t="inlineStr">
        <is>
          <t>Crédito High Yield</t>
        </is>
      </c>
      <c r="I148" s="7" t="n">
        <v>100</v>
      </c>
      <c r="J148" s="8" t="n">
        <v>1.45</v>
      </c>
      <c r="K148" s="8" t="n"/>
      <c r="L148" s="4" t="inlineStr"/>
      <c r="M148" s="5" t="n">
        <v>131</v>
      </c>
      <c r="N148" s="5" t="n">
        <v>1</v>
      </c>
      <c r="O148" s="5" t="n"/>
      <c r="P148" s="4" t="inlineStr"/>
      <c r="Q148" s="4" t="inlineStr">
        <is>
          <t>Não</t>
        </is>
      </c>
      <c r="R148" s="4" t="inlineStr">
        <is>
          <t>Site (navegador)</t>
        </is>
      </c>
      <c r="S148" s="4" t="n">
        <v>1</v>
      </c>
      <c r="T148" s="4" t="inlineStr">
        <is>
          <t>Não</t>
        </is>
      </c>
      <c r="U148" s="4" t="inlineStr">
        <is>
          <t>Sim</t>
        </is>
      </c>
      <c r="V148" s="4" t="inlineStr">
        <is>
          <t>Não</t>
        </is>
      </c>
      <c r="W148" s="4" t="inlineStr"/>
    </row>
    <row r="149">
      <c r="A149" s="4" t="inlineStr">
        <is>
          <t>XP Investimentos</t>
        </is>
      </c>
      <c r="B149" s="4" t="inlineStr">
        <is>
          <t>SPX Lancer Plus XP Seg Prev FIC FIM</t>
        </is>
      </c>
      <c r="C149" s="6" t="inlineStr">
        <is>
          <t>41.802.098/0001-88</t>
        </is>
      </c>
      <c r="D149" s="4" t="inlineStr">
        <is>
          <t>XP VIDA E PREVIDÊNCIA S.A.</t>
        </is>
      </c>
      <c r="E149" s="4" t="inlineStr">
        <is>
          <t>29.408.732/0001-05</t>
        </is>
      </c>
      <c r="F149" s="4" t="inlineStr">
        <is>
          <t>XP Investimentos</t>
        </is>
      </c>
      <c r="G149" s="4" t="inlineStr">
        <is>
          <t>Multimercado</t>
        </is>
      </c>
      <c r="H149" s="4" t="inlineStr">
        <is>
          <t>Macro Alta Vol</t>
        </is>
      </c>
      <c r="I149" s="7" t="n">
        <v>100</v>
      </c>
      <c r="J149" s="8" t="n">
        <v>2</v>
      </c>
      <c r="K149" s="8" t="n"/>
      <c r="L149" s="4" t="inlineStr"/>
      <c r="M149" s="5" t="n">
        <v>2</v>
      </c>
      <c r="N149" s="5" t="n">
        <v>3</v>
      </c>
      <c r="O149" s="5" t="n"/>
      <c r="P149" s="4" t="inlineStr"/>
      <c r="Q149" s="4" t="inlineStr">
        <is>
          <t>Não</t>
        </is>
      </c>
      <c r="R149" s="4" t="inlineStr">
        <is>
          <t>Site (navegador)</t>
        </is>
      </c>
      <c r="S149" s="4" t="n">
        <v>1</v>
      </c>
      <c r="T149" s="4" t="inlineStr">
        <is>
          <t>Não</t>
        </is>
      </c>
      <c r="U149" s="4" t="inlineStr">
        <is>
          <t>Sim</t>
        </is>
      </c>
      <c r="V149" s="4" t="inlineStr">
        <is>
          <t>Não</t>
        </is>
      </c>
      <c r="W149" s="4" t="inlineStr"/>
    </row>
    <row r="150">
      <c r="A150" s="4" t="inlineStr">
        <is>
          <t>XP Investimentos</t>
        </is>
      </c>
      <c r="B150" s="4" t="inlineStr">
        <is>
          <t>Safari Prev 100 XP Seg FIM FIE</t>
        </is>
      </c>
      <c r="C150" s="6" t="inlineStr">
        <is>
          <t>33.378.232/0001-37</t>
        </is>
      </c>
      <c r="D150" s="4" t="inlineStr">
        <is>
          <t>SAFARI CAPITAL GESTÃO DE RECURSOS LTDA.</t>
        </is>
      </c>
      <c r="E150" s="4" t="inlineStr">
        <is>
          <t>21.850.329/0001-11</t>
        </is>
      </c>
      <c r="F150" s="4" t="inlineStr">
        <is>
          <t>BNY Mellon DTVM</t>
        </is>
      </c>
      <c r="G150" s="4" t="inlineStr">
        <is>
          <t>Multimercado</t>
        </is>
      </c>
      <c r="H150" s="4" t="inlineStr">
        <is>
          <t>Renda Variável Long Biased</t>
        </is>
      </c>
      <c r="I150" s="7" t="n">
        <v>100</v>
      </c>
      <c r="J150" s="8" t="n">
        <v>2</v>
      </c>
      <c r="K150" s="8" t="n"/>
      <c r="L150" s="4" t="inlineStr"/>
      <c r="M150" s="5" t="n">
        <v>33</v>
      </c>
      <c r="N150" s="5" t="n">
        <v>2</v>
      </c>
      <c r="O150" s="5" t="n"/>
      <c r="P150" s="4" t="inlineStr"/>
      <c r="Q150" s="4" t="inlineStr">
        <is>
          <t>Sim</t>
        </is>
      </c>
      <c r="R150" s="4" t="inlineStr">
        <is>
          <t>Site (navegador)</t>
        </is>
      </c>
      <c r="S150" s="4" t="n">
        <v>1</v>
      </c>
      <c r="T150" s="4" t="inlineStr">
        <is>
          <t>Não</t>
        </is>
      </c>
      <c r="U150" s="4" t="inlineStr">
        <is>
          <t>Sim</t>
        </is>
      </c>
      <c r="V150" s="4" t="inlineStr">
        <is>
          <t>Não</t>
        </is>
      </c>
      <c r="W150" s="4" t="inlineStr"/>
    </row>
    <row r="151">
      <c r="A151" s="4" t="inlineStr">
        <is>
          <t>XP Investimentos</t>
        </is>
      </c>
      <c r="B151" s="4" t="inlineStr">
        <is>
          <t>Safra Prev Vitesse Plus Advisory FIC RF CP Prev RL</t>
        </is>
      </c>
      <c r="C151" s="6" t="inlineStr">
        <is>
          <t>57.850.204/0001-39</t>
        </is>
      </c>
      <c r="D151" s="4" t="inlineStr">
        <is>
          <t>TURMALINA GESTÃO E ADMINISTRAÇÃO DE RECURSOS S.A.</t>
        </is>
      </c>
      <c r="E151" s="4" t="inlineStr">
        <is>
          <t>43.826.833/0001-19</t>
        </is>
      </c>
      <c r="F151" s="4" t="inlineStr">
        <is>
          <t>SAFRA SERVIÇOS DE ADMINISTRAÇÃO FIDUCIÁRIA</t>
        </is>
      </c>
      <c r="G151" s="4" t="inlineStr">
        <is>
          <t>Renda Fixa</t>
        </is>
      </c>
      <c r="H151" s="4" t="inlineStr">
        <is>
          <t>Crédito High Grade</t>
        </is>
      </c>
      <c r="I151" s="7" t="n">
        <v>100</v>
      </c>
      <c r="J151" s="8" t="n">
        <v>0.8</v>
      </c>
      <c r="K151" s="8" t="n"/>
      <c r="L151" s="4" t="inlineStr"/>
      <c r="M151" s="5" t="n">
        <v>9</v>
      </c>
      <c r="N151" s="5" t="n">
        <v>1</v>
      </c>
      <c r="O151" s="5" t="n"/>
      <c r="P151" s="4" t="inlineStr"/>
      <c r="Q151" s="4" t="inlineStr">
        <is>
          <t>Não</t>
        </is>
      </c>
      <c r="R151" s="4" t="inlineStr">
        <is>
          <t>Site (navegador)</t>
        </is>
      </c>
      <c r="S151" s="4" t="n">
        <v>1</v>
      </c>
      <c r="T151" s="4" t="inlineStr">
        <is>
          <t>Não</t>
        </is>
      </c>
      <c r="U151" s="4" t="inlineStr">
        <is>
          <t>Sim</t>
        </is>
      </c>
      <c r="V151" s="4" t="inlineStr">
        <is>
          <t>Não</t>
        </is>
      </c>
      <c r="W151" s="4" t="inlineStr"/>
    </row>
    <row r="152">
      <c r="A152" s="4" t="inlineStr">
        <is>
          <t>XP Investimentos</t>
        </is>
      </c>
      <c r="B152" s="4" t="inlineStr">
        <is>
          <t>Selection Multimercado XP Seg FIC FIM</t>
        </is>
      </c>
      <c r="C152" s="6" t="inlineStr">
        <is>
          <t>35.386.842/0001-08</t>
        </is>
      </c>
      <c r="D152" s="4" t="inlineStr">
        <is>
          <t>XP ADVISORY GESTAO DE RECURSOS LTDA</t>
        </is>
      </c>
      <c r="E152" s="4" t="inlineStr">
        <is>
          <t>15.289.957/0001-77</t>
        </is>
      </c>
      <c r="F152" s="4" t="inlineStr">
        <is>
          <t>XP Investimentos</t>
        </is>
      </c>
      <c r="G152" s="4" t="inlineStr">
        <is>
          <t>Multimercado</t>
        </is>
      </c>
      <c r="H152" s="4" t="inlineStr">
        <is>
          <t>Multiestratégia</t>
        </is>
      </c>
      <c r="I152" s="7" t="n">
        <v>100</v>
      </c>
      <c r="J152" s="8" t="n">
        <v>0.8</v>
      </c>
      <c r="K152" s="8" t="n"/>
      <c r="L152" s="4" t="inlineStr"/>
      <c r="M152" s="5" t="n">
        <v>7</v>
      </c>
      <c r="N152" s="5" t="n">
        <v>2</v>
      </c>
      <c r="O152" s="5" t="n"/>
      <c r="P152" s="4" t="inlineStr"/>
      <c r="Q152" s="4" t="inlineStr">
        <is>
          <t>Não</t>
        </is>
      </c>
      <c r="R152" s="4" t="inlineStr">
        <is>
          <t>Site (navegador)</t>
        </is>
      </c>
      <c r="S152" s="4" t="n">
        <v>1</v>
      </c>
      <c r="T152" s="4" t="inlineStr">
        <is>
          <t>Não</t>
        </is>
      </c>
      <c r="U152" s="4" t="inlineStr">
        <is>
          <t>Sim</t>
        </is>
      </c>
      <c r="V152" s="4" t="inlineStr">
        <is>
          <t>Não</t>
        </is>
      </c>
      <c r="W152" s="4" t="inlineStr"/>
    </row>
    <row r="153">
      <c r="A153" s="4" t="inlineStr">
        <is>
          <t>XP Investimentos</t>
        </is>
      </c>
      <c r="B153" s="4" t="inlineStr">
        <is>
          <t>Sharp Equity Value 100 XP Seg Prev FIC FIM</t>
        </is>
      </c>
      <c r="C153" s="6" t="inlineStr">
        <is>
          <t>35.957.156/0001-40</t>
        </is>
      </c>
      <c r="D153" s="4" t="inlineStr">
        <is>
          <t>XP VIDA E PREVIDÊNCIA S.A.</t>
        </is>
      </c>
      <c r="E153" s="4" t="inlineStr">
        <is>
          <t>29.408.732/0001-05</t>
        </is>
      </c>
      <c r="F153" s="4" t="inlineStr">
        <is>
          <t>BNY Mellon DTVM</t>
        </is>
      </c>
      <c r="G153" s="4" t="inlineStr">
        <is>
          <t>Multimercado</t>
        </is>
      </c>
      <c r="H153" s="4" t="inlineStr">
        <is>
          <t>Renda Variável Long Biased</t>
        </is>
      </c>
      <c r="I153" s="7" t="n">
        <v>100</v>
      </c>
      <c r="J153" s="8" t="n">
        <v>2</v>
      </c>
      <c r="K153" s="8" t="n"/>
      <c r="L153" s="4" t="inlineStr"/>
      <c r="M153" s="5" t="n">
        <v>22</v>
      </c>
      <c r="N153" s="5" t="n">
        <v>2</v>
      </c>
      <c r="O153" s="5" t="n"/>
      <c r="P153" s="4" t="inlineStr"/>
      <c r="Q153" s="4" t="inlineStr">
        <is>
          <t>Não</t>
        </is>
      </c>
      <c r="R153" s="4" t="inlineStr">
        <is>
          <t>Site (navegador)</t>
        </is>
      </c>
      <c r="S153" s="4" t="n">
        <v>1</v>
      </c>
      <c r="T153" s="4" t="inlineStr">
        <is>
          <t>Não</t>
        </is>
      </c>
      <c r="U153" s="4" t="inlineStr">
        <is>
          <t>Sim</t>
        </is>
      </c>
      <c r="V153" s="4" t="inlineStr">
        <is>
          <t>Não</t>
        </is>
      </c>
      <c r="W153" s="4" t="inlineStr"/>
    </row>
    <row r="154">
      <c r="A154" s="4" t="inlineStr">
        <is>
          <t>XP Investimentos</t>
        </is>
      </c>
      <c r="B154" s="4" t="inlineStr">
        <is>
          <t>Solis Antares XP Seg Prev FIC FIRF CP</t>
        </is>
      </c>
      <c r="C154" s="6" t="inlineStr">
        <is>
          <t>41.866.372/0001-82</t>
        </is>
      </c>
      <c r="D154" s="4" t="inlineStr">
        <is>
          <t>XP VIDA E PREVIDÊNCIA S.A.</t>
        </is>
      </c>
      <c r="E154" s="4" t="inlineStr">
        <is>
          <t>29.408.732/0001-05</t>
        </is>
      </c>
      <c r="F154" s="4" t="inlineStr">
        <is>
          <t>XP Serviços Financeiros DTVM LTDA</t>
        </is>
      </c>
      <c r="G154" s="4" t="inlineStr">
        <is>
          <t>Renda Fixa</t>
        </is>
      </c>
      <c r="H154" s="4" t="inlineStr">
        <is>
          <t>Crédito High Yield</t>
        </is>
      </c>
      <c r="I154" s="7" t="n">
        <v>100</v>
      </c>
      <c r="J154" s="8" t="n">
        <v>0.9</v>
      </c>
      <c r="K154" s="8" t="n"/>
      <c r="L154" s="4" t="inlineStr"/>
      <c r="M154" s="5" t="n">
        <v>21</v>
      </c>
      <c r="N154" s="5" t="n">
        <v>1</v>
      </c>
      <c r="O154" s="5" t="n"/>
      <c r="P154" s="4" t="inlineStr"/>
      <c r="Q154" s="4" t="inlineStr">
        <is>
          <t>Sim</t>
        </is>
      </c>
      <c r="R154" s="4" t="inlineStr">
        <is>
          <t>Site (navegador)</t>
        </is>
      </c>
      <c r="S154" s="4" t="n">
        <v>1</v>
      </c>
      <c r="T154" s="4" t="inlineStr">
        <is>
          <t>Não</t>
        </is>
      </c>
      <c r="U154" s="4" t="inlineStr">
        <is>
          <t>Sim</t>
        </is>
      </c>
      <c r="V154" s="4" t="inlineStr">
        <is>
          <t>Não</t>
        </is>
      </c>
      <c r="W154" s="4" t="inlineStr"/>
    </row>
    <row r="155">
      <c r="A155" s="4" t="inlineStr">
        <is>
          <t>XP Investimentos</t>
        </is>
      </c>
      <c r="B155" s="4" t="inlineStr">
        <is>
          <t>Sparta Inflação Prev Advisory XP Seg FIC FIRF CP</t>
        </is>
      </c>
      <c r="C155" s="6" t="inlineStr">
        <is>
          <t>44.843.813/0001-19</t>
        </is>
      </c>
      <c r="D155" s="4" t="inlineStr">
        <is>
          <t>XP VIDA E PREVIDÊNCIA S.A.</t>
        </is>
      </c>
      <c r="E155" s="4" t="inlineStr">
        <is>
          <t>29.408.732/0001-05</t>
        </is>
      </c>
      <c r="F155" s="4" t="inlineStr">
        <is>
          <t>XP Investimentos</t>
        </is>
      </c>
      <c r="G155" s="4" t="inlineStr">
        <is>
          <t>Renda Fixa</t>
        </is>
      </c>
      <c r="H155" s="4" t="inlineStr">
        <is>
          <t>Renda Fixa Inflação</t>
        </is>
      </c>
      <c r="I155" s="7" t="n">
        <v>100</v>
      </c>
      <c r="J155" s="8" t="n">
        <v>1.1</v>
      </c>
      <c r="K155" s="8" t="n"/>
      <c r="L155" s="4" t="inlineStr"/>
      <c r="M155" s="5" t="n">
        <v>5</v>
      </c>
      <c r="N155" s="5" t="n">
        <v>1</v>
      </c>
      <c r="O155" s="5" t="n"/>
      <c r="P155" s="4" t="inlineStr"/>
      <c r="Q155" s="4" t="inlineStr">
        <is>
          <t>Não</t>
        </is>
      </c>
      <c r="R155" s="4" t="inlineStr">
        <is>
          <t>Site (navegador)</t>
        </is>
      </c>
      <c r="S155" s="4" t="n">
        <v>1</v>
      </c>
      <c r="T155" s="4" t="inlineStr">
        <is>
          <t>Não</t>
        </is>
      </c>
      <c r="U155" s="4" t="inlineStr">
        <is>
          <t>Sim</t>
        </is>
      </c>
      <c r="V155" s="4" t="inlineStr">
        <is>
          <t>Não</t>
        </is>
      </c>
      <c r="W155" s="4" t="inlineStr"/>
    </row>
    <row r="156">
      <c r="A156" s="4" t="inlineStr">
        <is>
          <t>XP Investimentos</t>
        </is>
      </c>
      <c r="B156" s="4" t="inlineStr">
        <is>
          <t>Sparta Prev Advisory Xp Seg Fic Rf Cp Rl</t>
        </is>
      </c>
      <c r="C156" s="6" t="inlineStr">
        <is>
          <t>32.239.012/0001-60</t>
        </is>
      </c>
      <c r="D156" s="4" t="inlineStr">
        <is>
          <t>XP VIDA E PREVIDÊNCIA S.A.</t>
        </is>
      </c>
      <c r="E156" s="4" t="inlineStr">
        <is>
          <t>29.408.732/0001-05</t>
        </is>
      </c>
      <c r="F156" s="4" t="inlineStr">
        <is>
          <t>XPI Administradora - Modal</t>
        </is>
      </c>
      <c r="G156" s="4" t="inlineStr">
        <is>
          <t>Renda Fixa</t>
        </is>
      </c>
      <c r="H156" s="4" t="inlineStr">
        <is>
          <t>Crédito High Grade</t>
        </is>
      </c>
      <c r="I156" s="7" t="n">
        <v>100</v>
      </c>
      <c r="J156" s="8" t="n">
        <v>0.8</v>
      </c>
      <c r="K156" s="8" t="n"/>
      <c r="L156" s="4" t="inlineStr"/>
      <c r="M156" s="5" t="n">
        <v>5</v>
      </c>
      <c r="N156" s="5" t="n">
        <v>1</v>
      </c>
      <c r="O156" s="5" t="n"/>
      <c r="P156" s="4" t="inlineStr"/>
      <c r="Q156" s="4" t="inlineStr">
        <is>
          <t>Não</t>
        </is>
      </c>
      <c r="R156" s="4" t="inlineStr">
        <is>
          <t>Site (navegador)</t>
        </is>
      </c>
      <c r="S156" s="4" t="n">
        <v>1</v>
      </c>
      <c r="T156" s="4" t="inlineStr">
        <is>
          <t>Não</t>
        </is>
      </c>
      <c r="U156" s="4" t="inlineStr">
        <is>
          <t>Sim</t>
        </is>
      </c>
      <c r="V156" s="4" t="inlineStr">
        <is>
          <t>Não</t>
        </is>
      </c>
      <c r="W156" s="4" t="inlineStr"/>
    </row>
    <row r="157">
      <c r="A157" s="4" t="inlineStr">
        <is>
          <t>XP Investimentos</t>
        </is>
      </c>
      <c r="B157" s="4" t="inlineStr">
        <is>
          <t>Spx Lancer Xp Seg Prev I Fic Fim Rl</t>
        </is>
      </c>
      <c r="C157" s="6" t="inlineStr">
        <is>
          <t>31.569.954/0001-43</t>
        </is>
      </c>
      <c r="D157" s="4" t="inlineStr">
        <is>
          <t>XP VIDA E PREVIDÊNCIA S.A.</t>
        </is>
      </c>
      <c r="E157" s="4" t="inlineStr">
        <is>
          <t>29.408.732/0001-05</t>
        </is>
      </c>
      <c r="F157" s="4" t="inlineStr">
        <is>
          <t>XP Investimentos</t>
        </is>
      </c>
      <c r="G157" s="4" t="inlineStr">
        <is>
          <t>Multimercado</t>
        </is>
      </c>
      <c r="H157" s="4" t="inlineStr">
        <is>
          <t>Macro Alta Vol</t>
        </is>
      </c>
      <c r="I157" s="7" t="n">
        <v>100</v>
      </c>
      <c r="J157" s="8" t="n">
        <v>2</v>
      </c>
      <c r="K157" s="8" t="n"/>
      <c r="L157" s="4" t="inlineStr"/>
      <c r="M157" s="5" t="n">
        <v>2</v>
      </c>
      <c r="N157" s="5" t="n">
        <v>3</v>
      </c>
      <c r="O157" s="5" t="n"/>
      <c r="P157" s="4" t="inlineStr"/>
      <c r="Q157" s="4" t="inlineStr">
        <is>
          <t>Não</t>
        </is>
      </c>
      <c r="R157" s="4" t="inlineStr">
        <is>
          <t>Site (navegador)</t>
        </is>
      </c>
      <c r="S157" s="4" t="n">
        <v>1</v>
      </c>
      <c r="T157" s="4" t="inlineStr">
        <is>
          <t>Não</t>
        </is>
      </c>
      <c r="U157" s="4" t="inlineStr">
        <is>
          <t>Sim</t>
        </is>
      </c>
      <c r="V157" s="4" t="inlineStr">
        <is>
          <t>Não</t>
        </is>
      </c>
      <c r="W157" s="4" t="inlineStr"/>
    </row>
    <row r="158">
      <c r="A158" s="4" t="inlineStr">
        <is>
          <t>XP Investimentos</t>
        </is>
      </c>
      <c r="B158" s="4" t="inlineStr">
        <is>
          <t>Spx Long Bias Xp Seguros Prev Fic Fim Rl</t>
        </is>
      </c>
      <c r="C158" s="6" t="inlineStr">
        <is>
          <t>40.526.764/0001-30</t>
        </is>
      </c>
      <c r="D158" s="4" t="inlineStr">
        <is>
          <t>XP VIDA E PREVIDÊNCIA S.A.</t>
        </is>
      </c>
      <c r="E158" s="4" t="inlineStr">
        <is>
          <t>29.408.732/0001-05</t>
        </is>
      </c>
      <c r="F158" s="4" t="inlineStr">
        <is>
          <t>XP Investimentos</t>
        </is>
      </c>
      <c r="G158" s="4" t="inlineStr">
        <is>
          <t>Multimercado</t>
        </is>
      </c>
      <c r="H158" s="4" t="inlineStr">
        <is>
          <t>Renda Variável Long Biased</t>
        </is>
      </c>
      <c r="I158" s="7" t="n">
        <v>100</v>
      </c>
      <c r="J158" s="8" t="n">
        <v>2</v>
      </c>
      <c r="K158" s="8" t="n"/>
      <c r="L158" s="4" t="inlineStr"/>
      <c r="M158" s="5" t="n">
        <v>30</v>
      </c>
      <c r="N158" s="5" t="n">
        <v>2</v>
      </c>
      <c r="O158" s="5" t="n"/>
      <c r="P158" s="4" t="inlineStr"/>
      <c r="Q158" s="4" t="inlineStr">
        <is>
          <t>Sim</t>
        </is>
      </c>
      <c r="R158" s="4" t="inlineStr">
        <is>
          <t>Site (navegador)</t>
        </is>
      </c>
      <c r="S158" s="4" t="n">
        <v>1</v>
      </c>
      <c r="T158" s="4" t="inlineStr">
        <is>
          <t>Não</t>
        </is>
      </c>
      <c r="U158" s="4" t="inlineStr">
        <is>
          <t>Sim</t>
        </is>
      </c>
      <c r="V158" s="4" t="inlineStr">
        <is>
          <t>Não</t>
        </is>
      </c>
      <c r="W158" s="4" t="inlineStr"/>
    </row>
    <row r="159">
      <c r="A159" s="4" t="inlineStr">
        <is>
          <t>XP Investimentos</t>
        </is>
      </c>
      <c r="B159" s="4" t="inlineStr">
        <is>
          <t>Spx Seahawk Plus XP Seg Prev FIC FIM CP</t>
        </is>
      </c>
      <c r="C159" s="6" t="inlineStr">
        <is>
          <t>43.636.185/0001-38</t>
        </is>
      </c>
      <c r="D159" s="4" t="inlineStr">
        <is>
          <t>XP VIDA E PREVIDÊNCIA S.A.</t>
        </is>
      </c>
      <c r="E159" s="4" t="inlineStr">
        <is>
          <t>29.408.732/0001-05</t>
        </is>
      </c>
      <c r="F159" s="4" t="inlineStr">
        <is>
          <t>XP Investimentos</t>
        </is>
      </c>
      <c r="G159" s="4" t="inlineStr">
        <is>
          <t>Multimercado</t>
        </is>
      </c>
      <c r="H159" s="4" t="inlineStr">
        <is>
          <t>Crédito Híbrido</t>
        </is>
      </c>
      <c r="I159" s="7" t="n">
        <v>100</v>
      </c>
      <c r="J159" s="8" t="n">
        <v>0.8</v>
      </c>
      <c r="K159" s="8" t="n"/>
      <c r="L159" s="4" t="inlineStr"/>
      <c r="M159" s="5" t="n">
        <v>8</v>
      </c>
      <c r="N159" s="5" t="n">
        <v>1</v>
      </c>
      <c r="O159" s="5" t="n"/>
      <c r="P159" s="4" t="inlineStr"/>
      <c r="Q159" s="4" t="inlineStr">
        <is>
          <t>Não</t>
        </is>
      </c>
      <c r="R159" s="4" t="inlineStr">
        <is>
          <t>Site (navegador)</t>
        </is>
      </c>
      <c r="S159" s="4" t="n">
        <v>1</v>
      </c>
      <c r="T159" s="4" t="inlineStr">
        <is>
          <t>Não</t>
        </is>
      </c>
      <c r="U159" s="4" t="inlineStr">
        <is>
          <t>Sim</t>
        </is>
      </c>
      <c r="V159" s="4" t="inlineStr">
        <is>
          <t>Não</t>
        </is>
      </c>
      <c r="W159" s="4" t="inlineStr"/>
    </row>
    <row r="160">
      <c r="A160" s="4" t="inlineStr">
        <is>
          <t>XP Investimentos</t>
        </is>
      </c>
      <c r="B160" s="4" t="inlineStr">
        <is>
          <t>Sulamérica Crédito Esg Xp Seg Prev Fic Rf Cp Is Rl</t>
        </is>
      </c>
      <c r="C160" s="6" t="inlineStr">
        <is>
          <t>61.038.314/0001-78</t>
        </is>
      </c>
      <c r="D160" s="4" t="inlineStr">
        <is>
          <t>Sul América Gestão de Investimentos S.A.</t>
        </is>
      </c>
      <c r="E160" s="4" t="inlineStr">
        <is>
          <t>54.286.457/0001-33</t>
        </is>
      </c>
      <c r="F160" s="4" t="inlineStr">
        <is>
          <t>SulAmérica DTVM</t>
        </is>
      </c>
      <c r="G160" s="4" t="inlineStr">
        <is>
          <t>Renda Fixa</t>
        </is>
      </c>
      <c r="H160" s="4" t="inlineStr">
        <is>
          <t>Crédito High Grade</t>
        </is>
      </c>
      <c r="I160" s="7" t="n">
        <v>100</v>
      </c>
      <c r="J160" s="8" t="n">
        <v>0.9</v>
      </c>
      <c r="K160" s="8" t="n"/>
      <c r="L160" s="4" t="inlineStr"/>
      <c r="M160" s="5" t="n">
        <v>7</v>
      </c>
      <c r="N160" s="5" t="n">
        <v>1</v>
      </c>
      <c r="O160" s="5" t="n"/>
      <c r="P160" s="4" t="inlineStr"/>
      <c r="Q160" s="4" t="inlineStr">
        <is>
          <t>Não</t>
        </is>
      </c>
      <c r="R160" s="4" t="inlineStr">
        <is>
          <t>Site (navegador)</t>
        </is>
      </c>
      <c r="S160" s="4" t="n">
        <v>1</v>
      </c>
      <c r="T160" s="4" t="inlineStr">
        <is>
          <t>Não</t>
        </is>
      </c>
      <c r="U160" s="4" t="inlineStr">
        <is>
          <t>Sim</t>
        </is>
      </c>
      <c r="V160" s="4" t="inlineStr">
        <is>
          <t>Não</t>
        </is>
      </c>
      <c r="W160" s="4" t="inlineStr"/>
    </row>
    <row r="161">
      <c r="A161" s="4" t="inlineStr">
        <is>
          <t>XP Investimentos</t>
        </is>
      </c>
      <c r="B161" s="4" t="inlineStr">
        <is>
          <t>Sulamérica Prestige Strategie Prev XP Seg FICFIRF CP RL</t>
        </is>
      </c>
      <c r="C161" s="6" t="inlineStr">
        <is>
          <t>45.299.196/0001-03</t>
        </is>
      </c>
      <c r="D161" s="4" t="inlineStr">
        <is>
          <t>XP VIDA E PREVIDÊNCIA S.A.</t>
        </is>
      </c>
      <c r="E161" s="4" t="inlineStr">
        <is>
          <t>29.408.732/0001-05</t>
        </is>
      </c>
      <c r="F161" s="4" t="inlineStr">
        <is>
          <t>XP Investimentos</t>
        </is>
      </c>
      <c r="G161" s="4" t="inlineStr">
        <is>
          <t>Multimercado</t>
        </is>
      </c>
      <c r="H161" s="4" t="inlineStr">
        <is>
          <t>Crédito Liquidez</t>
        </is>
      </c>
      <c r="I161" s="7" t="n">
        <v>100</v>
      </c>
      <c r="J161" s="8" t="n">
        <v>0.8</v>
      </c>
      <c r="K161" s="8" t="n"/>
      <c r="L161" s="4" t="inlineStr"/>
      <c r="M161" s="5" t="n">
        <v>0</v>
      </c>
      <c r="N161" s="5" t="n">
        <v>1</v>
      </c>
      <c r="O161" s="5" t="n"/>
      <c r="P161" s="4" t="inlineStr"/>
      <c r="Q161" s="4" t="inlineStr">
        <is>
          <t>Não</t>
        </is>
      </c>
      <c r="R161" s="4" t="inlineStr">
        <is>
          <t>Site (navegador)</t>
        </is>
      </c>
      <c r="S161" s="4" t="n">
        <v>1</v>
      </c>
      <c r="T161" s="4" t="inlineStr">
        <is>
          <t>Não</t>
        </is>
      </c>
      <c r="U161" s="4" t="inlineStr">
        <is>
          <t>Sim</t>
        </is>
      </c>
      <c r="V161" s="4" t="inlineStr">
        <is>
          <t>Não</t>
        </is>
      </c>
      <c r="W161" s="4" t="inlineStr"/>
    </row>
    <row r="162">
      <c r="A162" s="4" t="inlineStr">
        <is>
          <t>XP Investimentos</t>
        </is>
      </c>
      <c r="B162" s="4" t="inlineStr">
        <is>
          <t>Sulamérica Prestige Xp Seg Prev Fif Rf Rl</t>
        </is>
      </c>
      <c r="C162" s="6" t="inlineStr">
        <is>
          <t>46.334.681/0001-25</t>
        </is>
      </c>
      <c r="D162" s="4" t="inlineStr">
        <is>
          <t>SUL AMÉRICA INVESTIMENTOS GESTORA DE RECURSOS S.A.</t>
        </is>
      </c>
      <c r="E162" s="4" t="inlineStr">
        <is>
          <t>21.813.291/0001-07</t>
        </is>
      </c>
      <c r="F162" s="4" t="inlineStr">
        <is>
          <t>SulAmérica DTVM</t>
        </is>
      </c>
      <c r="G162" s="4" t="inlineStr">
        <is>
          <t>Renda Fixa</t>
        </is>
      </c>
      <c r="H162" s="4" t="inlineStr">
        <is>
          <t>Crédito Liquidez</t>
        </is>
      </c>
      <c r="I162" s="7" t="n">
        <v>100</v>
      </c>
      <c r="J162" s="8" t="n">
        <v>0.7</v>
      </c>
      <c r="K162" s="8" t="n"/>
      <c r="L162" s="4" t="inlineStr"/>
      <c r="M162" s="5" t="n">
        <v>0</v>
      </c>
      <c r="N162" s="5" t="n">
        <v>1</v>
      </c>
      <c r="O162" s="5" t="n"/>
      <c r="P162" s="4" t="inlineStr"/>
      <c r="Q162" s="4" t="inlineStr">
        <is>
          <t>Não</t>
        </is>
      </c>
      <c r="R162" s="4" t="inlineStr">
        <is>
          <t>Site (navegador)</t>
        </is>
      </c>
      <c r="S162" s="4" t="n">
        <v>1</v>
      </c>
      <c r="T162" s="4" t="inlineStr">
        <is>
          <t>Não</t>
        </is>
      </c>
      <c r="U162" s="4" t="inlineStr">
        <is>
          <t>Sim</t>
        </is>
      </c>
      <c r="V162" s="4" t="inlineStr">
        <is>
          <t>Não</t>
        </is>
      </c>
      <c r="W162" s="4" t="inlineStr"/>
    </row>
    <row r="163">
      <c r="A163" s="4" t="inlineStr">
        <is>
          <t>XP Investimentos</t>
        </is>
      </c>
      <c r="B163" s="4" t="inlineStr">
        <is>
          <t>Suno Ações Xp Seg Prev Fic Fim Rl</t>
        </is>
      </c>
      <c r="C163" s="6" t="inlineStr">
        <is>
          <t>44.814.968/0001-27</t>
        </is>
      </c>
      <c r="D163" s="4" t="inlineStr">
        <is>
          <t>XP VIDA E PREVIDÊNCIA S.A.</t>
        </is>
      </c>
      <c r="E163" s="4" t="inlineStr">
        <is>
          <t>29.408.732/0001-05</t>
        </is>
      </c>
      <c r="F163" s="4" t="inlineStr">
        <is>
          <t>XP Investimentos</t>
        </is>
      </c>
      <c r="G163" s="4" t="inlineStr">
        <is>
          <t>Multimercado</t>
        </is>
      </c>
      <c r="H163" s="4" t="inlineStr">
        <is>
          <t>Renda Variável Long Only</t>
        </is>
      </c>
      <c r="I163" s="7" t="n">
        <v>100</v>
      </c>
      <c r="J163" s="8" t="n">
        <v>2</v>
      </c>
      <c r="K163" s="8" t="n"/>
      <c r="L163" s="4" t="inlineStr"/>
      <c r="M163" s="5" t="n">
        <v>7</v>
      </c>
      <c r="N163" s="5" t="n">
        <v>2</v>
      </c>
      <c r="O163" s="5" t="n"/>
      <c r="P163" s="4" t="inlineStr"/>
      <c r="Q163" s="4" t="inlineStr">
        <is>
          <t>Não</t>
        </is>
      </c>
      <c r="R163" s="4" t="inlineStr">
        <is>
          <t>Site (navegador)</t>
        </is>
      </c>
      <c r="S163" s="4" t="n">
        <v>1</v>
      </c>
      <c r="T163" s="4" t="inlineStr">
        <is>
          <t>Não</t>
        </is>
      </c>
      <c r="U163" s="4" t="inlineStr">
        <is>
          <t>Sim</t>
        </is>
      </c>
      <c r="V163" s="4" t="inlineStr">
        <is>
          <t>Não</t>
        </is>
      </c>
      <c r="W163" s="4" t="inlineStr"/>
    </row>
    <row r="164">
      <c r="A164" s="4" t="inlineStr">
        <is>
          <t>XP Investimentos</t>
        </is>
      </c>
      <c r="B164" s="4" t="inlineStr">
        <is>
          <t>Tivio Alt Light XP Seg Prev FI FIM CP RL</t>
        </is>
      </c>
      <c r="C164" s="6" t="inlineStr">
        <is>
          <t>53.991.177/0001-63</t>
        </is>
      </c>
      <c r="D164" s="4" t="inlineStr">
        <is>
          <t>TIVIO CAPITAL DISTRIBUIDORA DE TITULOS E VALORES MOBILIARIOS S.A.</t>
        </is>
      </c>
      <c r="E164" s="4" t="inlineStr">
        <is>
          <t>03.384.738/0001-98</t>
        </is>
      </c>
      <c r="F164" s="4" t="inlineStr">
        <is>
          <t>XP Investimentos</t>
        </is>
      </c>
      <c r="G164" s="4" t="inlineStr">
        <is>
          <t>Multimercado</t>
        </is>
      </c>
      <c r="H164" s="4" t="inlineStr"/>
      <c r="I164" s="7" t="n">
        <v>100</v>
      </c>
      <c r="J164" s="8" t="n">
        <v>1.15</v>
      </c>
      <c r="K164" s="8" t="n"/>
      <c r="L164" s="4" t="inlineStr"/>
      <c r="M164" s="5" t="n">
        <v>50</v>
      </c>
      <c r="N164" s="5" t="n">
        <v>2</v>
      </c>
      <c r="O164" s="5" t="n"/>
      <c r="P164" s="4" t="inlineStr"/>
      <c r="Q164" s="4" t="inlineStr">
        <is>
          <t>Sim</t>
        </is>
      </c>
      <c r="R164" s="4" t="inlineStr">
        <is>
          <t>Site (navegador)</t>
        </is>
      </c>
      <c r="S164" s="4" t="n">
        <v>1</v>
      </c>
      <c r="T164" s="4" t="inlineStr">
        <is>
          <t>Não</t>
        </is>
      </c>
      <c r="U164" s="4" t="inlineStr">
        <is>
          <t>Sim</t>
        </is>
      </c>
      <c r="V164" s="4" t="inlineStr">
        <is>
          <t>Não</t>
        </is>
      </c>
      <c r="W164" s="4" t="inlineStr"/>
    </row>
    <row r="165">
      <c r="A165" s="4" t="inlineStr">
        <is>
          <t>XP Investimentos</t>
        </is>
      </c>
      <c r="B165" s="4" t="inlineStr">
        <is>
          <t>Tork Long Only XP Seg Prev FIC FIA FIE</t>
        </is>
      </c>
      <c r="C165" s="6" t="inlineStr">
        <is>
          <t>34.432.014/0001-04</t>
        </is>
      </c>
      <c r="D165" s="4" t="inlineStr">
        <is>
          <t>XP GESTÃO DE RECURSOS LTDA</t>
        </is>
      </c>
      <c r="E165" s="4" t="inlineStr">
        <is>
          <t>07.625.200/0001-89</t>
        </is>
      </c>
      <c r="F165" s="4" t="inlineStr">
        <is>
          <t>BTG Pactual DTVM</t>
        </is>
      </c>
      <c r="G165" s="4" t="inlineStr">
        <is>
          <t>Multimercado</t>
        </is>
      </c>
      <c r="H165" s="4" t="inlineStr">
        <is>
          <t>Renda Variável Long Biased</t>
        </is>
      </c>
      <c r="I165" s="7" t="n">
        <v>100</v>
      </c>
      <c r="J165" s="8" t="n">
        <v>2</v>
      </c>
      <c r="K165" s="8" t="n"/>
      <c r="L165" s="4" t="inlineStr"/>
      <c r="M165" s="5" t="n">
        <v>30</v>
      </c>
      <c r="N165" s="5" t="n">
        <v>2</v>
      </c>
      <c r="O165" s="5" t="n"/>
      <c r="P165" s="4" t="inlineStr"/>
      <c r="Q165" s="4" t="inlineStr">
        <is>
          <t>Sim</t>
        </is>
      </c>
      <c r="R165" s="4" t="inlineStr">
        <is>
          <t>Site (navegador)</t>
        </is>
      </c>
      <c r="S165" s="4" t="n">
        <v>1</v>
      </c>
      <c r="T165" s="4" t="inlineStr">
        <is>
          <t>Não</t>
        </is>
      </c>
      <c r="U165" s="4" t="inlineStr">
        <is>
          <t>Sim</t>
        </is>
      </c>
      <c r="V165" s="4" t="inlineStr">
        <is>
          <t>Não</t>
        </is>
      </c>
      <c r="W165" s="4" t="inlineStr"/>
    </row>
    <row r="166">
      <c r="A166" s="4" t="inlineStr">
        <is>
          <t>XP Investimentos</t>
        </is>
      </c>
      <c r="B166" s="4" t="inlineStr">
        <is>
          <t>Trend B26 Prev XP Seg FIC FIRF RL</t>
        </is>
      </c>
      <c r="C166" s="6" t="inlineStr">
        <is>
          <t>24.714.864/0001-33</t>
        </is>
      </c>
      <c r="D166" s="4" t="inlineStr">
        <is>
          <t>XP VIDA E PREVIDÊNCIA S.A.</t>
        </is>
      </c>
      <c r="E166" s="4" t="inlineStr">
        <is>
          <t>29.408.732/0001-05</t>
        </is>
      </c>
      <c r="F166" s="4" t="inlineStr">
        <is>
          <t>XPI Administradora</t>
        </is>
      </c>
      <c r="G166" s="4" t="inlineStr">
        <is>
          <t>Renda Fixa</t>
        </is>
      </c>
      <c r="H166" s="4" t="inlineStr">
        <is>
          <t>Renda Fixa Inflação</t>
        </is>
      </c>
      <c r="I166" s="7" t="n">
        <v>100</v>
      </c>
      <c r="J166" s="8" t="n">
        <v>0.3</v>
      </c>
      <c r="K166" s="8" t="n"/>
      <c r="L166" s="4" t="inlineStr"/>
      <c r="M166" s="5" t="n">
        <v>2</v>
      </c>
      <c r="N166" s="5" t="n">
        <v>1</v>
      </c>
      <c r="O166" s="5" t="n"/>
      <c r="P166" s="4" t="inlineStr"/>
      <c r="Q166" s="4" t="inlineStr">
        <is>
          <t>Sim</t>
        </is>
      </c>
      <c r="R166" s="4" t="inlineStr">
        <is>
          <t>Site (navegador)</t>
        </is>
      </c>
      <c r="S166" s="4" t="n">
        <v>1</v>
      </c>
      <c r="T166" s="4" t="inlineStr">
        <is>
          <t>Não</t>
        </is>
      </c>
      <c r="U166" s="4" t="inlineStr">
        <is>
          <t>Sim</t>
        </is>
      </c>
      <c r="V166" s="4" t="inlineStr">
        <is>
          <t>Não</t>
        </is>
      </c>
      <c r="W166" s="4" t="inlineStr"/>
    </row>
    <row r="167">
      <c r="A167" s="4" t="inlineStr">
        <is>
          <t>XP Investimentos</t>
        </is>
      </c>
      <c r="B167" s="4" t="inlineStr">
        <is>
          <t>Trend B29 Xp Seguros Prev Firf Rl</t>
        </is>
      </c>
      <c r="C167" s="6" t="inlineStr">
        <is>
          <t>49.228.354/0001-87</t>
        </is>
      </c>
      <c r="D167" s="4" t="inlineStr">
        <is>
          <t>XP ALLOCATION ASSET MANAGEMENT LTDA</t>
        </is>
      </c>
      <c r="E167" s="4" t="inlineStr">
        <is>
          <t>37.918.829/0001-88</t>
        </is>
      </c>
      <c r="F167" s="4" t="inlineStr">
        <is>
          <t>XP Investimentos</t>
        </is>
      </c>
      <c r="G167" s="4" t="inlineStr">
        <is>
          <t>Renda Fixa</t>
        </is>
      </c>
      <c r="H167" s="4" t="inlineStr">
        <is>
          <t>Renda Fixa Inflação</t>
        </is>
      </c>
      <c r="I167" s="7" t="n">
        <v>100</v>
      </c>
      <c r="J167" s="8" t="n">
        <v>0.3</v>
      </c>
      <c r="K167" s="8" t="n"/>
      <c r="L167" s="4" t="inlineStr"/>
      <c r="M167" s="5" t="n">
        <v>0</v>
      </c>
      <c r="N167" s="5" t="n">
        <v>1</v>
      </c>
      <c r="O167" s="5" t="n"/>
      <c r="P167" s="4" t="inlineStr"/>
      <c r="Q167" s="4" t="inlineStr">
        <is>
          <t>Não</t>
        </is>
      </c>
      <c r="R167" s="4" t="inlineStr">
        <is>
          <t>Site (navegador)</t>
        </is>
      </c>
      <c r="S167" s="4" t="n">
        <v>1</v>
      </c>
      <c r="T167" s="4" t="inlineStr">
        <is>
          <t>Não</t>
        </is>
      </c>
      <c r="U167" s="4" t="inlineStr">
        <is>
          <t>Sim</t>
        </is>
      </c>
      <c r="V167" s="4" t="inlineStr">
        <is>
          <t>Não</t>
        </is>
      </c>
      <c r="W167" s="4" t="inlineStr"/>
    </row>
    <row r="168">
      <c r="A168" s="4" t="inlineStr">
        <is>
          <t>XP Investimentos</t>
        </is>
      </c>
      <c r="B168" s="4" t="inlineStr">
        <is>
          <t>Trend B35 Prev XP Seg FIC FIRF RL</t>
        </is>
      </c>
      <c r="C168" s="6" t="inlineStr">
        <is>
          <t>27.077.318/0001-27</t>
        </is>
      </c>
      <c r="D168" s="4" t="inlineStr">
        <is>
          <t>XP ALLOCATION ASSET MANAGEMENT LTDA</t>
        </is>
      </c>
      <c r="E168" s="4" t="inlineStr">
        <is>
          <t>37.918.829/0001-88</t>
        </is>
      </c>
      <c r="F168" s="4" t="inlineStr">
        <is>
          <t>XPI Administradora - Modal</t>
        </is>
      </c>
      <c r="G168" s="4" t="inlineStr">
        <is>
          <t>Renda Fixa</t>
        </is>
      </c>
      <c r="H168" s="4" t="inlineStr">
        <is>
          <t>Renda Fixa Inflação</t>
        </is>
      </c>
      <c r="I168" s="7" t="n">
        <v>100</v>
      </c>
      <c r="J168" s="8" t="n">
        <v>0.3</v>
      </c>
      <c r="K168" s="8" t="n"/>
      <c r="L168" s="4" t="inlineStr"/>
      <c r="M168" s="5" t="n">
        <v>2</v>
      </c>
      <c r="N168" s="5" t="n">
        <v>1</v>
      </c>
      <c r="O168" s="5" t="n"/>
      <c r="P168" s="4" t="inlineStr"/>
      <c r="Q168" s="4" t="inlineStr">
        <is>
          <t>Não</t>
        </is>
      </c>
      <c r="R168" s="4" t="inlineStr">
        <is>
          <t>Site (navegador)</t>
        </is>
      </c>
      <c r="S168" s="4" t="n">
        <v>1</v>
      </c>
      <c r="T168" s="4" t="inlineStr">
        <is>
          <t>Não</t>
        </is>
      </c>
      <c r="U168" s="4" t="inlineStr">
        <is>
          <t>Sim</t>
        </is>
      </c>
      <c r="V168" s="4" t="inlineStr">
        <is>
          <t>Não</t>
        </is>
      </c>
      <c r="W168" s="4" t="inlineStr"/>
    </row>
    <row r="169">
      <c r="A169" s="4" t="inlineStr">
        <is>
          <t>XP Investimentos</t>
        </is>
      </c>
      <c r="B169" s="4" t="inlineStr">
        <is>
          <t>Trend B50 Prev Xp Seg Fic Firf</t>
        </is>
      </c>
      <c r="C169" s="6" t="inlineStr">
        <is>
          <t>47.033.019/0001-06</t>
        </is>
      </c>
      <c r="D169" s="4" t="inlineStr">
        <is>
          <t>XP ALLOCATION ASSET MANAGEMENT LTDA</t>
        </is>
      </c>
      <c r="E169" s="4" t="inlineStr">
        <is>
          <t>37.918.829/0001-88</t>
        </is>
      </c>
      <c r="F169" s="4" t="inlineStr">
        <is>
          <t>XPI Administradora - Modal</t>
        </is>
      </c>
      <c r="G169" s="4" t="inlineStr">
        <is>
          <t>Renda Fixa</t>
        </is>
      </c>
      <c r="H169" s="4" t="inlineStr">
        <is>
          <t>Renda Fixa Inflação</t>
        </is>
      </c>
      <c r="I169" s="7" t="n">
        <v>100</v>
      </c>
      <c r="J169" s="8" t="n">
        <v>0.3</v>
      </c>
      <c r="K169" s="8" t="n"/>
      <c r="L169" s="4" t="inlineStr"/>
      <c r="M169" s="5" t="n">
        <v>0</v>
      </c>
      <c r="N169" s="5" t="n">
        <v>1</v>
      </c>
      <c r="O169" s="5" t="n"/>
      <c r="P169" s="4" t="inlineStr"/>
      <c r="Q169" s="4" t="inlineStr">
        <is>
          <t>Não</t>
        </is>
      </c>
      <c r="R169" s="4" t="inlineStr">
        <is>
          <t>Site (navegador)</t>
        </is>
      </c>
      <c r="S169" s="4" t="n">
        <v>1</v>
      </c>
      <c r="T169" s="4" t="inlineStr">
        <is>
          <t>Não</t>
        </is>
      </c>
      <c r="U169" s="4" t="inlineStr">
        <is>
          <t>Sim</t>
        </is>
      </c>
      <c r="V169" s="4" t="inlineStr">
        <is>
          <t>Não</t>
        </is>
      </c>
      <c r="W169" s="4" t="inlineStr"/>
    </row>
    <row r="170">
      <c r="A170" s="4" t="inlineStr">
        <is>
          <t>XP Investimentos</t>
        </is>
      </c>
      <c r="B170" s="4" t="inlineStr">
        <is>
          <t>Trend B60 XP Seg Prev RF RL</t>
        </is>
      </c>
      <c r="C170" s="6" t="inlineStr">
        <is>
          <t>65.912.212/0001-90</t>
        </is>
      </c>
      <c r="D170" s="4" t="inlineStr">
        <is>
          <t>XP ALLOCATION ASSET MANAGEMENT LTDA</t>
        </is>
      </c>
      <c r="E170" s="4" t="inlineStr">
        <is>
          <t>37.918.829/0001-88</t>
        </is>
      </c>
      <c r="F170" s="4" t="inlineStr">
        <is>
          <t>BNP Paribas</t>
        </is>
      </c>
      <c r="G170" s="4" t="inlineStr">
        <is>
          <t>Renda Fixa</t>
        </is>
      </c>
      <c r="H170" s="4" t="inlineStr">
        <is>
          <t>Renda Fixa Inflação</t>
        </is>
      </c>
      <c r="I170" s="7" t="n">
        <v>100</v>
      </c>
      <c r="J170" s="8" t="n">
        <v>0.3</v>
      </c>
      <c r="K170" s="8" t="n"/>
      <c r="L170" s="4" t="inlineStr"/>
      <c r="M170" s="5" t="n">
        <v>0</v>
      </c>
      <c r="N170" s="5" t="n">
        <v>1</v>
      </c>
      <c r="O170" s="5" t="n"/>
      <c r="P170" s="4" t="inlineStr"/>
      <c r="Q170" s="4" t="inlineStr">
        <is>
          <t>Não</t>
        </is>
      </c>
      <c r="R170" s="4" t="inlineStr">
        <is>
          <t>Site (navegador)</t>
        </is>
      </c>
      <c r="S170" s="4" t="n">
        <v>1</v>
      </c>
      <c r="T170" s="4" t="inlineStr">
        <is>
          <t>Não</t>
        </is>
      </c>
      <c r="U170" s="4" t="inlineStr">
        <is>
          <t>Sim</t>
        </is>
      </c>
      <c r="V170" s="4" t="inlineStr">
        <is>
          <t>Não</t>
        </is>
      </c>
      <c r="W170" s="4" t="inlineStr"/>
    </row>
    <row r="171">
      <c r="A171" s="4" t="inlineStr">
        <is>
          <t>XP Investimentos</t>
        </is>
      </c>
      <c r="B171" s="4" t="inlineStr">
        <is>
          <t>Trend Bolsa Americana 40 Prev XP FIM RL</t>
        </is>
      </c>
      <c r="C171" s="6" t="inlineStr">
        <is>
          <t>41.610.532/0001-28</t>
        </is>
      </c>
      <c r="D171" s="4" t="inlineStr">
        <is>
          <t>XP ALLOCATION ASSET MANAGEMENT LTDA</t>
        </is>
      </c>
      <c r="E171" s="4" t="inlineStr">
        <is>
          <t>37.918.829/0001-88</t>
        </is>
      </c>
      <c r="F171" s="4" t="inlineStr">
        <is>
          <t>XP Investimentos</t>
        </is>
      </c>
      <c r="G171" s="4" t="inlineStr">
        <is>
          <t>Multimercado</t>
        </is>
      </c>
      <c r="H171" s="4" t="inlineStr">
        <is>
          <t>Internacional Ações Hedgeado</t>
        </is>
      </c>
      <c r="I171" s="7" t="n">
        <v>100</v>
      </c>
      <c r="J171" s="8" t="n">
        <v>0.33</v>
      </c>
      <c r="K171" s="8" t="n"/>
      <c r="L171" s="4" t="inlineStr"/>
      <c r="M171" s="5" t="n">
        <v>0</v>
      </c>
      <c r="N171" s="5" t="n">
        <v>1</v>
      </c>
      <c r="O171" s="5" t="n"/>
      <c r="P171" s="4" t="inlineStr"/>
      <c r="Q171" s="4" t="inlineStr">
        <is>
          <t>Não</t>
        </is>
      </c>
      <c r="R171" s="4" t="inlineStr">
        <is>
          <t>Site (navegador)</t>
        </is>
      </c>
      <c r="S171" s="4" t="n">
        <v>1</v>
      </c>
      <c r="T171" s="4" t="inlineStr">
        <is>
          <t>Não</t>
        </is>
      </c>
      <c r="U171" s="4" t="inlineStr">
        <is>
          <t>Sim</t>
        </is>
      </c>
      <c r="V171" s="4" t="inlineStr">
        <is>
          <t>Não</t>
        </is>
      </c>
      <c r="W171" s="4" t="inlineStr"/>
    </row>
    <row r="172">
      <c r="A172" s="4" t="inlineStr">
        <is>
          <t>XP Investimentos</t>
        </is>
      </c>
      <c r="B172" s="4" t="inlineStr">
        <is>
          <t>Trend Ibovespa 100 XP Seg Prev FIC FIA RL</t>
        </is>
      </c>
      <c r="C172" s="6" t="inlineStr">
        <is>
          <t>33.795.343/0001-49</t>
        </is>
      </c>
      <c r="D172" s="4" t="inlineStr">
        <is>
          <t>XP ALLOCATION ASSET MANAGEMENT LTDA</t>
        </is>
      </c>
      <c r="E172" s="4" t="inlineStr">
        <is>
          <t>37.918.829/0001-88</t>
        </is>
      </c>
      <c r="F172" s="4" t="inlineStr">
        <is>
          <t>BNY Mellon DTVM</t>
        </is>
      </c>
      <c r="G172" s="4" t="inlineStr">
        <is>
          <t>Ações</t>
        </is>
      </c>
      <c r="H172" s="4" t="inlineStr">
        <is>
          <t>Renda Variável Indexado</t>
        </is>
      </c>
      <c r="I172" s="7" t="n">
        <v>100</v>
      </c>
      <c r="J172" s="8" t="n">
        <v>0.4</v>
      </c>
      <c r="K172" s="8" t="n"/>
      <c r="L172" s="4" t="inlineStr"/>
      <c r="M172" s="5" t="n">
        <v>0</v>
      </c>
      <c r="N172" s="5" t="n">
        <v>2</v>
      </c>
      <c r="O172" s="5" t="n"/>
      <c r="P172" s="4" t="inlineStr"/>
      <c r="Q172" s="4" t="inlineStr">
        <is>
          <t>Não</t>
        </is>
      </c>
      <c r="R172" s="4" t="inlineStr">
        <is>
          <t>Site (navegador)</t>
        </is>
      </c>
      <c r="S172" s="4" t="n">
        <v>1</v>
      </c>
      <c r="T172" s="4" t="inlineStr">
        <is>
          <t>Não</t>
        </is>
      </c>
      <c r="U172" s="4" t="inlineStr">
        <is>
          <t>Sim</t>
        </is>
      </c>
      <c r="V172" s="4" t="inlineStr">
        <is>
          <t>Não</t>
        </is>
      </c>
      <c r="W172" s="4" t="inlineStr"/>
    </row>
    <row r="173">
      <c r="A173" s="4" t="inlineStr">
        <is>
          <t>XP Investimentos</t>
        </is>
      </c>
      <c r="B173" s="4" t="inlineStr">
        <is>
          <t>Trend Ibovespa 70 XP Seg Prev FIC FIM RL</t>
        </is>
      </c>
      <c r="C173" s="6" t="inlineStr">
        <is>
          <t>33.784.183/0001-32</t>
        </is>
      </c>
      <c r="D173" s="4" t="inlineStr">
        <is>
          <t>XP ALLOCATION ASSET MANAGEMENT LTDA</t>
        </is>
      </c>
      <c r="E173" s="4" t="inlineStr">
        <is>
          <t>37.918.829/0001-88</t>
        </is>
      </c>
      <c r="F173" s="4" t="inlineStr">
        <is>
          <t>BNY Mellon DTVM</t>
        </is>
      </c>
      <c r="G173" s="4" t="inlineStr">
        <is>
          <t>Multimercado</t>
        </is>
      </c>
      <c r="H173" s="4" t="inlineStr">
        <is>
          <t>Renda Variável Indexado</t>
        </is>
      </c>
      <c r="I173" s="7" t="n">
        <v>100</v>
      </c>
      <c r="J173" s="8" t="n">
        <v>0.35</v>
      </c>
      <c r="K173" s="8" t="n"/>
      <c r="L173" s="4" t="inlineStr"/>
      <c r="M173" s="5" t="n">
        <v>0</v>
      </c>
      <c r="N173" s="5" t="n">
        <v>2</v>
      </c>
      <c r="O173" s="5" t="n"/>
      <c r="P173" s="4" t="inlineStr"/>
      <c r="Q173" s="4" t="inlineStr">
        <is>
          <t>Não</t>
        </is>
      </c>
      <c r="R173" s="4" t="inlineStr">
        <is>
          <t>Site (navegador)</t>
        </is>
      </c>
      <c r="S173" s="4" t="n">
        <v>1</v>
      </c>
      <c r="T173" s="4" t="inlineStr">
        <is>
          <t>Não</t>
        </is>
      </c>
      <c r="U173" s="4" t="inlineStr">
        <is>
          <t>Sim</t>
        </is>
      </c>
      <c r="V173" s="4" t="inlineStr">
        <is>
          <t>Não</t>
        </is>
      </c>
      <c r="W173" s="4" t="inlineStr"/>
    </row>
    <row r="174">
      <c r="A174" s="4" t="inlineStr">
        <is>
          <t>XP Investimentos</t>
        </is>
      </c>
      <c r="B174" s="4" t="inlineStr">
        <is>
          <t>Trend Imab5+ &amp; Bolsa Americana Dólar Xp Seg Prev Fim Rl</t>
        </is>
      </c>
      <c r="C174" s="6" t="inlineStr">
        <is>
          <t>52.840.043/0001-89</t>
        </is>
      </c>
      <c r="D174" s="4" t="inlineStr">
        <is>
          <t>XP ALLOCATION ASSET MANAGEMENT LTDA</t>
        </is>
      </c>
      <c r="E174" s="4" t="inlineStr">
        <is>
          <t>37.918.829/0001-88</t>
        </is>
      </c>
      <c r="F174" s="4" t="inlineStr">
        <is>
          <t>XP Investimentos</t>
        </is>
      </c>
      <c r="G174" s="4" t="inlineStr">
        <is>
          <t>Multimercado</t>
        </is>
      </c>
      <c r="H174" s="4" t="inlineStr">
        <is>
          <t>Multiestratégia</t>
        </is>
      </c>
      <c r="I174" s="7" t="n">
        <v>100</v>
      </c>
      <c r="J174" s="8" t="n">
        <v>0.5</v>
      </c>
      <c r="K174" s="8" t="n"/>
      <c r="L174" s="4" t="inlineStr"/>
      <c r="M174" s="5" t="n">
        <v>0</v>
      </c>
      <c r="N174" s="5" t="n">
        <v>2</v>
      </c>
      <c r="O174" s="5" t="n"/>
      <c r="P174" s="4" t="inlineStr"/>
      <c r="Q174" s="4" t="inlineStr">
        <is>
          <t>Não</t>
        </is>
      </c>
      <c r="R174" s="4" t="inlineStr">
        <is>
          <t>Site (navegador)</t>
        </is>
      </c>
      <c r="S174" s="4" t="n">
        <v>1</v>
      </c>
      <c r="T174" s="4" t="inlineStr">
        <is>
          <t>Não</t>
        </is>
      </c>
      <c r="U174" s="4" t="inlineStr">
        <is>
          <t>Sim</t>
        </is>
      </c>
      <c r="V174" s="4" t="inlineStr">
        <is>
          <t>Não</t>
        </is>
      </c>
      <c r="W174" s="4" t="inlineStr"/>
    </row>
    <row r="175">
      <c r="A175" s="4" t="inlineStr">
        <is>
          <t>XP Investimentos</t>
        </is>
      </c>
      <c r="B175" s="4" t="inlineStr">
        <is>
          <t>Trend Inflação Curta XP Seg Prev FICFI RF</t>
        </is>
      </c>
      <c r="C175" s="6" t="inlineStr">
        <is>
          <t>32.065.041/0001-52</t>
        </is>
      </c>
      <c r="D175" s="4" t="inlineStr">
        <is>
          <t>XP ALLOCATION ASSET MANAGEMENT LTDA</t>
        </is>
      </c>
      <c r="E175" s="4" t="inlineStr">
        <is>
          <t>37.918.829/0001-88</t>
        </is>
      </c>
      <c r="F175" s="4" t="inlineStr">
        <is>
          <t>XPI Administradora</t>
        </is>
      </c>
      <c r="G175" s="4" t="inlineStr">
        <is>
          <t>Renda Fixa</t>
        </is>
      </c>
      <c r="H175" s="4" t="inlineStr">
        <is>
          <t>Renda Fixa Inflação</t>
        </is>
      </c>
      <c r="I175" s="7" t="n">
        <v>100</v>
      </c>
      <c r="J175" s="8" t="n">
        <v>0.4</v>
      </c>
      <c r="K175" s="8" t="n"/>
      <c r="L175" s="4" t="inlineStr"/>
      <c r="M175" s="5" t="n">
        <v>0</v>
      </c>
      <c r="N175" s="5" t="n">
        <v>1</v>
      </c>
      <c r="O175" s="5" t="n"/>
      <c r="P175" s="4" t="inlineStr"/>
      <c r="Q175" s="4" t="inlineStr">
        <is>
          <t>Não</t>
        </is>
      </c>
      <c r="R175" s="4" t="inlineStr">
        <is>
          <t>Site (navegador)</t>
        </is>
      </c>
      <c r="S175" s="4" t="n">
        <v>1</v>
      </c>
      <c r="T175" s="4" t="inlineStr">
        <is>
          <t>Não</t>
        </is>
      </c>
      <c r="U175" s="4" t="inlineStr">
        <is>
          <t>Sim</t>
        </is>
      </c>
      <c r="V175" s="4" t="inlineStr">
        <is>
          <t>Não</t>
        </is>
      </c>
      <c r="W175" s="4" t="inlineStr"/>
    </row>
    <row r="176">
      <c r="A176" s="4" t="inlineStr">
        <is>
          <t>XP Investimentos</t>
        </is>
      </c>
      <c r="B176" s="4" t="inlineStr">
        <is>
          <t>Trend Pré-Fixado XP Seg Prev FIC FIRF RL</t>
        </is>
      </c>
      <c r="C176" s="6" t="inlineStr">
        <is>
          <t>33.755.733/0001-95</t>
        </is>
      </c>
      <c r="D176" s="4" t="inlineStr">
        <is>
          <t>XP ALLOCATION ASSET MANAGEMENT LTDA</t>
        </is>
      </c>
      <c r="E176" s="4" t="inlineStr">
        <is>
          <t>37.918.829/0001-88</t>
        </is>
      </c>
      <c r="F176" s="4" t="inlineStr">
        <is>
          <t>XP Investimentos</t>
        </is>
      </c>
      <c r="G176" s="4" t="inlineStr">
        <is>
          <t>Renda Fixa</t>
        </is>
      </c>
      <c r="H176" s="4" t="inlineStr">
        <is>
          <t>Renda Fixa Pré</t>
        </is>
      </c>
      <c r="I176" s="7" t="n">
        <v>100</v>
      </c>
      <c r="J176" s="8" t="n">
        <v>0.4</v>
      </c>
      <c r="K176" s="8" t="n"/>
      <c r="L176" s="4" t="inlineStr"/>
      <c r="M176" s="5" t="n">
        <v>0</v>
      </c>
      <c r="N176" s="5" t="n">
        <v>1</v>
      </c>
      <c r="O176" s="5" t="n"/>
      <c r="P176" s="4" t="inlineStr"/>
      <c r="Q176" s="4" t="inlineStr">
        <is>
          <t>Não</t>
        </is>
      </c>
      <c r="R176" s="4" t="inlineStr">
        <is>
          <t>Site (navegador)</t>
        </is>
      </c>
      <c r="S176" s="4" t="n">
        <v>1</v>
      </c>
      <c r="T176" s="4" t="inlineStr">
        <is>
          <t>Não</t>
        </is>
      </c>
      <c r="U176" s="4" t="inlineStr">
        <is>
          <t>Sim</t>
        </is>
      </c>
      <c r="V176" s="4" t="inlineStr">
        <is>
          <t>Não</t>
        </is>
      </c>
      <c r="W176" s="4" t="inlineStr"/>
    </row>
    <row r="177">
      <c r="A177" s="4" t="inlineStr">
        <is>
          <t>XP Investimentos</t>
        </is>
      </c>
      <c r="B177" s="4" t="inlineStr">
        <is>
          <t>Trend Pós-Fixado XP Seg Prev FIC FIRF</t>
        </is>
      </c>
      <c r="C177" s="6" t="inlineStr">
        <is>
          <t>33.784.231/0001-92</t>
        </is>
      </c>
      <c r="D177" s="4" t="inlineStr">
        <is>
          <t>XP VISTA ASSET MANAGEMENT LTDA.</t>
        </is>
      </c>
      <c r="E177" s="4" t="inlineStr">
        <is>
          <t>16.789.525/0001-98</t>
        </is>
      </c>
      <c r="F177" s="4" t="inlineStr">
        <is>
          <t>XPI Administradora</t>
        </is>
      </c>
      <c r="G177" s="4" t="inlineStr">
        <is>
          <t>Renda Fixa</t>
        </is>
      </c>
      <c r="H177" s="4" t="inlineStr">
        <is>
          <t>Referenciado DI Soberano</t>
        </is>
      </c>
      <c r="I177" s="7" t="n">
        <v>100</v>
      </c>
      <c r="J177" s="8" t="n">
        <v>0.25</v>
      </c>
      <c r="K177" s="8" t="n"/>
      <c r="L177" s="4" t="inlineStr"/>
      <c r="M177" s="5" t="n">
        <v>0</v>
      </c>
      <c r="N177" s="5" t="n">
        <v>1</v>
      </c>
      <c r="O177" s="5" t="n"/>
      <c r="P177" s="4" t="inlineStr"/>
      <c r="Q177" s="4" t="inlineStr">
        <is>
          <t>Não</t>
        </is>
      </c>
      <c r="R177" s="4" t="inlineStr">
        <is>
          <t>Site (navegador)</t>
        </is>
      </c>
      <c r="S177" s="4" t="n">
        <v>1</v>
      </c>
      <c r="T177" s="4" t="inlineStr">
        <is>
          <t>Não</t>
        </is>
      </c>
      <c r="U177" s="4" t="inlineStr">
        <is>
          <t>Sim</t>
        </is>
      </c>
      <c r="V177" s="4" t="inlineStr">
        <is>
          <t>Não</t>
        </is>
      </c>
      <c r="W177" s="4" t="inlineStr"/>
    </row>
    <row r="178">
      <c r="A178" s="4" t="inlineStr">
        <is>
          <t>XP Investimentos</t>
        </is>
      </c>
      <c r="B178" s="4" t="inlineStr">
        <is>
          <t>Truxt Valor XP Seguros Prev FICFIA</t>
        </is>
      </c>
      <c r="C178" s="6" t="inlineStr">
        <is>
          <t>37.893.248/0001-39</t>
        </is>
      </c>
      <c r="D178" s="4" t="inlineStr">
        <is>
          <t>TRUXT INVESTIMENTOS LTDA.</t>
        </is>
      </c>
      <c r="E178" s="4" t="inlineStr">
        <is>
          <t>23.890.968/0001-36</t>
        </is>
      </c>
      <c r="F178" s="4" t="inlineStr">
        <is>
          <t>Intrag DTVM</t>
        </is>
      </c>
      <c r="G178" s="4" t="inlineStr">
        <is>
          <t>Ações</t>
        </is>
      </c>
      <c r="H178" s="4" t="inlineStr">
        <is>
          <t>Renda Variável Long Only</t>
        </is>
      </c>
      <c r="I178" s="7" t="n">
        <v>100</v>
      </c>
      <c r="J178" s="8" t="n">
        <v>3</v>
      </c>
      <c r="K178" s="8" t="n"/>
      <c r="L178" s="4" t="inlineStr"/>
      <c r="M178" s="5" t="n">
        <v>2</v>
      </c>
      <c r="N178" s="5" t="n">
        <v>2</v>
      </c>
      <c r="O178" s="5" t="n"/>
      <c r="P178" s="4" t="inlineStr"/>
      <c r="Q178" s="4" t="inlineStr">
        <is>
          <t>Não</t>
        </is>
      </c>
      <c r="R178" s="4" t="inlineStr">
        <is>
          <t>Site (navegador)</t>
        </is>
      </c>
      <c r="S178" s="4" t="n">
        <v>1</v>
      </c>
      <c r="T178" s="4" t="inlineStr">
        <is>
          <t>Não</t>
        </is>
      </c>
      <c r="U178" s="4" t="inlineStr">
        <is>
          <t>Sim</t>
        </is>
      </c>
      <c r="V178" s="4" t="inlineStr">
        <is>
          <t>Não</t>
        </is>
      </c>
      <c r="W178" s="4" t="inlineStr"/>
    </row>
    <row r="179">
      <c r="A179" s="4" t="inlineStr">
        <is>
          <t>XP Investimentos</t>
        </is>
      </c>
      <c r="B179" s="4" t="inlineStr">
        <is>
          <t>Tríade Prev Fic Fim Cp Rl</t>
        </is>
      </c>
      <c r="C179" s="6" t="inlineStr">
        <is>
          <t>53.991.216/0001-22</t>
        </is>
      </c>
      <c r="D179" s="4" t="inlineStr">
        <is>
          <t>PARAMIS BR INVESTIMENTOS LTDA</t>
        </is>
      </c>
      <c r="E179" s="4" t="inlineStr">
        <is>
          <t>12.417.157/0001-04</t>
        </is>
      </c>
      <c r="F179" s="4" t="inlineStr">
        <is>
          <t>BTG Pactual DTVM</t>
        </is>
      </c>
      <c r="G179" s="4" t="inlineStr">
        <is>
          <t>Multimercado</t>
        </is>
      </c>
      <c r="H179" s="4" t="inlineStr">
        <is>
          <t>Crédito Privado High Grade</t>
        </is>
      </c>
      <c r="I179" s="7" t="n">
        <v>100</v>
      </c>
      <c r="J179" s="8" t="n">
        <v>1.05</v>
      </c>
      <c r="K179" s="8" t="n"/>
      <c r="L179" s="4" t="inlineStr"/>
      <c r="M179" s="5" t="n">
        <v>8</v>
      </c>
      <c r="N179" s="5" t="n">
        <v>2</v>
      </c>
      <c r="O179" s="5" t="n"/>
      <c r="P179" s="4" t="inlineStr"/>
      <c r="Q179" s="4" t="inlineStr">
        <is>
          <t>Não</t>
        </is>
      </c>
      <c r="R179" s="4" t="inlineStr">
        <is>
          <t>Site (navegador)</t>
        </is>
      </c>
      <c r="S179" s="4" t="n">
        <v>1</v>
      </c>
      <c r="T179" s="4" t="inlineStr">
        <is>
          <t>Não</t>
        </is>
      </c>
      <c r="U179" s="4" t="inlineStr">
        <is>
          <t>Sim</t>
        </is>
      </c>
      <c r="V179" s="4" t="inlineStr">
        <is>
          <t>Não</t>
        </is>
      </c>
      <c r="W179" s="4" t="inlineStr"/>
    </row>
    <row r="180">
      <c r="A180" s="4" t="inlineStr">
        <is>
          <t>XP Investimentos</t>
        </is>
      </c>
      <c r="B180" s="4" t="inlineStr">
        <is>
          <t>Távola Equity Hedge Prev XP LS FIC FIM RL</t>
        </is>
      </c>
      <c r="C180" s="6" t="inlineStr">
        <is>
          <t>44.409.412/0001-55</t>
        </is>
      </c>
      <c r="D180" s="4" t="inlineStr">
        <is>
          <t>TÁVOLA CAPITAL GESTÃO DE RECURSOS LTDA.</t>
        </is>
      </c>
      <c r="E180" s="4" t="inlineStr">
        <is>
          <t>04.980.745/0001-15</t>
        </is>
      </c>
      <c r="F180" s="4" t="inlineStr">
        <is>
          <t>BTG Pactual DTVM</t>
        </is>
      </c>
      <c r="G180" s="4" t="inlineStr">
        <is>
          <t>Multimercado</t>
        </is>
      </c>
      <c r="H180" s="4" t="inlineStr">
        <is>
          <t>Long Short Direcional</t>
        </is>
      </c>
      <c r="I180" s="7" t="n">
        <v>100</v>
      </c>
      <c r="J180" s="8" t="n">
        <v>1.92</v>
      </c>
      <c r="K180" s="8" t="n"/>
      <c r="L180" s="4" t="inlineStr"/>
      <c r="M180" s="5" t="n">
        <v>20</v>
      </c>
      <c r="N180" s="5" t="n">
        <v>2</v>
      </c>
      <c r="O180" s="5" t="n"/>
      <c r="P180" s="4" t="inlineStr"/>
      <c r="Q180" s="4" t="inlineStr">
        <is>
          <t>Não</t>
        </is>
      </c>
      <c r="R180" s="4" t="inlineStr">
        <is>
          <t>Site (navegador)</t>
        </is>
      </c>
      <c r="S180" s="4" t="n">
        <v>1</v>
      </c>
      <c r="T180" s="4" t="inlineStr">
        <is>
          <t>Não</t>
        </is>
      </c>
      <c r="U180" s="4" t="inlineStr">
        <is>
          <t>Sim</t>
        </is>
      </c>
      <c r="V180" s="4" t="inlineStr">
        <is>
          <t>Não</t>
        </is>
      </c>
      <c r="W180" s="4" t="inlineStr"/>
    </row>
    <row r="181">
      <c r="A181" s="4" t="inlineStr">
        <is>
          <t>XP Investimentos</t>
        </is>
      </c>
      <c r="B181" s="4" t="inlineStr">
        <is>
          <t>V8 Speedway Vega LS XP Seg Prev FIC Multi RL</t>
        </is>
      </c>
      <c r="C181" s="6" t="inlineStr">
        <is>
          <t>53.991.515/0001-67</t>
        </is>
      </c>
      <c r="D181" s="4" t="inlineStr">
        <is>
          <t>V8 CAPITAL GESTÃO DE INVESTIMENTOS LTDA.</t>
        </is>
      </c>
      <c r="E181" s="4" t="inlineStr">
        <is>
          <t>11.392.069/0001-24</t>
        </is>
      </c>
      <c r="F181" s="4" t="inlineStr">
        <is>
          <t>BNY Mellon DTVM</t>
        </is>
      </c>
      <c r="G181" s="4" t="inlineStr">
        <is>
          <t>Multimercado</t>
        </is>
      </c>
      <c r="H181" s="4" t="inlineStr">
        <is>
          <t>Long Short Neutro</t>
        </is>
      </c>
      <c r="I181" s="7" t="n">
        <v>100</v>
      </c>
      <c r="J181" s="8" t="n">
        <v>2</v>
      </c>
      <c r="K181" s="8" t="n"/>
      <c r="L181" s="4" t="inlineStr"/>
      <c r="M181" s="5" t="n">
        <v>8</v>
      </c>
      <c r="N181" s="5" t="n">
        <v>2</v>
      </c>
      <c r="O181" s="5" t="n"/>
      <c r="P181" s="4" t="inlineStr"/>
      <c r="Q181" s="4" t="inlineStr">
        <is>
          <t>Não</t>
        </is>
      </c>
      <c r="R181" s="4" t="inlineStr">
        <is>
          <t>Site (navegador)</t>
        </is>
      </c>
      <c r="S181" s="4" t="n">
        <v>1</v>
      </c>
      <c r="T181" s="4" t="inlineStr">
        <is>
          <t>Não</t>
        </is>
      </c>
      <c r="U181" s="4" t="inlineStr">
        <is>
          <t>Sim</t>
        </is>
      </c>
      <c r="V181" s="4" t="inlineStr">
        <is>
          <t>Não</t>
        </is>
      </c>
      <c r="W181" s="4" t="inlineStr"/>
    </row>
    <row r="182">
      <c r="A182" s="4" t="inlineStr">
        <is>
          <t>XP Investimentos</t>
        </is>
      </c>
      <c r="B182" s="4" t="inlineStr">
        <is>
          <t>V8 Vanquish Termo Xp Seg Prev Fic Fim Cp</t>
        </is>
      </c>
      <c r="C182" s="6" t="inlineStr">
        <is>
          <t>47.032.970/0001-32</t>
        </is>
      </c>
      <c r="D182" s="4" t="inlineStr">
        <is>
          <t>V8 CAPITAL GESTÃO DE INVESTIMENTOS LTDA.</t>
        </is>
      </c>
      <c r="E182" s="4" t="inlineStr">
        <is>
          <t>11.392.069/0001-24</t>
        </is>
      </c>
      <c r="F182" s="4" t="inlineStr">
        <is>
          <t>XP Investimentos</t>
        </is>
      </c>
      <c r="G182" s="4" t="inlineStr">
        <is>
          <t>Multimercado</t>
        </is>
      </c>
      <c r="H182" s="4" t="inlineStr">
        <is>
          <t>Crédito Liquidez</t>
        </is>
      </c>
      <c r="I182" s="7" t="n">
        <v>100</v>
      </c>
      <c r="J182" s="8" t="n">
        <v>0.85</v>
      </c>
      <c r="K182" s="8" t="n"/>
      <c r="L182" s="4" t="inlineStr"/>
      <c r="M182" s="5" t="n">
        <v>5</v>
      </c>
      <c r="N182" s="5" t="n">
        <v>1</v>
      </c>
      <c r="O182" s="5" t="n"/>
      <c r="P182" s="4" t="inlineStr"/>
      <c r="Q182" s="4" t="inlineStr">
        <is>
          <t>Não</t>
        </is>
      </c>
      <c r="R182" s="4" t="inlineStr">
        <is>
          <t>Site (navegador)</t>
        </is>
      </c>
      <c r="S182" s="4" t="n">
        <v>1</v>
      </c>
      <c r="T182" s="4" t="inlineStr">
        <is>
          <t>Não</t>
        </is>
      </c>
      <c r="U182" s="4" t="inlineStr">
        <is>
          <t>Sim</t>
        </is>
      </c>
      <c r="V182" s="4" t="inlineStr">
        <is>
          <t>Não</t>
        </is>
      </c>
      <c r="W182" s="4" t="inlineStr"/>
    </row>
    <row r="183">
      <c r="A183" s="4" t="inlineStr">
        <is>
          <t>XP Investimentos</t>
        </is>
      </c>
      <c r="B183" s="4" t="inlineStr">
        <is>
          <t>Valora Prev Xp Seg Ficfi Rf Cp</t>
        </is>
      </c>
      <c r="C183" s="6" t="inlineStr">
        <is>
          <t>40.781.137/0001-45</t>
        </is>
      </c>
      <c r="D183" s="4" t="inlineStr">
        <is>
          <t>XP VIDA E PREVIDÊNCIA S.A.</t>
        </is>
      </c>
      <c r="E183" s="4" t="inlineStr">
        <is>
          <t>29.408.732/0001-05</t>
        </is>
      </c>
      <c r="F183" s="4" t="inlineStr">
        <is>
          <t>XPI Administradora - Modal</t>
        </is>
      </c>
      <c r="G183" s="4" t="inlineStr">
        <is>
          <t>Renda Fixa</t>
        </is>
      </c>
      <c r="H183" s="4" t="inlineStr">
        <is>
          <t>Crédito High Grade</t>
        </is>
      </c>
      <c r="I183" s="7" t="n">
        <v>100</v>
      </c>
      <c r="J183" s="8" t="n">
        <v>0.8</v>
      </c>
      <c r="K183" s="8" t="n"/>
      <c r="L183" s="4" t="inlineStr"/>
      <c r="M183" s="5" t="n">
        <v>21</v>
      </c>
      <c r="N183" s="5" t="n">
        <v>1</v>
      </c>
      <c r="O183" s="5" t="n"/>
      <c r="P183" s="4" t="inlineStr"/>
      <c r="Q183" s="4" t="inlineStr">
        <is>
          <t>Não</t>
        </is>
      </c>
      <c r="R183" s="4" t="inlineStr">
        <is>
          <t>Site (navegador)</t>
        </is>
      </c>
      <c r="S183" s="4" t="n">
        <v>1</v>
      </c>
      <c r="T183" s="4" t="inlineStr">
        <is>
          <t>Não</t>
        </is>
      </c>
      <c r="U183" s="4" t="inlineStr">
        <is>
          <t>Sim</t>
        </is>
      </c>
      <c r="V183" s="4" t="inlineStr">
        <is>
          <t>Não</t>
        </is>
      </c>
      <c r="W183" s="4" t="inlineStr"/>
    </row>
    <row r="184">
      <c r="A184" s="4" t="inlineStr">
        <is>
          <t>XP Investimentos</t>
        </is>
      </c>
      <c r="B184" s="4" t="inlineStr">
        <is>
          <t>Verde Am Lb 70 Advisory Xp Seg Prev Fic Fim Rl</t>
        </is>
      </c>
      <c r="C184" s="6" t="inlineStr">
        <is>
          <t>30.830.240/0001-84</t>
        </is>
      </c>
      <c r="D184" s="4" t="inlineStr">
        <is>
          <t>XP VIDA E PREVIDÊNCIA S.A.</t>
        </is>
      </c>
      <c r="E184" s="4" t="inlineStr">
        <is>
          <t>29.408.732/0001-05</t>
        </is>
      </c>
      <c r="F184" s="4" t="inlineStr">
        <is>
          <t>XP Investimentos</t>
        </is>
      </c>
      <c r="G184" s="4" t="inlineStr">
        <is>
          <t>Multimercado</t>
        </is>
      </c>
      <c r="H184" s="4" t="inlineStr">
        <is>
          <t>Renda Variável Long Biased</t>
        </is>
      </c>
      <c r="I184" s="7" t="n">
        <v>100</v>
      </c>
      <c r="J184" s="8" t="n">
        <v>2.2</v>
      </c>
      <c r="K184" s="8" t="n"/>
      <c r="L184" s="4" t="inlineStr"/>
      <c r="M184" s="5" t="n">
        <v>0</v>
      </c>
      <c r="N184" s="5" t="n">
        <v>3</v>
      </c>
      <c r="O184" s="5" t="n"/>
      <c r="P184" s="4" t="inlineStr"/>
      <c r="Q184" s="4" t="inlineStr">
        <is>
          <t>Não</t>
        </is>
      </c>
      <c r="R184" s="4" t="inlineStr">
        <is>
          <t>Site (navegador)</t>
        </is>
      </c>
      <c r="S184" s="4" t="n">
        <v>1</v>
      </c>
      <c r="T184" s="4" t="inlineStr">
        <is>
          <t>Não</t>
        </is>
      </c>
      <c r="U184" s="4" t="inlineStr">
        <is>
          <t>Sim</t>
        </is>
      </c>
      <c r="V184" s="4" t="inlineStr">
        <is>
          <t>Não</t>
        </is>
      </c>
      <c r="W184" s="4" t="inlineStr"/>
    </row>
    <row r="185">
      <c r="A185" s="4" t="inlineStr">
        <is>
          <t>XP Investimentos</t>
        </is>
      </c>
      <c r="B185" s="4" t="inlineStr">
        <is>
          <t>Verde Am Mundi Multimercado Globais Xp Seguros Fic Fim Rl</t>
        </is>
      </c>
      <c r="C185" s="6" t="inlineStr">
        <is>
          <t>41.802.040/0001-34</t>
        </is>
      </c>
      <c r="D185" s="4" t="inlineStr">
        <is>
          <t>XP VIDA E PREVIDÊNCIA S.A.</t>
        </is>
      </c>
      <c r="E185" s="4" t="inlineStr">
        <is>
          <t>29.408.732/0001-05</t>
        </is>
      </c>
      <c r="F185" s="4" t="inlineStr">
        <is>
          <t>XP Investimentos</t>
        </is>
      </c>
      <c r="G185" s="4" t="inlineStr">
        <is>
          <t>Multimercado</t>
        </is>
      </c>
      <c r="H185" s="4" t="inlineStr">
        <is>
          <t>Internacional Ações Não Hedgeado</t>
        </is>
      </c>
      <c r="I185" s="7" t="n">
        <v>100</v>
      </c>
      <c r="J185" s="8" t="n">
        <v>2</v>
      </c>
      <c r="K185" s="8" t="n"/>
      <c r="L185" s="4" t="inlineStr"/>
      <c r="M185" s="5" t="n">
        <v>22</v>
      </c>
      <c r="N185" s="5" t="n">
        <v>3</v>
      </c>
      <c r="O185" s="5" t="n"/>
      <c r="P185" s="4" t="inlineStr"/>
      <c r="Q185" s="4" t="inlineStr">
        <is>
          <t>Não</t>
        </is>
      </c>
      <c r="R185" s="4" t="inlineStr">
        <is>
          <t>Site (navegador)</t>
        </is>
      </c>
      <c r="S185" s="4" t="n">
        <v>1</v>
      </c>
      <c r="T185" s="4" t="inlineStr">
        <is>
          <t>Não</t>
        </is>
      </c>
      <c r="U185" s="4" t="inlineStr">
        <is>
          <t>Sim</t>
        </is>
      </c>
      <c r="V185" s="4" t="inlineStr">
        <is>
          <t>Não</t>
        </is>
      </c>
      <c r="W185" s="4" t="inlineStr"/>
    </row>
    <row r="186">
      <c r="A186" s="4" t="inlineStr">
        <is>
          <t>XP Investimentos</t>
        </is>
      </c>
      <c r="B186" s="4" t="inlineStr">
        <is>
          <t>Verde Am Scena Advisory Xp Seg Fic Fim Rl</t>
        </is>
      </c>
      <c r="C186" s="6" t="inlineStr">
        <is>
          <t>30.994.931/0001-13</t>
        </is>
      </c>
      <c r="D186" s="4" t="inlineStr">
        <is>
          <t>XP VIDA E PREVIDÊNCIA S.A.</t>
        </is>
      </c>
      <c r="E186" s="4" t="inlineStr">
        <is>
          <t>29.408.732/0001-05</t>
        </is>
      </c>
      <c r="F186" s="4" t="inlineStr">
        <is>
          <t>XP Investimentos</t>
        </is>
      </c>
      <c r="G186" s="4" t="inlineStr">
        <is>
          <t>Multimercado</t>
        </is>
      </c>
      <c r="H186" s="4" t="inlineStr">
        <is>
          <t>Macro Alta Vol</t>
        </is>
      </c>
      <c r="I186" s="7" t="n">
        <v>100</v>
      </c>
      <c r="J186" s="8" t="n">
        <v>2</v>
      </c>
      <c r="K186" s="8" t="n"/>
      <c r="L186" s="4" t="inlineStr"/>
      <c r="M186" s="5" t="n">
        <v>0</v>
      </c>
      <c r="N186" s="5" t="n">
        <v>3</v>
      </c>
      <c r="O186" s="5" t="n"/>
      <c r="P186" s="4" t="inlineStr"/>
      <c r="Q186" s="4" t="inlineStr">
        <is>
          <t>Não</t>
        </is>
      </c>
      <c r="R186" s="4" t="inlineStr">
        <is>
          <t>Site (navegador)</t>
        </is>
      </c>
      <c r="S186" s="4" t="n">
        <v>1</v>
      </c>
      <c r="T186" s="4" t="inlineStr">
        <is>
          <t>Não</t>
        </is>
      </c>
      <c r="U186" s="4" t="inlineStr">
        <is>
          <t>Sim</t>
        </is>
      </c>
      <c r="V186" s="4" t="inlineStr">
        <is>
          <t>Não</t>
        </is>
      </c>
      <c r="W186" s="4" t="inlineStr"/>
    </row>
    <row r="187">
      <c r="A187" s="4" t="inlineStr">
        <is>
          <t>XP Investimentos</t>
        </is>
      </c>
      <c r="B187" s="4" t="inlineStr">
        <is>
          <t>Vinci Crédito Prev Advisory Firf Cp Rl</t>
        </is>
      </c>
      <c r="C187" s="6" t="inlineStr">
        <is>
          <t>44.230.868/0001-53</t>
        </is>
      </c>
      <c r="D187" s="4" t="inlineStr">
        <is>
          <t>VINCI GESTORA DE RECURSOS LTDA</t>
        </is>
      </c>
      <c r="E187" s="4" t="inlineStr">
        <is>
          <t>11.077.576/0001-73</t>
        </is>
      </c>
      <c r="F187" s="4" t="inlineStr">
        <is>
          <t>BEM DTVM</t>
        </is>
      </c>
      <c r="G187" s="4" t="inlineStr">
        <is>
          <t>Renda Fixa</t>
        </is>
      </c>
      <c r="H187" s="4" t="inlineStr">
        <is>
          <t>Crédito High Grade</t>
        </is>
      </c>
      <c r="I187" s="7" t="n">
        <v>100</v>
      </c>
      <c r="J187" s="8" t="n">
        <v>0.9</v>
      </c>
      <c r="K187" s="8" t="n"/>
      <c r="L187" s="4" t="inlineStr"/>
      <c r="M187" s="5" t="n">
        <v>8</v>
      </c>
      <c r="N187" s="5" t="n">
        <v>1</v>
      </c>
      <c r="O187" s="5" t="n"/>
      <c r="P187" s="4" t="inlineStr"/>
      <c r="Q187" s="4" t="inlineStr">
        <is>
          <t>Não</t>
        </is>
      </c>
      <c r="R187" s="4" t="inlineStr">
        <is>
          <t>Site (navegador)</t>
        </is>
      </c>
      <c r="S187" s="4" t="n">
        <v>1</v>
      </c>
      <c r="T187" s="4" t="inlineStr">
        <is>
          <t>Não</t>
        </is>
      </c>
      <c r="U187" s="4" t="inlineStr">
        <is>
          <t>Sim</t>
        </is>
      </c>
      <c r="V187" s="4" t="inlineStr">
        <is>
          <t>Não</t>
        </is>
      </c>
      <c r="W187" s="4" t="inlineStr"/>
    </row>
    <row r="188">
      <c r="A188" s="4" t="inlineStr">
        <is>
          <t>XP Investimentos</t>
        </is>
      </c>
      <c r="B188" s="4" t="inlineStr">
        <is>
          <t>Vinci Equilibrio Advisory XP Seg Prev FIM</t>
        </is>
      </c>
      <c r="C188" s="6" t="inlineStr">
        <is>
          <t>32.319.702/0001-29</t>
        </is>
      </c>
      <c r="D188" s="4" t="inlineStr">
        <is>
          <t>VINCI SOLUÇÕES DE INVESTIMENTOS LTDA</t>
        </is>
      </c>
      <c r="E188" s="4" t="inlineStr">
        <is>
          <t>13.421.810/0001-63</t>
        </is>
      </c>
      <c r="F188" s="4" t="inlineStr">
        <is>
          <t>BEM DTVM</t>
        </is>
      </c>
      <c r="G188" s="4" t="inlineStr">
        <is>
          <t>Multimercado</t>
        </is>
      </c>
      <c r="H188" s="4" t="inlineStr">
        <is>
          <t>Macro Baixa Vol</t>
        </is>
      </c>
      <c r="I188" s="7" t="n">
        <v>100</v>
      </c>
      <c r="J188" s="8" t="n">
        <v>2</v>
      </c>
      <c r="K188" s="8" t="n"/>
      <c r="L188" s="4" t="inlineStr"/>
      <c r="M188" s="5" t="n">
        <v>1</v>
      </c>
      <c r="N188" s="5" t="n">
        <v>2</v>
      </c>
      <c r="O188" s="5" t="n"/>
      <c r="P188" s="4" t="inlineStr"/>
      <c r="Q188" s="4" t="inlineStr">
        <is>
          <t>Não</t>
        </is>
      </c>
      <c r="R188" s="4" t="inlineStr">
        <is>
          <t>Site (navegador)</t>
        </is>
      </c>
      <c r="S188" s="4" t="n">
        <v>1</v>
      </c>
      <c r="T188" s="4" t="inlineStr">
        <is>
          <t>Não</t>
        </is>
      </c>
      <c r="U188" s="4" t="inlineStr">
        <is>
          <t>Sim</t>
        </is>
      </c>
      <c r="V188" s="4" t="inlineStr">
        <is>
          <t>Não</t>
        </is>
      </c>
      <c r="W188" s="4" t="inlineStr"/>
    </row>
    <row r="189">
      <c r="A189" s="4" t="inlineStr">
        <is>
          <t>XP Investimentos</t>
        </is>
      </c>
      <c r="B189" s="4" t="inlineStr">
        <is>
          <t>Vinci Valorem Advisory XP Seg Prev FIM</t>
        </is>
      </c>
      <c r="C189" s="6" t="inlineStr">
        <is>
          <t>33.796.273/0001-43</t>
        </is>
      </c>
      <c r="D189" s="4" t="inlineStr">
        <is>
          <t>VINCI SOLUÇÕES DE INVESTIMENTOS LTDA</t>
        </is>
      </c>
      <c r="E189" s="4" t="inlineStr">
        <is>
          <t>13.421.810/0001-63</t>
        </is>
      </c>
      <c r="F189" s="4" t="inlineStr">
        <is>
          <t>BEM DTVM</t>
        </is>
      </c>
      <c r="G189" s="4" t="inlineStr">
        <is>
          <t>Multimercado</t>
        </is>
      </c>
      <c r="H189" s="4" t="inlineStr">
        <is>
          <t>Renda Fixa Inflação</t>
        </is>
      </c>
      <c r="I189" s="7" t="n">
        <v>100</v>
      </c>
      <c r="J189" s="8" t="n">
        <v>1</v>
      </c>
      <c r="K189" s="8" t="n"/>
      <c r="L189" s="4" t="inlineStr"/>
      <c r="M189" s="5" t="n">
        <v>1</v>
      </c>
      <c r="N189" s="5" t="n">
        <v>1</v>
      </c>
      <c r="O189" s="5" t="n"/>
      <c r="P189" s="4" t="inlineStr"/>
      <c r="Q189" s="4" t="inlineStr">
        <is>
          <t>Não</t>
        </is>
      </c>
      <c r="R189" s="4" t="inlineStr">
        <is>
          <t>Site (navegador)</t>
        </is>
      </c>
      <c r="S189" s="4" t="n">
        <v>1</v>
      </c>
      <c r="T189" s="4" t="inlineStr">
        <is>
          <t>Não</t>
        </is>
      </c>
      <c r="U189" s="4" t="inlineStr">
        <is>
          <t>Sim</t>
        </is>
      </c>
      <c r="V189" s="4" t="inlineStr">
        <is>
          <t>Não</t>
        </is>
      </c>
      <c r="W189" s="4" t="inlineStr"/>
    </row>
    <row r="190">
      <c r="A190" s="4" t="inlineStr">
        <is>
          <t>XP Investimentos</t>
        </is>
      </c>
      <c r="B190" s="4" t="inlineStr">
        <is>
          <t>Vinland Long Biased Advisory Xp Seg Prev Fic Fim Rl</t>
        </is>
      </c>
      <c r="C190" s="6" t="inlineStr">
        <is>
          <t>31.846.641/0001-95</t>
        </is>
      </c>
      <c r="D190" s="4" t="inlineStr">
        <is>
          <t>XP VIDA E PREVIDÊNCIA S.A.</t>
        </is>
      </c>
      <c r="E190" s="4" t="inlineStr">
        <is>
          <t>29.408.732/0001-05</t>
        </is>
      </c>
      <c r="F190" s="4" t="inlineStr">
        <is>
          <t>XP Investimentos</t>
        </is>
      </c>
      <c r="G190" s="4" t="inlineStr">
        <is>
          <t>Multimercado</t>
        </is>
      </c>
      <c r="H190" s="4" t="inlineStr">
        <is>
          <t>Renda Variável Long Biased</t>
        </is>
      </c>
      <c r="I190" s="7" t="n">
        <v>100</v>
      </c>
      <c r="J190" s="8" t="n">
        <v>2</v>
      </c>
      <c r="K190" s="8" t="n"/>
      <c r="L190" s="4" t="inlineStr"/>
      <c r="M190" s="5" t="n">
        <v>0</v>
      </c>
      <c r="N190" s="5" t="n">
        <v>3</v>
      </c>
      <c r="O190" s="5" t="n"/>
      <c r="P190" s="4" t="inlineStr"/>
      <c r="Q190" s="4" t="inlineStr">
        <is>
          <t>Sim</t>
        </is>
      </c>
      <c r="R190" s="4" t="inlineStr">
        <is>
          <t>Site (navegador)</t>
        </is>
      </c>
      <c r="S190" s="4" t="n">
        <v>1</v>
      </c>
      <c r="T190" s="4" t="inlineStr">
        <is>
          <t>Não</t>
        </is>
      </c>
      <c r="U190" s="4" t="inlineStr">
        <is>
          <t>Sim</t>
        </is>
      </c>
      <c r="V190" s="4" t="inlineStr">
        <is>
          <t>Não</t>
        </is>
      </c>
      <c r="W190" s="4" t="inlineStr"/>
    </row>
    <row r="191">
      <c r="A191" s="4" t="inlineStr">
        <is>
          <t>XP Investimentos</t>
        </is>
      </c>
      <c r="B191" s="4" t="inlineStr">
        <is>
          <t>Vinland Macro Advisory 2 Xp Seg Prev Fic Fim Rl</t>
        </is>
      </c>
      <c r="C191" s="6" t="inlineStr">
        <is>
          <t>42.718.410/0001-12</t>
        </is>
      </c>
      <c r="D191" s="4" t="inlineStr">
        <is>
          <t>XP VIDA E PREVIDÊNCIA S.A.</t>
        </is>
      </c>
      <c r="E191" s="4" t="inlineStr">
        <is>
          <t>29.408.732/0001-05</t>
        </is>
      </c>
      <c r="F191" s="4" t="inlineStr">
        <is>
          <t>XP Investimentos</t>
        </is>
      </c>
      <c r="G191" s="4" t="inlineStr">
        <is>
          <t>Multimercado</t>
        </is>
      </c>
      <c r="H191" s="4" t="inlineStr">
        <is>
          <t>Macro Alta Vol</t>
        </is>
      </c>
      <c r="I191" s="7" t="n">
        <v>100</v>
      </c>
      <c r="J191" s="8" t="n">
        <v>2</v>
      </c>
      <c r="K191" s="8" t="n"/>
      <c r="L191" s="4" t="inlineStr"/>
      <c r="M191" s="5" t="n">
        <v>1</v>
      </c>
      <c r="N191" s="5" t="n">
        <v>3</v>
      </c>
      <c r="O191" s="5" t="n"/>
      <c r="P191" s="4" t="inlineStr"/>
      <c r="Q191" s="4" t="inlineStr">
        <is>
          <t>Não</t>
        </is>
      </c>
      <c r="R191" s="4" t="inlineStr">
        <is>
          <t>Site (navegador)</t>
        </is>
      </c>
      <c r="S191" s="4" t="n">
        <v>1</v>
      </c>
      <c r="T191" s="4" t="inlineStr">
        <is>
          <t>Não</t>
        </is>
      </c>
      <c r="U191" s="4" t="inlineStr">
        <is>
          <t>Sim</t>
        </is>
      </c>
      <c r="V191" s="4" t="inlineStr">
        <is>
          <t>Não</t>
        </is>
      </c>
      <c r="W191" s="4" t="inlineStr"/>
    </row>
    <row r="192">
      <c r="A192" s="4" t="inlineStr">
        <is>
          <t>XP Investimentos</t>
        </is>
      </c>
      <c r="B192" s="4" t="inlineStr">
        <is>
          <t>Vinland Macro Advisory XP Seg Prev FIC FIM</t>
        </is>
      </c>
      <c r="C192" s="6" t="inlineStr">
        <is>
          <t>31.846.723/0001-30</t>
        </is>
      </c>
      <c r="D192" s="4" t="inlineStr">
        <is>
          <t>XP VIDA E PREVIDÊNCIA S.A.</t>
        </is>
      </c>
      <c r="E192" s="4" t="inlineStr">
        <is>
          <t>29.408.732/0001-05</t>
        </is>
      </c>
      <c r="F192" s="4" t="inlineStr">
        <is>
          <t>XP Investimentos</t>
        </is>
      </c>
      <c r="G192" s="4" t="inlineStr">
        <is>
          <t>Multimercado</t>
        </is>
      </c>
      <c r="H192" s="4" t="inlineStr">
        <is>
          <t>Macro Alta Vol</t>
        </is>
      </c>
      <c r="I192" s="7" t="n">
        <v>100</v>
      </c>
      <c r="J192" s="8" t="n">
        <v>2</v>
      </c>
      <c r="K192" s="8" t="n"/>
      <c r="L192" s="4" t="inlineStr"/>
      <c r="M192" s="5" t="n">
        <v>0</v>
      </c>
      <c r="N192" s="5" t="n">
        <v>3</v>
      </c>
      <c r="O192" s="5" t="n"/>
      <c r="P192" s="4" t="inlineStr"/>
      <c r="Q192" s="4" t="inlineStr">
        <is>
          <t>Sim</t>
        </is>
      </c>
      <c r="R192" s="4" t="inlineStr">
        <is>
          <t>Site (navegador)</t>
        </is>
      </c>
      <c r="S192" s="4" t="n">
        <v>1</v>
      </c>
      <c r="T192" s="4" t="inlineStr">
        <is>
          <t>Não</t>
        </is>
      </c>
      <c r="U192" s="4" t="inlineStr">
        <is>
          <t>Sim</t>
        </is>
      </c>
      <c r="V192" s="4" t="inlineStr">
        <is>
          <t>Não</t>
        </is>
      </c>
      <c r="W192" s="4" t="inlineStr"/>
    </row>
    <row r="193">
      <c r="A193" s="4" t="inlineStr">
        <is>
          <t>XP Investimentos</t>
        </is>
      </c>
      <c r="B193" s="4" t="inlineStr">
        <is>
          <t>Vinland Renda Fixa Ativo Xp Seg Prev Ficfi</t>
        </is>
      </c>
      <c r="C193" s="6" t="inlineStr">
        <is>
          <t>41.866.348/0001-43</t>
        </is>
      </c>
      <c r="D193" s="4" t="inlineStr">
        <is>
          <t>XP VIDA E PREVIDÊNCIA S.A.</t>
        </is>
      </c>
      <c r="E193" s="4" t="inlineStr">
        <is>
          <t>29.408.732/0001-05</t>
        </is>
      </c>
      <c r="F193" s="4" t="inlineStr">
        <is>
          <t>XP Investimentos</t>
        </is>
      </c>
      <c r="G193" s="4" t="inlineStr">
        <is>
          <t>Renda Fixa</t>
        </is>
      </c>
      <c r="H193" s="4" t="inlineStr">
        <is>
          <t>Renda Fixa Ativo</t>
        </is>
      </c>
      <c r="I193" s="7" t="n">
        <v>100</v>
      </c>
      <c r="J193" s="8" t="n">
        <v>0.9</v>
      </c>
      <c r="K193" s="8" t="n"/>
      <c r="L193" s="4" t="inlineStr"/>
      <c r="M193" s="5" t="n">
        <v>0</v>
      </c>
      <c r="N193" s="5" t="n">
        <v>1</v>
      </c>
      <c r="O193" s="5" t="n"/>
      <c r="P193" s="4" t="inlineStr"/>
      <c r="Q193" s="4" t="inlineStr">
        <is>
          <t>Não</t>
        </is>
      </c>
      <c r="R193" s="4" t="inlineStr">
        <is>
          <t>Site (navegador)</t>
        </is>
      </c>
      <c r="S193" s="4" t="n">
        <v>1</v>
      </c>
      <c r="T193" s="4" t="inlineStr">
        <is>
          <t>Não</t>
        </is>
      </c>
      <c r="U193" s="4" t="inlineStr">
        <is>
          <t>Sim</t>
        </is>
      </c>
      <c r="V193" s="4" t="inlineStr">
        <is>
          <t>Não</t>
        </is>
      </c>
      <c r="W193" s="4" t="inlineStr"/>
    </row>
    <row r="194">
      <c r="A194" s="4" t="inlineStr">
        <is>
          <t>XP Investimentos</t>
        </is>
      </c>
      <c r="B194" s="4" t="inlineStr">
        <is>
          <t>Vista Long Biased Xp Seg Prev 1 Ficfim</t>
        </is>
      </c>
      <c r="C194" s="6" t="inlineStr">
        <is>
          <t>37.900.124/0001-33</t>
        </is>
      </c>
      <c r="D194" s="4" t="inlineStr">
        <is>
          <t>XP GESTÃO DE RECURSOS LTDA</t>
        </is>
      </c>
      <c r="E194" s="4" t="inlineStr">
        <is>
          <t>07.625.200/0001-89</t>
        </is>
      </c>
      <c r="F194" s="4" t="inlineStr">
        <is>
          <t>BNY Mellon DTVM</t>
        </is>
      </c>
      <c r="G194" s="4" t="inlineStr">
        <is>
          <t>Multimercado</t>
        </is>
      </c>
      <c r="H194" s="4" t="inlineStr">
        <is>
          <t>Renda Variável Long Biased</t>
        </is>
      </c>
      <c r="I194" s="7" t="n">
        <v>100</v>
      </c>
      <c r="J194" s="8" t="n">
        <v>2</v>
      </c>
      <c r="K194" s="8" t="n"/>
      <c r="L194" s="4" t="inlineStr"/>
      <c r="M194" s="5" t="n">
        <v>21</v>
      </c>
      <c r="N194" s="5" t="n">
        <v>2</v>
      </c>
      <c r="O194" s="5" t="n"/>
      <c r="P194" s="4" t="inlineStr"/>
      <c r="Q194" s="4" t="inlineStr">
        <is>
          <t>Sim</t>
        </is>
      </c>
      <c r="R194" s="4" t="inlineStr">
        <is>
          <t>Site (navegador)</t>
        </is>
      </c>
      <c r="S194" s="4" t="n">
        <v>1</v>
      </c>
      <c r="T194" s="4" t="inlineStr">
        <is>
          <t>Não</t>
        </is>
      </c>
      <c r="U194" s="4" t="inlineStr">
        <is>
          <t>Sim</t>
        </is>
      </c>
      <c r="V194" s="4" t="inlineStr">
        <is>
          <t>Não</t>
        </is>
      </c>
      <c r="W194" s="4" t="inlineStr"/>
    </row>
    <row r="195">
      <c r="A195" s="4" t="inlineStr">
        <is>
          <t>XP Investimentos</t>
        </is>
      </c>
      <c r="B195" s="4" t="inlineStr">
        <is>
          <t>Vista Macro Xp Seg Prev Ficfim Cp Rl</t>
        </is>
      </c>
      <c r="C195" s="6" t="inlineStr">
        <is>
          <t>44.748.957/0001-96</t>
        </is>
      </c>
      <c r="D195" s="4" t="inlineStr">
        <is>
          <t>XP VIDA E PREVIDÊNCIA S.A.</t>
        </is>
      </c>
      <c r="E195" s="4" t="inlineStr">
        <is>
          <t>29.408.732/0001-05</t>
        </is>
      </c>
      <c r="F195" s="4" t="inlineStr">
        <is>
          <t>XP Investimentos</t>
        </is>
      </c>
      <c r="G195" s="4" t="inlineStr">
        <is>
          <t>Multimercado</t>
        </is>
      </c>
      <c r="H195" s="4" t="inlineStr">
        <is>
          <t>Macro Alta Vol</t>
        </is>
      </c>
      <c r="I195" s="7" t="n">
        <v>100</v>
      </c>
      <c r="J195" s="8" t="n">
        <v>2</v>
      </c>
      <c r="K195" s="8" t="n"/>
      <c r="L195" s="4" t="inlineStr"/>
      <c r="M195" s="5" t="n">
        <v>21</v>
      </c>
      <c r="N195" s="5" t="n">
        <v>2</v>
      </c>
      <c r="O195" s="5" t="n"/>
      <c r="P195" s="4" t="inlineStr"/>
      <c r="Q195" s="4" t="inlineStr">
        <is>
          <t>Não</t>
        </is>
      </c>
      <c r="R195" s="4" t="inlineStr">
        <is>
          <t>Site (navegador)</t>
        </is>
      </c>
      <c r="S195" s="4" t="n">
        <v>1</v>
      </c>
      <c r="T195" s="4" t="inlineStr">
        <is>
          <t>Não</t>
        </is>
      </c>
      <c r="U195" s="4" t="inlineStr">
        <is>
          <t>Sim</t>
        </is>
      </c>
      <c r="V195" s="4" t="inlineStr">
        <is>
          <t>Não</t>
        </is>
      </c>
      <c r="W195" s="4" t="inlineStr"/>
    </row>
    <row r="196">
      <c r="A196" s="4" t="inlineStr">
        <is>
          <t>XP Investimentos</t>
        </is>
      </c>
      <c r="B196" s="4" t="inlineStr">
        <is>
          <t>Vrb Advisory Prev Fundo De Investimento Multimercado</t>
        </is>
      </c>
      <c r="C196" s="6" t="inlineStr">
        <is>
          <t>34.507.447/0001-73</t>
        </is>
      </c>
      <c r="D196" s="4" t="inlineStr">
        <is>
          <t>XP ADVISORY GESTAO DE RECURSOS LTDA</t>
        </is>
      </c>
      <c r="E196" s="4" t="inlineStr">
        <is>
          <t>15.289.957/0001-77</t>
        </is>
      </c>
      <c r="F196" s="4" t="inlineStr">
        <is>
          <t>XP Investimentos</t>
        </is>
      </c>
      <c r="G196" s="4" t="inlineStr">
        <is>
          <t>Multimercado</t>
        </is>
      </c>
      <c r="H196" s="4" t="inlineStr">
        <is>
          <t>Multiestratégia</t>
        </is>
      </c>
      <c r="I196" s="7" t="n">
        <v>100</v>
      </c>
      <c r="J196" s="8" t="n">
        <v>1</v>
      </c>
      <c r="K196" s="8" t="n"/>
      <c r="L196" s="4" t="inlineStr"/>
      <c r="M196" s="5" t="n">
        <v>6</v>
      </c>
      <c r="N196" s="5" t="n">
        <v>3</v>
      </c>
      <c r="O196" s="5" t="n"/>
      <c r="P196" s="4" t="inlineStr"/>
      <c r="Q196" s="4" t="inlineStr">
        <is>
          <t>Não</t>
        </is>
      </c>
      <c r="R196" s="4" t="inlineStr">
        <is>
          <t>Site (navegador)</t>
        </is>
      </c>
      <c r="S196" s="4" t="n">
        <v>1</v>
      </c>
      <c r="T196" s="4" t="inlineStr">
        <is>
          <t>Não</t>
        </is>
      </c>
      <c r="U196" s="4" t="inlineStr">
        <is>
          <t>Sim</t>
        </is>
      </c>
      <c r="V196" s="4" t="inlineStr">
        <is>
          <t>Não</t>
        </is>
      </c>
      <c r="W196" s="4" t="inlineStr"/>
    </row>
    <row r="197">
      <c r="A197" s="4" t="inlineStr">
        <is>
          <t>XP Investimentos</t>
        </is>
      </c>
      <c r="B197" s="4" t="inlineStr">
        <is>
          <t>Vrb Advisory Rf Prev Fundo De Investimento Multimercado Crédito Privado</t>
        </is>
      </c>
      <c r="C197" s="6" t="inlineStr">
        <is>
          <t>45.645.386/0001-27</t>
        </is>
      </c>
      <c r="D197" s="4" t="inlineStr">
        <is>
          <t>XP ADVISORY GESTAO DE RECURSOS LTDA</t>
        </is>
      </c>
      <c r="E197" s="4" t="inlineStr">
        <is>
          <t>15.289.957/0001-77</t>
        </is>
      </c>
      <c r="F197" s="4" t="inlineStr">
        <is>
          <t>XPI Administradora</t>
        </is>
      </c>
      <c r="G197" s="4" t="inlineStr">
        <is>
          <t>Multimercado</t>
        </is>
      </c>
      <c r="H197" s="4" t="inlineStr">
        <is>
          <t>Crédito High Grade</t>
        </is>
      </c>
      <c r="I197" s="7" t="n">
        <v>100</v>
      </c>
      <c r="J197" s="8" t="n">
        <v>0.74</v>
      </c>
      <c r="K197" s="8" t="n"/>
      <c r="L197" s="4" t="inlineStr"/>
      <c r="M197" s="5" t="n">
        <v>30</v>
      </c>
      <c r="N197" s="5" t="n">
        <v>2</v>
      </c>
      <c r="O197" s="5" t="n"/>
      <c r="P197" s="4" t="inlineStr"/>
      <c r="Q197" s="4" t="inlineStr">
        <is>
          <t>Não</t>
        </is>
      </c>
      <c r="R197" s="4" t="inlineStr">
        <is>
          <t>Site (navegador)</t>
        </is>
      </c>
      <c r="S197" s="4" t="n">
        <v>1</v>
      </c>
      <c r="T197" s="4" t="inlineStr">
        <is>
          <t>Não</t>
        </is>
      </c>
      <c r="U197" s="4" t="inlineStr">
        <is>
          <t>Sim</t>
        </is>
      </c>
      <c r="V197" s="4" t="inlineStr">
        <is>
          <t>Não</t>
        </is>
      </c>
      <c r="W197" s="4" t="inlineStr"/>
    </row>
    <row r="198">
      <c r="A198" s="4" t="inlineStr">
        <is>
          <t>XP Investimentos</t>
        </is>
      </c>
      <c r="B198" s="4" t="inlineStr">
        <is>
          <t>Western Asset Advisory XP Seg RF Ativo FI Prev</t>
        </is>
      </c>
      <c r="C198" s="6" t="inlineStr">
        <is>
          <t>32.346.713/0001-06</t>
        </is>
      </c>
      <c r="D198" s="4" t="inlineStr">
        <is>
          <t>Franklin Templeton Brasil Ltda.</t>
        </is>
      </c>
      <c r="E198" s="4" t="inlineStr">
        <is>
          <t>07.437.241/0001-41</t>
        </is>
      </c>
      <c r="F198" s="4" t="inlineStr">
        <is>
          <t>BNY Mellon DTVM</t>
        </is>
      </c>
      <c r="G198" s="4" t="inlineStr">
        <is>
          <t>Renda Fixa</t>
        </is>
      </c>
      <c r="H198" s="4" t="inlineStr">
        <is>
          <t>Renda Fixa Ativo</t>
        </is>
      </c>
      <c r="I198" s="7" t="n">
        <v>100</v>
      </c>
      <c r="J198" s="8" t="n">
        <v>0.8</v>
      </c>
      <c r="K198" s="8" t="n"/>
      <c r="L198" s="4" t="inlineStr"/>
      <c r="M198" s="5" t="n">
        <v>0</v>
      </c>
      <c r="N198" s="5" t="n">
        <v>1</v>
      </c>
      <c r="O198" s="5" t="n"/>
      <c r="P198" s="4" t="inlineStr"/>
      <c r="Q198" s="4" t="inlineStr">
        <is>
          <t>Não</t>
        </is>
      </c>
      <c r="R198" s="4" t="inlineStr">
        <is>
          <t>Site (navegador)</t>
        </is>
      </c>
      <c r="S198" s="4" t="n">
        <v>1</v>
      </c>
      <c r="T198" s="4" t="inlineStr">
        <is>
          <t>Não</t>
        </is>
      </c>
      <c r="U198" s="4" t="inlineStr">
        <is>
          <t>Sim</t>
        </is>
      </c>
      <c r="V198" s="4" t="inlineStr">
        <is>
          <t>Não</t>
        </is>
      </c>
      <c r="W198" s="4" t="inlineStr"/>
    </row>
    <row r="199">
      <c r="A199" s="4" t="inlineStr">
        <is>
          <t>XP Investimentos</t>
        </is>
      </c>
      <c r="B199" s="4" t="inlineStr">
        <is>
          <t>Western Asset Total Credit XP Seg Prev FIF RF CP RL</t>
        </is>
      </c>
      <c r="C199" s="6" t="inlineStr">
        <is>
          <t>67.654.705/0001-01</t>
        </is>
      </c>
      <c r="D199" s="4" t="inlineStr">
        <is>
          <t>Franklin Templeton Brasil Ltda.</t>
        </is>
      </c>
      <c r="E199" s="4" t="inlineStr">
        <is>
          <t>07.437.241/0001-41</t>
        </is>
      </c>
      <c r="F199" s="4" t="inlineStr">
        <is>
          <t>Intrag DTVM</t>
        </is>
      </c>
      <c r="G199" s="4" t="inlineStr">
        <is>
          <t>Renda Fixa</t>
        </is>
      </c>
      <c r="H199" s="4" t="inlineStr">
        <is>
          <t>Crédito Estruturado</t>
        </is>
      </c>
      <c r="I199" s="7" t="n">
        <v>100</v>
      </c>
      <c r="J199" s="8" t="n">
        <v>0.75</v>
      </c>
      <c r="K199" s="8" t="n"/>
      <c r="L199" s="4" t="inlineStr"/>
      <c r="M199" s="5" t="n">
        <v>6</v>
      </c>
      <c r="N199" s="5" t="n">
        <v>1</v>
      </c>
      <c r="O199" s="5" t="n"/>
      <c r="P199" s="4" t="inlineStr"/>
      <c r="Q199" s="4" t="inlineStr">
        <is>
          <t>Não</t>
        </is>
      </c>
      <c r="R199" s="4" t="inlineStr">
        <is>
          <t>Site (navegador)</t>
        </is>
      </c>
      <c r="S199" s="4" t="n">
        <v>1</v>
      </c>
      <c r="T199" s="4" t="inlineStr">
        <is>
          <t>Não</t>
        </is>
      </c>
      <c r="U199" s="4" t="inlineStr">
        <is>
          <t>Sim</t>
        </is>
      </c>
      <c r="V199" s="4" t="inlineStr">
        <is>
          <t>Não</t>
        </is>
      </c>
      <c r="W199" s="4" t="inlineStr"/>
    </row>
    <row r="200">
      <c r="A200" s="4" t="inlineStr">
        <is>
          <t>XP Investimentos</t>
        </is>
      </c>
      <c r="B200" s="4" t="inlineStr">
        <is>
          <t>Whg Rf Dinâmico Xp Seg Prev Ficfim Cp Rl</t>
        </is>
      </c>
      <c r="C200" s="6" t="inlineStr">
        <is>
          <t>43.860.077/0001-44</t>
        </is>
      </c>
      <c r="D200" s="4" t="inlineStr">
        <is>
          <t>XP VIDA E PREVIDÊNCIA S.A.</t>
        </is>
      </c>
      <c r="E200" s="4" t="inlineStr">
        <is>
          <t>29.408.732/0001-05</t>
        </is>
      </c>
      <c r="F200" s="4" t="inlineStr">
        <is>
          <t>XP Investimentos</t>
        </is>
      </c>
      <c r="G200" s="4" t="inlineStr">
        <is>
          <t>Multimercado</t>
        </is>
      </c>
      <c r="H200" s="4" t="inlineStr">
        <is>
          <t>Macro Baixa Vol</t>
        </is>
      </c>
      <c r="I200" s="7" t="n">
        <v>100</v>
      </c>
      <c r="J200" s="8" t="n">
        <v>1</v>
      </c>
      <c r="K200" s="8" t="n"/>
      <c r="L200" s="4" t="inlineStr"/>
      <c r="M200" s="5" t="n">
        <v>5</v>
      </c>
      <c r="N200" s="5" t="n">
        <v>1</v>
      </c>
      <c r="O200" s="5" t="n"/>
      <c r="P200" s="4" t="inlineStr"/>
      <c r="Q200" s="4" t="inlineStr">
        <is>
          <t>Não</t>
        </is>
      </c>
      <c r="R200" s="4" t="inlineStr">
        <is>
          <t>Site (navegador)</t>
        </is>
      </c>
      <c r="S200" s="4" t="n">
        <v>1</v>
      </c>
      <c r="T200" s="4" t="inlineStr">
        <is>
          <t>Não</t>
        </is>
      </c>
      <c r="U200" s="4" t="inlineStr">
        <is>
          <t>Sim</t>
        </is>
      </c>
      <c r="V200" s="4" t="inlineStr">
        <is>
          <t>Não</t>
        </is>
      </c>
      <c r="W200" s="4" t="inlineStr"/>
    </row>
    <row r="201">
      <c r="A201" s="4" t="inlineStr">
        <is>
          <t>XP Investimentos</t>
        </is>
      </c>
      <c r="B201" s="4" t="inlineStr">
        <is>
          <t>XP Advisory Portfolio Private II Prev FIM CP</t>
        </is>
      </c>
      <c r="C201" s="6" t="inlineStr">
        <is>
          <t>34.475.199/0001-26</t>
        </is>
      </c>
      <c r="D201" s="4" t="inlineStr">
        <is>
          <t>XP ADVISORY GESTAO DE RECURSOS LTDA</t>
        </is>
      </c>
      <c r="E201" s="4" t="inlineStr">
        <is>
          <t>15.289.957/0001-77</t>
        </is>
      </c>
      <c r="F201" s="4" t="inlineStr">
        <is>
          <t>XP Investimentos</t>
        </is>
      </c>
      <c r="G201" s="4" t="inlineStr">
        <is>
          <t>Multimercado</t>
        </is>
      </c>
      <c r="H201" s="4" t="inlineStr">
        <is>
          <t>Multiestratégia</t>
        </is>
      </c>
      <c r="I201" s="7" t="n">
        <v>300000</v>
      </c>
      <c r="J201" s="8" t="n">
        <v>0.55</v>
      </c>
      <c r="K201" s="8" t="n"/>
      <c r="L201" s="4" t="inlineStr"/>
      <c r="M201" s="5" t="n">
        <v>1</v>
      </c>
      <c r="N201" s="5" t="n">
        <v>2</v>
      </c>
      <c r="O201" s="5" t="n"/>
      <c r="P201" s="4" t="inlineStr"/>
      <c r="Q201" s="4" t="inlineStr">
        <is>
          <t>Não</t>
        </is>
      </c>
      <c r="R201" s="4" t="inlineStr">
        <is>
          <t>Site (navegador)</t>
        </is>
      </c>
      <c r="S201" s="4" t="n">
        <v>1</v>
      </c>
      <c r="T201" s="4" t="inlineStr">
        <is>
          <t>Não</t>
        </is>
      </c>
      <c r="U201" s="4" t="inlineStr">
        <is>
          <t>Sim</t>
        </is>
      </c>
      <c r="V201" s="4" t="inlineStr">
        <is>
          <t>Não</t>
        </is>
      </c>
      <c r="W201" s="4" t="inlineStr"/>
    </row>
    <row r="202">
      <c r="A202" s="4" t="inlineStr">
        <is>
          <t>XP Investimentos</t>
        </is>
      </c>
      <c r="B202" s="4" t="inlineStr">
        <is>
          <t>XP Advisory Portfolio Private III Prev FIM CP</t>
        </is>
      </c>
      <c r="C202" s="6" t="inlineStr">
        <is>
          <t>34.475.378/0001-63</t>
        </is>
      </c>
      <c r="D202" s="4" t="inlineStr">
        <is>
          <t>XP ADVISORY GESTAO DE RECURSOS LTDA</t>
        </is>
      </c>
      <c r="E202" s="4" t="inlineStr">
        <is>
          <t>15.289.957/0001-77</t>
        </is>
      </c>
      <c r="F202" s="4" t="inlineStr">
        <is>
          <t>XP Investimentos</t>
        </is>
      </c>
      <c r="G202" s="4" t="inlineStr">
        <is>
          <t>Multimercado</t>
        </is>
      </c>
      <c r="H202" s="4" t="inlineStr">
        <is>
          <t>Multiestratégia</t>
        </is>
      </c>
      <c r="I202" s="7" t="n">
        <v>300000</v>
      </c>
      <c r="J202" s="8" t="n">
        <v>0.6</v>
      </c>
      <c r="K202" s="8" t="n"/>
      <c r="L202" s="4" t="inlineStr"/>
      <c r="M202" s="5" t="n">
        <v>15</v>
      </c>
      <c r="N202" s="5" t="n">
        <v>2</v>
      </c>
      <c r="O202" s="5" t="n"/>
      <c r="P202" s="4" t="inlineStr"/>
      <c r="Q202" s="4" t="inlineStr">
        <is>
          <t>Não</t>
        </is>
      </c>
      <c r="R202" s="4" t="inlineStr">
        <is>
          <t>Site (navegador)</t>
        </is>
      </c>
      <c r="S202" s="4" t="n">
        <v>1</v>
      </c>
      <c r="T202" s="4" t="inlineStr">
        <is>
          <t>Não</t>
        </is>
      </c>
      <c r="U202" s="4" t="inlineStr">
        <is>
          <t>Sim</t>
        </is>
      </c>
      <c r="V202" s="4" t="inlineStr">
        <is>
          <t>Não</t>
        </is>
      </c>
      <c r="W202" s="4" t="inlineStr"/>
    </row>
    <row r="203">
      <c r="A203" s="4" t="inlineStr">
        <is>
          <t>XP Investimentos</t>
        </is>
      </c>
      <c r="B203" s="4" t="inlineStr">
        <is>
          <t>XP Corporate Top CP XP Seg Prev FIC FIM RL</t>
        </is>
      </c>
      <c r="C203" s="6" t="inlineStr">
        <is>
          <t>43.636.010/0001-20</t>
        </is>
      </c>
      <c r="D203" s="4" t="inlineStr">
        <is>
          <t>XP VISTA ASSET MANAGEMENT LTDA.</t>
        </is>
      </c>
      <c r="E203" s="4" t="inlineStr">
        <is>
          <t>16.789.525/0001-98</t>
        </is>
      </c>
      <c r="F203" s="4" t="inlineStr">
        <is>
          <t>XPI Administradora - Modal</t>
        </is>
      </c>
      <c r="G203" s="4" t="inlineStr">
        <is>
          <t>Multimercado</t>
        </is>
      </c>
      <c r="H203" s="4" t="inlineStr">
        <is>
          <t>Crédito High Grade</t>
        </is>
      </c>
      <c r="I203" s="7" t="n">
        <v>100</v>
      </c>
      <c r="J203" s="8" t="n">
        <v>0.8</v>
      </c>
      <c r="K203" s="8" t="n"/>
      <c r="L203" s="4" t="inlineStr"/>
      <c r="M203" s="5" t="n">
        <v>6</v>
      </c>
      <c r="N203" s="5" t="n">
        <v>1</v>
      </c>
      <c r="O203" s="5" t="n"/>
      <c r="P203" s="4" t="inlineStr"/>
      <c r="Q203" s="4" t="inlineStr">
        <is>
          <t>Não</t>
        </is>
      </c>
      <c r="R203" s="4" t="inlineStr">
        <is>
          <t>Site (navegador)</t>
        </is>
      </c>
      <c r="S203" s="4" t="n">
        <v>1</v>
      </c>
      <c r="T203" s="4" t="inlineStr">
        <is>
          <t>Não</t>
        </is>
      </c>
      <c r="U203" s="4" t="inlineStr">
        <is>
          <t>Sim</t>
        </is>
      </c>
      <c r="V203" s="4" t="inlineStr">
        <is>
          <t>Não</t>
        </is>
      </c>
      <c r="W203" s="4" t="inlineStr"/>
    </row>
    <row r="204">
      <c r="A204" s="4" t="inlineStr">
        <is>
          <t>XP Investimentos</t>
        </is>
      </c>
      <c r="B204" s="4" t="inlineStr">
        <is>
          <t>XP Crédito Estruturado XP Seg Prev FIC FIRF</t>
        </is>
      </c>
      <c r="C204" s="6" t="inlineStr">
        <is>
          <t>36.352.610/0001-00</t>
        </is>
      </c>
      <c r="D204" s="4" t="inlineStr">
        <is>
          <t>XP VIDA E PREVIDÊNCIA S.A.</t>
        </is>
      </c>
      <c r="E204" s="4" t="inlineStr">
        <is>
          <t>29.408.732/0001-05</t>
        </is>
      </c>
      <c r="F204" s="4" t="inlineStr">
        <is>
          <t>BNY Mellon DTVM</t>
        </is>
      </c>
      <c r="G204" s="4" t="inlineStr">
        <is>
          <t>Renda Fixa</t>
        </is>
      </c>
      <c r="H204" s="4" t="inlineStr">
        <is>
          <t>Crédito High Yield</t>
        </is>
      </c>
      <c r="I204" s="7" t="n">
        <v>100</v>
      </c>
      <c r="J204" s="8" t="n">
        <v>0.5</v>
      </c>
      <c r="K204" s="8" t="n"/>
      <c r="L204" s="4" t="inlineStr"/>
      <c r="M204" s="5" t="n">
        <v>7</v>
      </c>
      <c r="N204" s="5" t="n">
        <v>2</v>
      </c>
      <c r="O204" s="5" t="n"/>
      <c r="P204" s="4" t="inlineStr"/>
      <c r="Q204" s="4" t="inlineStr">
        <is>
          <t>Não</t>
        </is>
      </c>
      <c r="R204" s="4" t="inlineStr">
        <is>
          <t>Site (navegador)</t>
        </is>
      </c>
      <c r="S204" s="4" t="n">
        <v>1</v>
      </c>
      <c r="T204" s="4" t="inlineStr">
        <is>
          <t>Não</t>
        </is>
      </c>
      <c r="U204" s="4" t="inlineStr">
        <is>
          <t>Sim</t>
        </is>
      </c>
      <c r="V204" s="4" t="inlineStr">
        <is>
          <t>Não</t>
        </is>
      </c>
      <c r="W204" s="4" t="inlineStr"/>
    </row>
    <row r="205">
      <c r="A205" s="4" t="inlineStr">
        <is>
          <t>XP Investimentos</t>
        </is>
      </c>
      <c r="B205" s="4" t="inlineStr">
        <is>
          <t>XP Horizonte XP Seg FIC FIRF Prev RL</t>
        </is>
      </c>
      <c r="C205" s="6" t="inlineStr">
        <is>
          <t>32.064.950/0001-76</t>
        </is>
      </c>
      <c r="D205" s="4" t="inlineStr">
        <is>
          <t>XP VISTA ASSET MANAGEMENT LTDA.</t>
        </is>
      </c>
      <c r="E205" s="4" t="inlineStr">
        <is>
          <t>16.789.525/0001-98</t>
        </is>
      </c>
      <c r="F205" s="4" t="inlineStr">
        <is>
          <t>BNY Mellon DTVM</t>
        </is>
      </c>
      <c r="G205" s="4" t="inlineStr">
        <is>
          <t>Renda Fixa</t>
        </is>
      </c>
      <c r="H205" s="4" t="inlineStr">
        <is>
          <t>Renda Fixa Ativo</t>
        </is>
      </c>
      <c r="I205" s="7" t="n">
        <v>100</v>
      </c>
      <c r="J205" s="8" t="n">
        <v>0.7</v>
      </c>
      <c r="K205" s="8" t="n"/>
      <c r="L205" s="4" t="inlineStr"/>
      <c r="M205" s="5" t="n">
        <v>0</v>
      </c>
      <c r="N205" s="5" t="n">
        <v>1</v>
      </c>
      <c r="O205" s="5" t="n"/>
      <c r="P205" s="4" t="inlineStr"/>
      <c r="Q205" s="4" t="inlineStr">
        <is>
          <t>Não</t>
        </is>
      </c>
      <c r="R205" s="4" t="inlineStr">
        <is>
          <t>Site (navegador)</t>
        </is>
      </c>
      <c r="S205" s="4" t="n">
        <v>1</v>
      </c>
      <c r="T205" s="4" t="inlineStr">
        <is>
          <t>Não</t>
        </is>
      </c>
      <c r="U205" s="4" t="inlineStr">
        <is>
          <t>Sim</t>
        </is>
      </c>
      <c r="V205" s="4" t="inlineStr">
        <is>
          <t>Não</t>
        </is>
      </c>
      <c r="W205" s="4" t="inlineStr"/>
    </row>
    <row r="206">
      <c r="A206" s="4" t="inlineStr">
        <is>
          <t>XP Investimentos</t>
        </is>
      </c>
      <c r="B206" s="4" t="inlineStr">
        <is>
          <t>XP Icatu Horizonte Macro Prev FIM</t>
        </is>
      </c>
      <c r="C206" s="6" t="inlineStr">
        <is>
          <t>18.927.174/0001-60</t>
        </is>
      </c>
      <c r="D206" s="4" t="inlineStr">
        <is>
          <t>XP GESTÃO DE RECURSOS LTDA</t>
        </is>
      </c>
      <c r="E206" s="4" t="inlineStr">
        <is>
          <t>07.625.200/0001-89</t>
        </is>
      </c>
      <c r="F206" s="4" t="inlineStr">
        <is>
          <t>BNY Mellon DTVM</t>
        </is>
      </c>
      <c r="G206" s="4" t="inlineStr">
        <is>
          <t>Multimercado</t>
        </is>
      </c>
      <c r="H206" s="4" t="inlineStr">
        <is>
          <t>Macro Baixa Vol</t>
        </is>
      </c>
      <c r="I206" s="7" t="n">
        <v>500</v>
      </c>
      <c r="J206" s="8" t="n">
        <v>2</v>
      </c>
      <c r="K206" s="8" t="n"/>
      <c r="L206" s="4" t="inlineStr"/>
      <c r="M206" s="5" t="n">
        <v>3</v>
      </c>
      <c r="N206" s="5" t="n">
        <v>1</v>
      </c>
      <c r="O206" s="5" t="n"/>
      <c r="P206" s="4" t="inlineStr"/>
      <c r="Q206" s="4" t="inlineStr">
        <is>
          <t>Sim</t>
        </is>
      </c>
      <c r="R206" s="4" t="inlineStr">
        <is>
          <t>Site (navegador)</t>
        </is>
      </c>
      <c r="S206" s="4" t="n">
        <v>1</v>
      </c>
      <c r="T206" s="4" t="inlineStr">
        <is>
          <t>Não</t>
        </is>
      </c>
      <c r="U206" s="4" t="inlineStr">
        <is>
          <t>Sim</t>
        </is>
      </c>
      <c r="V206" s="4" t="inlineStr">
        <is>
          <t>Não</t>
        </is>
      </c>
      <c r="W206" s="4" t="inlineStr"/>
    </row>
    <row r="207">
      <c r="A207" s="4" t="inlineStr">
        <is>
          <t>XP Investimentos</t>
        </is>
      </c>
      <c r="B207" s="4" t="inlineStr">
        <is>
          <t>XP Icatu Horizonte Prev FIC FIRF</t>
        </is>
      </c>
      <c r="C207" s="6" t="inlineStr">
        <is>
          <t>18.897.562/0001-45</t>
        </is>
      </c>
      <c r="D207" s="4" t="inlineStr">
        <is>
          <t>XP VISTA ASSET MANAGEMENT LTDA.</t>
        </is>
      </c>
      <c r="E207" s="4" t="inlineStr">
        <is>
          <t>16.789.525/0001-98</t>
        </is>
      </c>
      <c r="F207" s="4" t="inlineStr">
        <is>
          <t>BNY Mellon DTVM</t>
        </is>
      </c>
      <c r="G207" s="4" t="inlineStr">
        <is>
          <t>Renda Fixa</t>
        </is>
      </c>
      <c r="H207" s="4" t="inlineStr">
        <is>
          <t>Renda Fixa Ativo</t>
        </is>
      </c>
      <c r="I207" s="7" t="n">
        <v>500</v>
      </c>
      <c r="J207" s="8" t="n">
        <v>0.8</v>
      </c>
      <c r="K207" s="8" t="n"/>
      <c r="L207" s="4" t="inlineStr"/>
      <c r="M207" s="5" t="n">
        <v>1</v>
      </c>
      <c r="N207" s="5" t="n">
        <v>3</v>
      </c>
      <c r="O207" s="5" t="n"/>
      <c r="P207" s="4" t="inlineStr"/>
      <c r="Q207" s="4" t="inlineStr">
        <is>
          <t>Sim</t>
        </is>
      </c>
      <c r="R207" s="4" t="inlineStr">
        <is>
          <t>Site (navegador)</t>
        </is>
      </c>
      <c r="S207" s="4" t="n">
        <v>1</v>
      </c>
      <c r="T207" s="4" t="inlineStr">
        <is>
          <t>Não</t>
        </is>
      </c>
      <c r="U207" s="4" t="inlineStr">
        <is>
          <t>Sim</t>
        </is>
      </c>
      <c r="V207" s="4" t="inlineStr">
        <is>
          <t>Não</t>
        </is>
      </c>
      <c r="W207" s="4" t="inlineStr"/>
    </row>
    <row r="208">
      <c r="A208" s="4" t="inlineStr">
        <is>
          <t>XP Investimentos</t>
        </is>
      </c>
      <c r="B208" s="4" t="inlineStr">
        <is>
          <t>XP Income FIE Seg FIE FIC FIRF RL</t>
        </is>
      </c>
      <c r="C208" s="6" t="inlineStr">
        <is>
          <t>34.461.635/0001-08</t>
        </is>
      </c>
      <c r="D208" s="4" t="inlineStr">
        <is>
          <t>XP GESTÃO DE RECURSOS LTDA</t>
        </is>
      </c>
      <c r="E208" s="4" t="inlineStr">
        <is>
          <t>07.625.200/0001-89</t>
        </is>
      </c>
      <c r="F208" s="4" t="inlineStr">
        <is>
          <t>BNY Mellon DTVM</t>
        </is>
      </c>
      <c r="G208" s="4" t="inlineStr">
        <is>
          <t>Renda Fixa</t>
        </is>
      </c>
      <c r="H208" s="4" t="inlineStr">
        <is>
          <t>Renda Fixa Ativo</t>
        </is>
      </c>
      <c r="I208" s="7" t="n">
        <v>100</v>
      </c>
      <c r="J208" s="8" t="n">
        <v>0.9</v>
      </c>
      <c r="K208" s="8" t="n"/>
      <c r="L208" s="4" t="inlineStr"/>
      <c r="M208" s="5" t="n">
        <v>7</v>
      </c>
      <c r="N208" s="5" t="n">
        <v>1</v>
      </c>
      <c r="O208" s="5" t="n"/>
      <c r="P208" s="4" t="inlineStr"/>
      <c r="Q208" s="4" t="inlineStr">
        <is>
          <t>Não</t>
        </is>
      </c>
      <c r="R208" s="4" t="inlineStr">
        <is>
          <t>Site (navegador)</t>
        </is>
      </c>
      <c r="S208" s="4" t="n">
        <v>1</v>
      </c>
      <c r="T208" s="4" t="inlineStr">
        <is>
          <t>Não</t>
        </is>
      </c>
      <c r="U208" s="4" t="inlineStr">
        <is>
          <t>Sim</t>
        </is>
      </c>
      <c r="V208" s="4" t="inlineStr">
        <is>
          <t>Não</t>
        </is>
      </c>
      <c r="W208" s="4" t="inlineStr"/>
    </row>
    <row r="209">
      <c r="A209" s="4" t="inlineStr">
        <is>
          <t>XP Investimentos</t>
        </is>
      </c>
      <c r="B209" s="4" t="inlineStr">
        <is>
          <t>XP Macro XP Seg Prev FIC FIM RL</t>
        </is>
      </c>
      <c r="C209" s="6" t="inlineStr">
        <is>
          <t>34.309.549/0001-84</t>
        </is>
      </c>
      <c r="D209" s="4" t="inlineStr">
        <is>
          <t>XP GESTÃO DE RECURSOS LTDA</t>
        </is>
      </c>
      <c r="E209" s="4" t="inlineStr">
        <is>
          <t>07.625.200/0001-89</t>
        </is>
      </c>
      <c r="F209" s="4" t="inlineStr">
        <is>
          <t>BNY Mellon DTVM</t>
        </is>
      </c>
      <c r="G209" s="4" t="inlineStr">
        <is>
          <t>Multimercado</t>
        </is>
      </c>
      <c r="H209" s="4" t="inlineStr">
        <is>
          <t>Macro Média Vol</t>
        </is>
      </c>
      <c r="I209" s="7" t="n">
        <v>100</v>
      </c>
      <c r="J209" s="8" t="n">
        <v>2</v>
      </c>
      <c r="K209" s="8" t="n"/>
      <c r="L209" s="4" t="inlineStr"/>
      <c r="M209" s="5" t="n">
        <v>8</v>
      </c>
      <c r="N209" s="5" t="n">
        <v>1</v>
      </c>
      <c r="O209" s="5" t="n"/>
      <c r="P209" s="4" t="inlineStr"/>
      <c r="Q209" s="4" t="inlineStr">
        <is>
          <t>Não</t>
        </is>
      </c>
      <c r="R209" s="4" t="inlineStr">
        <is>
          <t>Site (navegador)</t>
        </is>
      </c>
      <c r="S209" s="4" t="n">
        <v>1</v>
      </c>
      <c r="T209" s="4" t="inlineStr">
        <is>
          <t>Não</t>
        </is>
      </c>
      <c r="U209" s="4" t="inlineStr">
        <is>
          <t>Sim</t>
        </is>
      </c>
      <c r="V209" s="4" t="inlineStr">
        <is>
          <t>Não</t>
        </is>
      </c>
      <c r="W209" s="4" t="inlineStr"/>
    </row>
    <row r="210">
      <c r="A210" s="4" t="inlineStr">
        <is>
          <t>XP Investimentos</t>
        </is>
      </c>
      <c r="B210" s="4" t="inlineStr">
        <is>
          <t>XP Seg Superprev 2 FIM</t>
        </is>
      </c>
      <c r="C210" s="6" t="inlineStr">
        <is>
          <t>37.900.216/0001-13</t>
        </is>
      </c>
      <c r="D210" s="4" t="inlineStr">
        <is>
          <t>XP VIDA E PREVIDÊNCIA S.A.</t>
        </is>
      </c>
      <c r="E210" s="4" t="inlineStr">
        <is>
          <t>29.408.732/0001-05</t>
        </is>
      </c>
      <c r="F210" s="4" t="inlineStr">
        <is>
          <t>BNY Mellon DTVM</t>
        </is>
      </c>
      <c r="G210" s="4" t="inlineStr">
        <is>
          <t>Multimercado</t>
        </is>
      </c>
      <c r="H210" s="4" t="inlineStr">
        <is>
          <t>Multiestratégia</t>
        </is>
      </c>
      <c r="I210" s="7" t="n">
        <v>100</v>
      </c>
      <c r="J210" s="8" t="n">
        <v>0.6</v>
      </c>
      <c r="K210" s="8" t="n"/>
      <c r="L210" s="4" t="inlineStr"/>
      <c r="M210" s="5" t="n">
        <v>7</v>
      </c>
      <c r="N210" s="5" t="n">
        <v>2</v>
      </c>
      <c r="O210" s="5" t="n"/>
      <c r="P210" s="4" t="inlineStr"/>
      <c r="Q210" s="4" t="inlineStr">
        <is>
          <t>Não</t>
        </is>
      </c>
      <c r="R210" s="4" t="inlineStr">
        <is>
          <t>Site (navegador)</t>
        </is>
      </c>
      <c r="S210" s="4" t="n">
        <v>1</v>
      </c>
      <c r="T210" s="4" t="inlineStr">
        <is>
          <t>Não</t>
        </is>
      </c>
      <c r="U210" s="4" t="inlineStr">
        <is>
          <t>Sim</t>
        </is>
      </c>
      <c r="V210" s="4" t="inlineStr">
        <is>
          <t>Não</t>
        </is>
      </c>
      <c r="W210" s="4" t="inlineStr"/>
    </row>
    <row r="211">
      <c r="A211" s="4" t="inlineStr">
        <is>
          <t>XP Investimentos</t>
        </is>
      </c>
      <c r="B211" s="4" t="inlineStr">
        <is>
          <t>XP Seg Superprev FIM</t>
        </is>
      </c>
      <c r="C211" s="6" t="inlineStr">
        <is>
          <t>35.420.569/0001-90</t>
        </is>
      </c>
      <c r="D211" s="4" t="inlineStr">
        <is>
          <t>XP VIDA E PREVIDÊNCIA S.A.</t>
        </is>
      </c>
      <c r="E211" s="4" t="inlineStr">
        <is>
          <t>29.408.732/0001-05</t>
        </is>
      </c>
      <c r="F211" s="4" t="inlineStr">
        <is>
          <t>BNY Mellon DTVM</t>
        </is>
      </c>
      <c r="G211" s="4" t="inlineStr">
        <is>
          <t>Multimercado</t>
        </is>
      </c>
      <c r="H211" s="4" t="inlineStr">
        <is>
          <t>Multiestratégia</t>
        </is>
      </c>
      <c r="I211" s="7" t="n">
        <v>100</v>
      </c>
      <c r="J211" s="8" t="n">
        <v>0.6</v>
      </c>
      <c r="K211" s="8" t="n"/>
      <c r="L211" s="4" t="inlineStr"/>
      <c r="M211" s="5" t="n">
        <v>7</v>
      </c>
      <c r="N211" s="5" t="n">
        <v>2</v>
      </c>
      <c r="O211" s="5" t="n"/>
      <c r="P211" s="4" t="inlineStr"/>
      <c r="Q211" s="4" t="inlineStr">
        <is>
          <t>Não</t>
        </is>
      </c>
      <c r="R211" s="4" t="inlineStr">
        <is>
          <t>Site (navegador)</t>
        </is>
      </c>
      <c r="S211" s="4" t="n">
        <v>1</v>
      </c>
      <c r="T211" s="4" t="inlineStr">
        <is>
          <t>Não</t>
        </is>
      </c>
      <c r="U211" s="4" t="inlineStr">
        <is>
          <t>Sim</t>
        </is>
      </c>
      <c r="V211" s="4" t="inlineStr">
        <is>
          <t>Não</t>
        </is>
      </c>
      <c r="W211" s="4" t="inlineStr"/>
    </row>
    <row r="212">
      <c r="A212" s="4" t="inlineStr">
        <is>
          <t>XP Investimentos</t>
        </is>
      </c>
      <c r="B212" s="4" t="inlineStr">
        <is>
          <t>XP Strategy III Prev FIC FIM RL</t>
        </is>
      </c>
      <c r="C212" s="6" t="inlineStr">
        <is>
          <t>46.099.658/0001-01</t>
        </is>
      </c>
      <c r="D212" s="4" t="inlineStr">
        <is>
          <t>XP VIDA E PREVIDÊNCIA S.A.</t>
        </is>
      </c>
      <c r="E212" s="4" t="inlineStr">
        <is>
          <t>29.408.732/0001-05</t>
        </is>
      </c>
      <c r="F212" s="4" t="inlineStr">
        <is>
          <t>XP Investimentos</t>
        </is>
      </c>
      <c r="G212" s="4" t="inlineStr">
        <is>
          <t>Multimercado</t>
        </is>
      </c>
      <c r="H212" s="4" t="inlineStr">
        <is>
          <t>Macro Alta Vol</t>
        </is>
      </c>
      <c r="I212" s="7" t="n">
        <v>100</v>
      </c>
      <c r="J212" s="8" t="n">
        <v>2</v>
      </c>
      <c r="K212" s="8" t="n"/>
      <c r="L212" s="4" t="inlineStr"/>
      <c r="M212" s="5" t="n">
        <v>8</v>
      </c>
      <c r="N212" s="5" t="n">
        <v>1</v>
      </c>
      <c r="O212" s="5" t="n"/>
      <c r="P212" s="4" t="inlineStr"/>
      <c r="Q212" s="4" t="inlineStr">
        <is>
          <t>Não</t>
        </is>
      </c>
      <c r="R212" s="4" t="inlineStr">
        <is>
          <t>Site (navegador)</t>
        </is>
      </c>
      <c r="S212" s="4" t="n">
        <v>1</v>
      </c>
      <c r="T212" s="4" t="inlineStr">
        <is>
          <t>Não</t>
        </is>
      </c>
      <c r="U212" s="4" t="inlineStr">
        <is>
          <t>Sim</t>
        </is>
      </c>
      <c r="V212" s="4" t="inlineStr">
        <is>
          <t>Não</t>
        </is>
      </c>
      <c r="W212" s="4" t="inlineStr"/>
    </row>
    <row r="213">
      <c r="A213" s="4" t="inlineStr">
        <is>
          <t>XP Investimentos</t>
        </is>
      </c>
      <c r="B213" s="4" t="inlineStr">
        <is>
          <t>Xp Corporate Light Cp Xp Seg Fic Rf Rl</t>
        </is>
      </c>
      <c r="C213" s="6" t="inlineStr">
        <is>
          <t>30.910.166/0001-06</t>
        </is>
      </c>
      <c r="D213" s="4" t="inlineStr">
        <is>
          <t>XP VISTA ASSET MANAGEMENT LTDA.</t>
        </is>
      </c>
      <c r="E213" s="4" t="inlineStr">
        <is>
          <t>16.789.525/0001-98</t>
        </is>
      </c>
      <c r="F213" s="4" t="inlineStr">
        <is>
          <t>XPI Administradora</t>
        </is>
      </c>
      <c r="G213" s="4" t="inlineStr">
        <is>
          <t>Renda Fixa</t>
        </is>
      </c>
      <c r="H213" s="4" t="inlineStr">
        <is>
          <t>Crédito High Grade</t>
        </is>
      </c>
      <c r="I213" s="7" t="n">
        <v>100</v>
      </c>
      <c r="J213" s="8" t="n">
        <v>0.5</v>
      </c>
      <c r="K213" s="8" t="n"/>
      <c r="L213" s="4" t="inlineStr"/>
      <c r="M213" s="5" t="n">
        <v>0</v>
      </c>
      <c r="N213" s="5" t="n">
        <v>1</v>
      </c>
      <c r="O213" s="5" t="n"/>
      <c r="P213" s="4" t="inlineStr"/>
      <c r="Q213" s="4" t="inlineStr">
        <is>
          <t>Não</t>
        </is>
      </c>
      <c r="R213" s="4" t="inlineStr">
        <is>
          <t>Site (navegador)</t>
        </is>
      </c>
      <c r="S213" s="4" t="n">
        <v>1</v>
      </c>
      <c r="T213" s="4" t="inlineStr">
        <is>
          <t>Não</t>
        </is>
      </c>
      <c r="U213" s="4" t="inlineStr">
        <is>
          <t>Sim</t>
        </is>
      </c>
      <c r="V213" s="4" t="inlineStr">
        <is>
          <t>Não</t>
        </is>
      </c>
      <c r="W213" s="4" t="inlineStr"/>
    </row>
    <row r="214">
      <c r="A214" s="4" t="inlineStr">
        <is>
          <t>XP Investimentos</t>
        </is>
      </c>
      <c r="B214" s="4" t="inlineStr">
        <is>
          <t>Xp Crédito Estruturado High Yield Xp Seg Prev Fic Fim Cp</t>
        </is>
      </c>
      <c r="C214" s="6" t="inlineStr">
        <is>
          <t>41.035.946/0001-70</t>
        </is>
      </c>
      <c r="D214" s="4" t="inlineStr">
        <is>
          <t>XP VISTA ASSET MANAGEMENT LTDA.</t>
        </is>
      </c>
      <c r="E214" s="4" t="inlineStr">
        <is>
          <t>16.789.525/0001-98</t>
        </is>
      </c>
      <c r="F214" s="4" t="inlineStr">
        <is>
          <t>XPI Administradora - Modal</t>
        </is>
      </c>
      <c r="G214" s="4" t="inlineStr">
        <is>
          <t>Multimercado</t>
        </is>
      </c>
      <c r="H214" s="4" t="inlineStr">
        <is>
          <t>Crédito High Yield</t>
        </is>
      </c>
      <c r="I214" s="7" t="n">
        <v>100</v>
      </c>
      <c r="J214" s="8" t="n">
        <v>1.5</v>
      </c>
      <c r="K214" s="8" t="n"/>
      <c r="L214" s="4" t="inlineStr"/>
      <c r="M214" s="5" t="n">
        <v>90</v>
      </c>
      <c r="N214" s="5" t="n">
        <v>2</v>
      </c>
      <c r="O214" s="5" t="n"/>
      <c r="P214" s="4" t="inlineStr"/>
      <c r="Q214" s="4" t="inlineStr">
        <is>
          <t>Não</t>
        </is>
      </c>
      <c r="R214" s="4" t="inlineStr">
        <is>
          <t>Site (navegador)</t>
        </is>
      </c>
      <c r="S214" s="4" t="n">
        <v>1</v>
      </c>
      <c r="T214" s="4" t="inlineStr">
        <is>
          <t>Não</t>
        </is>
      </c>
      <c r="U214" s="4" t="inlineStr">
        <is>
          <t>Sim</t>
        </is>
      </c>
      <c r="V214" s="4" t="inlineStr">
        <is>
          <t>Não</t>
        </is>
      </c>
      <c r="W214" s="4" t="inlineStr"/>
    </row>
    <row r="215">
      <c r="A215" s="4" t="inlineStr">
        <is>
          <t>XP Investimentos</t>
        </is>
      </c>
      <c r="B215" s="4" t="inlineStr">
        <is>
          <t>Xp Equity Hedge Seguros Prev I Fic Fim Rl</t>
        </is>
      </c>
      <c r="C215" s="6" t="inlineStr">
        <is>
          <t>32.990.465/0001-23</t>
        </is>
      </c>
      <c r="D215" s="4" t="inlineStr">
        <is>
          <t>XP VIDA E PREVIDÊNCIA S.A.</t>
        </is>
      </c>
      <c r="E215" s="4" t="inlineStr">
        <is>
          <t>29.408.732/0001-05</t>
        </is>
      </c>
      <c r="F215" s="4" t="inlineStr">
        <is>
          <t>XP Investimentos</t>
        </is>
      </c>
      <c r="G215" s="4" t="inlineStr">
        <is>
          <t>Multimercado</t>
        </is>
      </c>
      <c r="H215" s="4" t="inlineStr">
        <is>
          <t>Long Short Direcional</t>
        </is>
      </c>
      <c r="I215" s="7" t="n">
        <v>100</v>
      </c>
      <c r="J215" s="8" t="n">
        <v>2</v>
      </c>
      <c r="K215" s="8" t="n"/>
      <c r="L215" s="4" t="inlineStr"/>
      <c r="M215" s="5" t="n">
        <v>22</v>
      </c>
      <c r="N215" s="5" t="n">
        <v>2</v>
      </c>
      <c r="O215" s="5" t="n"/>
      <c r="P215" s="4" t="inlineStr"/>
      <c r="Q215" s="4" t="inlineStr">
        <is>
          <t>Não</t>
        </is>
      </c>
      <c r="R215" s="4" t="inlineStr">
        <is>
          <t>Site (navegador)</t>
        </is>
      </c>
      <c r="S215" s="4" t="n">
        <v>1</v>
      </c>
      <c r="T215" s="4" t="inlineStr">
        <is>
          <t>Não</t>
        </is>
      </c>
      <c r="U215" s="4" t="inlineStr">
        <is>
          <t>Sim</t>
        </is>
      </c>
      <c r="V215" s="4" t="inlineStr">
        <is>
          <t>Não</t>
        </is>
      </c>
      <c r="W215" s="4" t="inlineStr"/>
    </row>
    <row r="216">
      <c r="A216" s="4" t="inlineStr">
        <is>
          <t>XP Investimentos</t>
        </is>
      </c>
      <c r="B216" s="4" t="inlineStr">
        <is>
          <t>Xp Liquidez 50 Firf Rl</t>
        </is>
      </c>
      <c r="C216" s="6" t="inlineStr">
        <is>
          <t>52.986.302/0001-84</t>
        </is>
      </c>
      <c r="D216" s="4" t="inlineStr">
        <is>
          <t>XP VISTA ASSET MANAGEMENT LTDA.</t>
        </is>
      </c>
      <c r="E216" s="4" t="inlineStr">
        <is>
          <t>16.789.525/0001-98</t>
        </is>
      </c>
      <c r="F216" s="4" t="inlineStr">
        <is>
          <t>BNY Mellon DTVM</t>
        </is>
      </c>
      <c r="G216" s="4" t="inlineStr">
        <is>
          <t>Renda Fixa</t>
        </is>
      </c>
      <c r="H216" s="4" t="inlineStr">
        <is>
          <t>Crédito Liquidez</t>
        </is>
      </c>
      <c r="I216" s="7" t="n">
        <v>100</v>
      </c>
      <c r="J216" s="8" t="n">
        <v>0.35</v>
      </c>
      <c r="K216" s="8" t="n"/>
      <c r="L216" s="4" t="inlineStr"/>
      <c r="M216" s="5" t="n">
        <v>0</v>
      </c>
      <c r="N216" s="5" t="n">
        <v>1</v>
      </c>
      <c r="O216" s="5" t="n"/>
      <c r="P216" s="4" t="inlineStr"/>
      <c r="Q216" s="4" t="inlineStr">
        <is>
          <t>Não</t>
        </is>
      </c>
      <c r="R216" s="4" t="inlineStr">
        <is>
          <t>Site (navegador)</t>
        </is>
      </c>
      <c r="S216" s="4" t="n">
        <v>1</v>
      </c>
      <c r="T216" s="4" t="inlineStr">
        <is>
          <t>Não</t>
        </is>
      </c>
      <c r="U216" s="4" t="inlineStr">
        <is>
          <t>Sim</t>
        </is>
      </c>
      <c r="V216" s="4" t="inlineStr">
        <is>
          <t>Não</t>
        </is>
      </c>
      <c r="W216" s="4" t="inlineStr"/>
    </row>
    <row r="217">
      <c r="A217" s="4" t="inlineStr">
        <is>
          <t>XP Investimentos</t>
        </is>
      </c>
      <c r="B217" s="4" t="inlineStr">
        <is>
          <t>Xp Long Biased Advisory Xp Seg Fic Fim</t>
        </is>
      </c>
      <c r="C217" s="6" t="inlineStr">
        <is>
          <t>35.744.196/0001-03</t>
        </is>
      </c>
      <c r="D217" s="4" t="inlineStr">
        <is>
          <t>XP GESTÃO DE RECURSOS LTDA</t>
        </is>
      </c>
      <c r="E217" s="4" t="inlineStr">
        <is>
          <t>07.625.200/0001-89</t>
        </is>
      </c>
      <c r="F217" s="4" t="inlineStr">
        <is>
          <t>BNY Mellon DTVM</t>
        </is>
      </c>
      <c r="G217" s="4" t="inlineStr">
        <is>
          <t>Multimercado</t>
        </is>
      </c>
      <c r="H217" s="4" t="inlineStr">
        <is>
          <t>Renda Variável Long Biased</t>
        </is>
      </c>
      <c r="I217" s="7" t="n">
        <v>100</v>
      </c>
      <c r="J217" s="8" t="n">
        <v>2</v>
      </c>
      <c r="K217" s="8" t="n"/>
      <c r="L217" s="4" t="inlineStr"/>
      <c r="M217" s="5" t="n">
        <v>22</v>
      </c>
      <c r="N217" s="5" t="n">
        <v>2</v>
      </c>
      <c r="O217" s="5" t="n"/>
      <c r="P217" s="4" t="inlineStr"/>
      <c r="Q217" s="4" t="inlineStr">
        <is>
          <t>Não</t>
        </is>
      </c>
      <c r="R217" s="4" t="inlineStr">
        <is>
          <t>Site (navegador)</t>
        </is>
      </c>
      <c r="S217" s="4" t="n">
        <v>1</v>
      </c>
      <c r="T217" s="4" t="inlineStr">
        <is>
          <t>Não</t>
        </is>
      </c>
      <c r="U217" s="4" t="inlineStr">
        <is>
          <t>Sim</t>
        </is>
      </c>
      <c r="V217" s="4" t="inlineStr">
        <is>
          <t>Não</t>
        </is>
      </c>
      <c r="W217" s="4" t="inlineStr"/>
    </row>
    <row r="218">
      <c r="A218" s="4" t="inlineStr">
        <is>
          <t>XP Investimentos</t>
        </is>
      </c>
      <c r="B218" s="4" t="inlineStr">
        <is>
          <t>Xp Seguros Verde Master Prev 60 Qualificado Fif Cic Mult Rl</t>
        </is>
      </c>
      <c r="C218" s="6" t="inlineStr">
        <is>
          <t>62.240.600/0001-84</t>
        </is>
      </c>
      <c r="D218" s="4" t="inlineStr">
        <is>
          <t>VERDE ASSET MANAGEMENT S.A.</t>
        </is>
      </c>
      <c r="E218" s="4" t="inlineStr">
        <is>
          <t>19.749.539/0001-76</t>
        </is>
      </c>
      <c r="F218" s="4" t="inlineStr">
        <is>
          <t>Intrag DTVM</t>
        </is>
      </c>
      <c r="G218" s="4" t="inlineStr">
        <is>
          <t>Multimercado</t>
        </is>
      </c>
      <c r="H218" s="4" t="inlineStr">
        <is>
          <t>Macro Alta Vol</t>
        </is>
      </c>
      <c r="I218" s="7" t="n">
        <v>100</v>
      </c>
      <c r="J218" s="8" t="n">
        <v>2</v>
      </c>
      <c r="K218" s="8" t="n"/>
      <c r="L218" s="4" t="inlineStr"/>
      <c r="M218" s="5" t="n">
        <v>44</v>
      </c>
      <c r="N218" s="5" t="n">
        <v>2</v>
      </c>
      <c r="O218" s="5" t="n"/>
      <c r="P218" s="4" t="inlineStr"/>
      <c r="Q218" s="4" t="inlineStr">
        <is>
          <t>Não</t>
        </is>
      </c>
      <c r="R218" s="4" t="inlineStr">
        <is>
          <t>Site (navegador)</t>
        </is>
      </c>
      <c r="S218" s="4" t="n">
        <v>1</v>
      </c>
      <c r="T218" s="4" t="inlineStr">
        <is>
          <t>Não</t>
        </is>
      </c>
      <c r="U218" s="4" t="inlineStr">
        <is>
          <t>Sim</t>
        </is>
      </c>
      <c r="V218" s="4" t="inlineStr">
        <is>
          <t>Não</t>
        </is>
      </c>
      <c r="W218" s="4" t="inlineStr"/>
    </row>
    <row r="219">
      <c r="A219" s="4" t="inlineStr">
        <is>
          <t>XP Investimentos</t>
        </is>
      </c>
      <c r="B219" s="4" t="inlineStr">
        <is>
          <t>Xp Termo Xp Seg Prev Ficfim Cp</t>
        </is>
      </c>
      <c r="C219" s="6" t="inlineStr">
        <is>
          <t>47.032.813/0001-27</t>
        </is>
      </c>
      <c r="D219" s="4" t="inlineStr">
        <is>
          <t>XP VIDA E PREVIDÊNCIA S.A.</t>
        </is>
      </c>
      <c r="E219" s="4" t="inlineStr">
        <is>
          <t>29.408.732/0001-05</t>
        </is>
      </c>
      <c r="F219" s="4" t="inlineStr">
        <is>
          <t>XPI Administradora</t>
        </is>
      </c>
      <c r="G219" s="4" t="inlineStr">
        <is>
          <t>Multimercado</t>
        </is>
      </c>
      <c r="H219" s="4" t="inlineStr">
        <is>
          <t>Crédito Liquidez</t>
        </is>
      </c>
      <c r="I219" s="7" t="n">
        <v>100</v>
      </c>
      <c r="J219" s="8" t="n">
        <v>0.5</v>
      </c>
      <c r="K219" s="8" t="n"/>
      <c r="L219" s="4" t="inlineStr"/>
      <c r="M219" s="5" t="n">
        <v>5</v>
      </c>
      <c r="N219" s="5" t="n">
        <v>1</v>
      </c>
      <c r="O219" s="5" t="n"/>
      <c r="P219" s="4" t="inlineStr"/>
      <c r="Q219" s="4" t="inlineStr">
        <is>
          <t>Não</t>
        </is>
      </c>
      <c r="R219" s="4" t="inlineStr">
        <is>
          <t>Site (navegador)</t>
        </is>
      </c>
      <c r="S219" s="4" t="n">
        <v>1</v>
      </c>
      <c r="T219" s="4" t="inlineStr">
        <is>
          <t>Não</t>
        </is>
      </c>
      <c r="U219" s="4" t="inlineStr">
        <is>
          <t>Sim</t>
        </is>
      </c>
      <c r="V219" s="4" t="inlineStr">
        <is>
          <t>Não</t>
        </is>
      </c>
      <c r="W219" s="4" t="inlineStr"/>
    </row>
  </sheetData>
  <autoFilter ref="A1:W2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34" customWidth="1" min="4" max="4"/>
    <col width="20" customWidth="1" min="5" max="5"/>
    <col width="30" customWidth="1" min="6" max="6"/>
    <col width="16" customWidth="1" min="7" max="7"/>
    <col width="30" customWidth="1" min="8" max="8"/>
    <col width="20" customWidth="1" min="9" max="9"/>
    <col width="14" customWidth="1" min="10" max="10"/>
    <col width="14" customWidth="1" min="11" max="11"/>
    <col width="14" customWidth="1" min="12" max="12"/>
    <col width="20" customWidth="1" min="13" max="13"/>
    <col width="21" customWidth="1" min="14" max="14"/>
    <col width="15" customWidth="1" min="15" max="15"/>
    <col width="16" customWidth="1" min="16" max="16"/>
    <col width="19" customWidth="1" min="17" max="17"/>
    <col width="26" customWidth="1" min="18" max="18"/>
    <col width="12" customWidth="1" min="19" max="19"/>
    <col width="13" customWidth="1" min="20" max="20"/>
    <col width="17" customWidth="1" min="21" max="21"/>
    <col width="13" customWidth="1" min="22" max="22"/>
    <col width="42" customWidth="1" min="23" max="23"/>
  </cols>
  <sheetData>
    <row r="1" ht="30" customHeight="1">
      <c r="A1" s="3" t="inlineStr">
        <is>
          <t>Plataforma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Gestora</t>
        </is>
      </c>
      <c r="E1" s="3" t="inlineStr">
        <is>
          <t>CNPJ da gestora</t>
        </is>
      </c>
      <c r="F1" s="3" t="inlineStr">
        <is>
          <t>Administrador</t>
        </is>
      </c>
      <c r="G1" s="3" t="inlineStr">
        <is>
          <t>Classe</t>
        </is>
      </c>
      <c r="H1" s="3" t="inlineStr">
        <is>
          <t>Categoria na origem</t>
        </is>
      </c>
      <c r="I1" s="3" t="inlineStr">
        <is>
          <t>Aplicação mínima (R$)</t>
        </is>
      </c>
      <c r="J1" s="3" t="inlineStr">
        <is>
          <t>Taxa adm (%)</t>
        </is>
      </c>
      <c r="K1" s="3" t="inlineStr">
        <is>
          <t>Taxa perf (%)</t>
        </is>
      </c>
      <c r="L1" s="3" t="inlineStr">
        <is>
          <t>Benchmark</t>
        </is>
      </c>
      <c r="M1" s="3" t="inlineStr">
        <is>
          <t>Cotização resgate (D+)</t>
        </is>
      </c>
      <c r="N1" s="3" t="inlineStr">
        <is>
          <t>Líquidação resgate (D+)</t>
        </is>
      </c>
      <c r="O1" s="3" t="inlineStr">
        <is>
          <t>Carência (dias)</t>
        </is>
      </c>
      <c r="P1" s="3" t="inlineStr">
        <is>
          <t>Tributação</t>
        </is>
      </c>
      <c r="Q1" s="3" t="inlineStr">
        <is>
          <t>Fechado p/ captação</t>
        </is>
      </c>
      <c r="R1" s="3" t="inlineStr">
        <is>
          <t>Fontes</t>
        </is>
      </c>
      <c r="S1" s="3" t="inlineStr">
        <is>
          <t>Nº de fontes</t>
        </is>
      </c>
      <c r="T1" s="3" t="inlineStr">
        <is>
          <t>Open Finance</t>
        </is>
      </c>
      <c r="U1" s="3" t="inlineStr">
        <is>
          <t>Prateleira (site)</t>
        </is>
      </c>
      <c r="V1" s="3" t="inlineStr">
        <is>
          <t>Área logada</t>
        </is>
      </c>
      <c r="W1" s="3" t="inlineStr">
        <is>
          <t>Link</t>
        </is>
      </c>
    </row>
    <row r="2">
      <c r="A2" s="4" t="inlineStr">
        <is>
          <t>BTG Pactual</t>
        </is>
      </c>
      <c r="B2" s="4" t="inlineStr">
        <is>
          <t>3R Genus Hedge Prev FIM RL</t>
        </is>
      </c>
      <c r="C2" s="6" t="inlineStr">
        <is>
          <t>51.694.298/0001-18</t>
        </is>
      </c>
      <c r="D2" s="4" t="inlineStr">
        <is>
          <t>3R GESTORA DE RECURSOS LTDA</t>
        </is>
      </c>
      <c r="E2" s="4" t="inlineStr">
        <is>
          <t>13.641.353/0001-12</t>
        </is>
      </c>
      <c r="F2" s="4" t="inlineStr">
        <is>
          <t>BTG PACTUAL SERVICOS FINANCEIROS S.A. DISTRIBUIDOR</t>
        </is>
      </c>
      <c r="G2" s="4" t="inlineStr">
        <is>
          <t>Multimercado</t>
        </is>
      </c>
      <c r="H2" s="4" t="inlineStr">
        <is>
          <t>Renda Variável</t>
        </is>
      </c>
      <c r="I2" s="7" t="n">
        <v>1000</v>
      </c>
      <c r="J2" s="8" t="n"/>
      <c r="K2" s="8" t="n">
        <v>20</v>
      </c>
      <c r="L2" s="4" t="inlineStr">
        <is>
          <t>-</t>
        </is>
      </c>
      <c r="M2" s="5" t="n">
        <v>3</v>
      </c>
      <c r="N2" s="5" t="n">
        <v>4</v>
      </c>
      <c r="O2" s="5" t="n"/>
      <c r="P2" s="4" t="inlineStr">
        <is>
          <t>Curto Prazo</t>
        </is>
      </c>
      <c r="Q2" s="4" t="inlineStr">
        <is>
          <t>Sim</t>
        </is>
      </c>
      <c r="R2" s="4" t="inlineStr">
        <is>
          <t>API interna</t>
        </is>
      </c>
      <c r="S2" s="4" t="n">
        <v>1</v>
      </c>
      <c r="T2" s="4" t="inlineStr">
        <is>
          <t>Não</t>
        </is>
      </c>
      <c r="U2" s="4" t="inlineStr">
        <is>
          <t>Sim</t>
        </is>
      </c>
      <c r="V2" s="4" t="inlineStr">
        <is>
          <t>Não</t>
        </is>
      </c>
      <c r="W2" s="4" t="inlineStr"/>
    </row>
    <row r="3">
      <c r="A3" s="4" t="inlineStr">
        <is>
          <t>BTG Pactual</t>
        </is>
      </c>
      <c r="B3" s="4" t="inlineStr">
        <is>
          <t>A1 High Grade FIE I Prev BP FIC FIRF</t>
        </is>
      </c>
      <c r="C3" s="6" t="inlineStr">
        <is>
          <t>67.124.600/0001-32</t>
        </is>
      </c>
      <c r="D3" s="4" t="inlineStr">
        <is>
          <t>ASSET1 INVESTIMENTOS S/A</t>
        </is>
      </c>
      <c r="E3" s="4" t="inlineStr">
        <is>
          <t>35.185.577/0001-08</t>
        </is>
      </c>
      <c r="F3" s="4" t="inlineStr">
        <is>
          <t>BTG PACTUAL SERVICOS FINANCEIROS S.A. DISTRIBUIDOR</t>
        </is>
      </c>
      <c r="G3" s="4" t="inlineStr">
        <is>
          <t>Renda Fixa</t>
        </is>
      </c>
      <c r="H3" s="4" t="inlineStr">
        <is>
          <t>Outros</t>
        </is>
      </c>
      <c r="I3" s="7" t="n">
        <v>1000</v>
      </c>
      <c r="J3" s="8" t="n">
        <v>0.85</v>
      </c>
      <c r="K3" s="8" t="n"/>
      <c r="L3" s="4" t="inlineStr"/>
      <c r="M3" s="5" t="n">
        <v>0</v>
      </c>
      <c r="N3" s="5" t="n">
        <v>2</v>
      </c>
      <c r="O3" s="5" t="n"/>
      <c r="P3" s="4" t="inlineStr">
        <is>
          <t>Longo Prazo</t>
        </is>
      </c>
      <c r="Q3" s="4" t="inlineStr">
        <is>
          <t>Não</t>
        </is>
      </c>
      <c r="R3" s="4" t="inlineStr">
        <is>
          <t>API interna</t>
        </is>
      </c>
      <c r="S3" s="4" t="n">
        <v>1</v>
      </c>
      <c r="T3" s="4" t="inlineStr">
        <is>
          <t>Não</t>
        </is>
      </c>
      <c r="U3" s="4" t="inlineStr">
        <is>
          <t>Sim</t>
        </is>
      </c>
      <c r="V3" s="4" t="inlineStr">
        <is>
          <t>Não</t>
        </is>
      </c>
      <c r="W3" s="4" t="inlineStr"/>
    </row>
    <row r="4">
      <c r="A4" s="4" t="inlineStr">
        <is>
          <t>BTG Pactual</t>
        </is>
      </c>
      <c r="B4" s="4" t="inlineStr">
        <is>
          <t>A1 RF Ativa Prev FICFIRF RL</t>
        </is>
      </c>
      <c r="C4" s="6" t="inlineStr">
        <is>
          <t>60.356.190/0001-06</t>
        </is>
      </c>
      <c r="D4" s="4" t="inlineStr">
        <is>
          <t>ASSET1 INVESTIMENTOS S/A</t>
        </is>
      </c>
      <c r="E4" s="4" t="inlineStr">
        <is>
          <t>35.185.577/0001-08</t>
        </is>
      </c>
      <c r="F4" s="4" t="inlineStr">
        <is>
          <t>BTG PACTUAL SERVICOS FINANCEIROS S.A. DISTRIBUIDOR</t>
        </is>
      </c>
      <c r="G4" s="4" t="inlineStr">
        <is>
          <t>Renda Fixa</t>
        </is>
      </c>
      <c r="H4" s="4" t="inlineStr">
        <is>
          <t>Renda Fixa</t>
        </is>
      </c>
      <c r="I4" s="7" t="n">
        <v>1000</v>
      </c>
      <c r="J4" s="8" t="n"/>
      <c r="K4" s="8" t="n">
        <v>20</v>
      </c>
      <c r="L4" s="4" t="inlineStr">
        <is>
          <t>-</t>
        </is>
      </c>
      <c r="M4" s="5" t="n">
        <v>0</v>
      </c>
      <c r="N4" s="5" t="n">
        <v>1</v>
      </c>
      <c r="O4" s="5" t="n"/>
      <c r="P4" s="4" t="inlineStr">
        <is>
          <t>Curto Prazo</t>
        </is>
      </c>
      <c r="Q4" s="4" t="inlineStr">
        <is>
          <t>Não</t>
        </is>
      </c>
      <c r="R4" s="4" t="inlineStr">
        <is>
          <t>API interna</t>
        </is>
      </c>
      <c r="S4" s="4" t="n">
        <v>1</v>
      </c>
      <c r="T4" s="4" t="inlineStr">
        <is>
          <t>Não</t>
        </is>
      </c>
      <c r="U4" s="4" t="inlineStr">
        <is>
          <t>Sim</t>
        </is>
      </c>
      <c r="V4" s="4" t="inlineStr">
        <is>
          <t>Não</t>
        </is>
      </c>
      <c r="W4" s="4" t="inlineStr"/>
    </row>
    <row r="5">
      <c r="A5" s="4" t="inlineStr">
        <is>
          <t>BTG Pactual</t>
        </is>
      </c>
      <c r="B5" s="4" t="inlineStr">
        <is>
          <t>ACE Capital Prev Icatu FICFIM RL</t>
        </is>
      </c>
      <c r="C5" s="6" t="inlineStr">
        <is>
          <t>48.212.959/0001-17</t>
        </is>
      </c>
      <c r="D5" s="4" t="inlineStr">
        <is>
          <t>ACE CAPITAL GESTORA DE RECURSOS LTDA.</t>
        </is>
      </c>
      <c r="E5" s="4" t="inlineStr">
        <is>
          <t>33.411.393/0001-85</t>
        </is>
      </c>
      <c r="F5" s="4" t="inlineStr">
        <is>
          <t>INTRAG DISTR DE TITULOS EVALORES MOBILIARIOS LTDA</t>
        </is>
      </c>
      <c r="G5" s="4" t="inlineStr">
        <is>
          <t>Multimercado</t>
        </is>
      </c>
      <c r="H5" s="4" t="inlineStr">
        <is>
          <t>Multimercado</t>
        </is>
      </c>
      <c r="I5" s="7" t="n">
        <v>1500</v>
      </c>
      <c r="J5" s="8" t="n">
        <v>2</v>
      </c>
      <c r="K5" s="8" t="n">
        <v>20</v>
      </c>
      <c r="L5" s="4" t="inlineStr">
        <is>
          <t>CDI</t>
        </is>
      </c>
      <c r="M5" s="5" t="n">
        <v>6</v>
      </c>
      <c r="N5" s="5" t="n">
        <v>7</v>
      </c>
      <c r="O5" s="5" t="n"/>
      <c r="P5" s="4" t="inlineStr">
        <is>
          <t>Longo Prazo</t>
        </is>
      </c>
      <c r="Q5" s="4" t="inlineStr">
        <is>
          <t>Não</t>
        </is>
      </c>
      <c r="R5" s="4" t="inlineStr">
        <is>
          <t>API interna</t>
        </is>
      </c>
      <c r="S5" s="4" t="n">
        <v>1</v>
      </c>
      <c r="T5" s="4" t="inlineStr">
        <is>
          <t>Não</t>
        </is>
      </c>
      <c r="U5" s="4" t="inlineStr">
        <is>
          <t>Sim</t>
        </is>
      </c>
      <c r="V5" s="4" t="inlineStr">
        <is>
          <t>Não</t>
        </is>
      </c>
      <c r="W5" s="4" t="inlineStr"/>
    </row>
    <row r="6">
      <c r="A6" s="4" t="inlineStr">
        <is>
          <t>BTG Pactual</t>
        </is>
      </c>
      <c r="B6" s="4" t="inlineStr">
        <is>
          <t>ARX Denali Prev FIRF Access CrPr RL</t>
        </is>
      </c>
      <c r="C6" s="6" t="inlineStr">
        <is>
          <t>47.564.808/0001-65</t>
        </is>
      </c>
      <c r="D6" s="4" t="inlineStr">
        <is>
          <t>BTG PACTUAL GESTÃO E CONSULTORIA DE INVESTIMENTOS LTDA</t>
        </is>
      </c>
      <c r="E6" s="4" t="inlineStr">
        <is>
          <t>12.695.840/0001-03</t>
        </is>
      </c>
      <c r="F6" s="4" t="inlineStr">
        <is>
          <t>BTG PACTUAL SERVICOS FINANCEIROS S.A. DISTRIBUIDOR</t>
        </is>
      </c>
      <c r="G6" s="4" t="inlineStr">
        <is>
          <t>Renda Fixa</t>
        </is>
      </c>
      <c r="H6" s="4" t="inlineStr">
        <is>
          <t>Renda Fixa</t>
        </is>
      </c>
      <c r="I6" s="7" t="n">
        <v>1000</v>
      </c>
      <c r="J6" s="8" t="n"/>
      <c r="K6" s="8" t="n"/>
      <c r="L6" s="4" t="inlineStr"/>
      <c r="M6" s="5" t="n">
        <v>2</v>
      </c>
      <c r="N6" s="5" t="n">
        <v>4</v>
      </c>
      <c r="O6" s="5" t="n"/>
      <c r="P6" s="4" t="inlineStr">
        <is>
          <t>Curto Prazo</t>
        </is>
      </c>
      <c r="Q6" s="4" t="inlineStr">
        <is>
          <t>Não</t>
        </is>
      </c>
      <c r="R6" s="4" t="inlineStr">
        <is>
          <t>API interna</t>
        </is>
      </c>
      <c r="S6" s="4" t="n">
        <v>1</v>
      </c>
      <c r="T6" s="4" t="inlineStr">
        <is>
          <t>Não</t>
        </is>
      </c>
      <c r="U6" s="4" t="inlineStr">
        <is>
          <t>Sim</t>
        </is>
      </c>
      <c r="V6" s="4" t="inlineStr">
        <is>
          <t>Não</t>
        </is>
      </c>
      <c r="W6" s="4" t="inlineStr"/>
    </row>
    <row r="7">
      <c r="A7" s="4" t="inlineStr">
        <is>
          <t>BTG Pactual</t>
        </is>
      </c>
      <c r="B7" s="4" t="inlineStr">
        <is>
          <t>ARX Income Icatu Prev 100 FICFIA RL</t>
        </is>
      </c>
      <c r="C7" s="6" t="inlineStr">
        <is>
          <t>37.355.672/0001-20</t>
        </is>
      </c>
      <c r="D7" s="4" t="inlineStr">
        <is>
          <t>ARX INVESTIMENTOS LTDA</t>
        </is>
      </c>
      <c r="E7" s="4" t="inlineStr">
        <is>
          <t>04.408.128/0001-40</t>
        </is>
      </c>
      <c r="F7" s="4" t="inlineStr">
        <is>
          <t>BNY MELLON SERVICOS FINANCEIROS DTVM S/A</t>
        </is>
      </c>
      <c r="G7" s="4" t="inlineStr">
        <is>
          <t>Ações</t>
        </is>
      </c>
      <c r="H7" s="4" t="inlineStr">
        <is>
          <t>Renda Variável</t>
        </is>
      </c>
      <c r="I7" s="7" t="n">
        <v>5000</v>
      </c>
      <c r="J7" s="8" t="n">
        <v>2</v>
      </c>
      <c r="K7" s="8" t="n">
        <v>20</v>
      </c>
      <c r="L7" s="4" t="inlineStr">
        <is>
          <t>IBOVESPA</t>
        </is>
      </c>
      <c r="M7" s="5" t="n">
        <v>6</v>
      </c>
      <c r="N7" s="5" t="n">
        <v>8</v>
      </c>
      <c r="O7" s="5" t="n"/>
      <c r="P7" s="4" t="inlineStr">
        <is>
          <t>Renda Variável</t>
        </is>
      </c>
      <c r="Q7" s="4" t="inlineStr">
        <is>
          <t>Não</t>
        </is>
      </c>
      <c r="R7" s="4" t="inlineStr">
        <is>
          <t>API interna</t>
        </is>
      </c>
      <c r="S7" s="4" t="n">
        <v>1</v>
      </c>
      <c r="T7" s="4" t="inlineStr">
        <is>
          <t>Não</t>
        </is>
      </c>
      <c r="U7" s="4" t="inlineStr">
        <is>
          <t>Sim</t>
        </is>
      </c>
      <c r="V7" s="4" t="inlineStr">
        <is>
          <t>Não</t>
        </is>
      </c>
      <c r="W7" s="4" t="inlineStr"/>
    </row>
    <row r="8">
      <c r="A8" s="4" t="inlineStr">
        <is>
          <t>BTG Pactual</t>
        </is>
      </c>
      <c r="B8" s="4" t="inlineStr">
        <is>
          <t>ARX Income Icatu Prev FIM RL</t>
        </is>
      </c>
      <c r="C8" s="6" t="inlineStr">
        <is>
          <t>03.879.361/0001-48</t>
        </is>
      </c>
      <c r="D8" s="4" t="inlineStr">
        <is>
          <t>ARX INVESTIMENTOS LTDA</t>
        </is>
      </c>
      <c r="E8" s="4" t="inlineStr">
        <is>
          <t>04.408.128/0001-40</t>
        </is>
      </c>
      <c r="F8" s="4" t="inlineStr">
        <is>
          <t>BNY MELLON SERVICOS FINANCEIROS DTVM S/A</t>
        </is>
      </c>
      <c r="G8" s="4" t="inlineStr">
        <is>
          <t>Multimercado</t>
        </is>
      </c>
      <c r="H8" s="4" t="inlineStr">
        <is>
          <t>Renda Variável</t>
        </is>
      </c>
      <c r="I8" s="7" t="n">
        <v>1000</v>
      </c>
      <c r="J8" s="8" t="n">
        <v>1.9</v>
      </c>
      <c r="K8" s="8" t="n"/>
      <c r="L8" s="4" t="inlineStr"/>
      <c r="M8" s="5" t="n">
        <v>1</v>
      </c>
      <c r="N8" s="5" t="n">
        <v>2</v>
      </c>
      <c r="O8" s="5" t="n"/>
      <c r="P8" s="4" t="inlineStr">
        <is>
          <t>Não Aplicável</t>
        </is>
      </c>
      <c r="Q8" s="4" t="inlineStr">
        <is>
          <t>Não</t>
        </is>
      </c>
      <c r="R8" s="4" t="inlineStr">
        <is>
          <t>API interna</t>
        </is>
      </c>
      <c r="S8" s="4" t="n">
        <v>1</v>
      </c>
      <c r="T8" s="4" t="inlineStr">
        <is>
          <t>Não</t>
        </is>
      </c>
      <c r="U8" s="4" t="inlineStr">
        <is>
          <t>Sim</t>
        </is>
      </c>
      <c r="V8" s="4" t="inlineStr">
        <is>
          <t>Não</t>
        </is>
      </c>
      <c r="W8" s="4" t="inlineStr"/>
    </row>
    <row r="9">
      <c r="A9" s="4" t="inlineStr">
        <is>
          <t>BTG Pactual</t>
        </is>
      </c>
      <c r="B9" s="4" t="inlineStr">
        <is>
          <t>ARX K2 Prev FICFIM CrPr RL</t>
        </is>
      </c>
      <c r="C9" s="6" t="inlineStr">
        <is>
          <t>33.165.244/0001-83</t>
        </is>
      </c>
      <c r="D9" s="4" t="inlineStr">
        <is>
          <t>ARX INVESTIMENTOS LTDA</t>
        </is>
      </c>
      <c r="E9" s="4" t="inlineStr">
        <is>
          <t>04.408.128/0001-40</t>
        </is>
      </c>
      <c r="F9" s="4" t="inlineStr">
        <is>
          <t>BTG PACTUAL SERVICOS FINANCEIROS S.A. DISTRIBUIDOR</t>
        </is>
      </c>
      <c r="G9" s="4" t="inlineStr">
        <is>
          <t>Multimercado</t>
        </is>
      </c>
      <c r="H9" s="4" t="inlineStr">
        <is>
          <t>Renda Fixa</t>
        </is>
      </c>
      <c r="I9" s="7" t="n">
        <v>0</v>
      </c>
      <c r="J9" s="8" t="n">
        <v>1.1</v>
      </c>
      <c r="K9" s="8" t="n"/>
      <c r="L9" s="4" t="inlineStr"/>
      <c r="M9" s="5" t="n">
        <v>5</v>
      </c>
      <c r="N9" s="5" t="n">
        <v>7</v>
      </c>
      <c r="O9" s="5" t="n"/>
      <c r="P9" s="4" t="inlineStr">
        <is>
          <t>Curto Prazo</t>
        </is>
      </c>
      <c r="Q9" s="4" t="inlineStr">
        <is>
          <t>Não</t>
        </is>
      </c>
      <c r="R9" s="4" t="inlineStr">
        <is>
          <t>API interna</t>
        </is>
      </c>
      <c r="S9" s="4" t="n">
        <v>1</v>
      </c>
      <c r="T9" s="4" t="inlineStr">
        <is>
          <t>Não</t>
        </is>
      </c>
      <c r="U9" s="4" t="inlineStr">
        <is>
          <t>Sim</t>
        </is>
      </c>
      <c r="V9" s="4" t="inlineStr">
        <is>
          <t>Não</t>
        </is>
      </c>
      <c r="W9" s="4" t="inlineStr"/>
    </row>
    <row r="10">
      <c r="A10" s="4" t="inlineStr">
        <is>
          <t>BTG Pactual</t>
        </is>
      </c>
      <c r="B10" s="4" t="inlineStr">
        <is>
          <t>ASA Hedge Icatu Prev FICFIM RL</t>
        </is>
      </c>
      <c r="C10" s="6" t="inlineStr">
        <is>
          <t>26.343.792/0001-90</t>
        </is>
      </c>
      <c r="D10" s="4" t="inlineStr">
        <is>
          <t>ASA ASSET MANAGEMENT LTDA.</t>
        </is>
      </c>
      <c r="E10" s="4" t="inlineStr">
        <is>
          <t>19.807.960/0001-96</t>
        </is>
      </c>
      <c r="F10" s="4" t="inlineStr">
        <is>
          <t>S3 CACEIS BRASIL DISTRIBUIDORA DE TITULOS E VALORE</t>
        </is>
      </c>
      <c r="G10" s="4" t="inlineStr">
        <is>
          <t>Multimercado</t>
        </is>
      </c>
      <c r="H10" s="4" t="inlineStr">
        <is>
          <t>Multimercado</t>
        </is>
      </c>
      <c r="I10" s="7" t="n">
        <v>1000</v>
      </c>
      <c r="J10" s="8" t="n">
        <v>0.9500000000000001</v>
      </c>
      <c r="K10" s="8" t="n"/>
      <c r="L10" s="4" t="inlineStr"/>
      <c r="M10" s="5" t="n">
        <v>0</v>
      </c>
      <c r="N10" s="5" t="n">
        <v>3</v>
      </c>
      <c r="O10" s="5" t="n"/>
      <c r="P10" s="4" t="inlineStr">
        <is>
          <t>Longo Prazo</t>
        </is>
      </c>
      <c r="Q10" s="4" t="inlineStr">
        <is>
          <t>Não</t>
        </is>
      </c>
      <c r="R10" s="4" t="inlineStr">
        <is>
          <t>API interna</t>
        </is>
      </c>
      <c r="S10" s="4" t="n">
        <v>1</v>
      </c>
      <c r="T10" s="4" t="inlineStr">
        <is>
          <t>Não</t>
        </is>
      </c>
      <c r="U10" s="4" t="inlineStr">
        <is>
          <t>Sim</t>
        </is>
      </c>
      <c r="V10" s="4" t="inlineStr">
        <is>
          <t>Não</t>
        </is>
      </c>
      <c r="W10" s="4" t="inlineStr"/>
    </row>
    <row r="11">
      <c r="A11" s="4" t="inlineStr">
        <is>
          <t>BTG Pactual</t>
        </is>
      </c>
      <c r="B11" s="4" t="inlineStr">
        <is>
          <t>AZ Quest Altro Prev FICFIM FIE Access CrPr RL</t>
        </is>
      </c>
      <c r="C11" s="6" t="inlineStr">
        <is>
          <t>47.640.749/0001-67</t>
        </is>
      </c>
      <c r="D11" s="4" t="inlineStr">
        <is>
          <t>BTG PACTUAL GESTÃO E CONSULTORIA DE INVESTIMENTOS LTDA</t>
        </is>
      </c>
      <c r="E11" s="4" t="inlineStr">
        <is>
          <t>12.695.840/0001-03</t>
        </is>
      </c>
      <c r="F11" s="4" t="inlineStr">
        <is>
          <t>BTG PACTUAL SERVICOS FINANCEIROS S.A. DISTRIBUIDOR</t>
        </is>
      </c>
      <c r="G11" s="4" t="inlineStr">
        <is>
          <t>Multimercado</t>
        </is>
      </c>
      <c r="H11" s="4" t="inlineStr">
        <is>
          <t>Renda Fixa</t>
        </is>
      </c>
      <c r="I11" s="7" t="n">
        <v>1000</v>
      </c>
      <c r="J11" s="8" t="n"/>
      <c r="K11" s="8" t="n"/>
      <c r="L11" s="4" t="inlineStr"/>
      <c r="M11" s="5" t="n">
        <v>20</v>
      </c>
      <c r="N11" s="5" t="n">
        <v>21</v>
      </c>
      <c r="O11" s="5" t="n"/>
      <c r="P11" s="4" t="inlineStr">
        <is>
          <t>Curto Prazo</t>
        </is>
      </c>
      <c r="Q11" s="4" t="inlineStr">
        <is>
          <t>Não</t>
        </is>
      </c>
      <c r="R11" s="4" t="inlineStr">
        <is>
          <t>API interna</t>
        </is>
      </c>
      <c r="S11" s="4" t="n">
        <v>1</v>
      </c>
      <c r="T11" s="4" t="inlineStr">
        <is>
          <t>Não</t>
        </is>
      </c>
      <c r="U11" s="4" t="inlineStr">
        <is>
          <t>Sim</t>
        </is>
      </c>
      <c r="V11" s="4" t="inlineStr">
        <is>
          <t>Não</t>
        </is>
      </c>
      <c r="W11" s="4" t="inlineStr"/>
    </row>
    <row r="12">
      <c r="A12" s="4" t="inlineStr">
        <is>
          <t>BTG Pactual</t>
        </is>
      </c>
      <c r="B12" s="4" t="inlineStr">
        <is>
          <t>AZ Quest Icatu Multi Prev FICFIM RL</t>
        </is>
      </c>
      <c r="C12" s="6" t="inlineStr">
        <is>
          <t>18.534.967/0001-19</t>
        </is>
      </c>
      <c r="D12" s="4" t="inlineStr">
        <is>
          <t>AZ Quest Prev Ltda.</t>
        </is>
      </c>
      <c r="E12" s="4" t="inlineStr">
        <is>
          <t>59.312.965/0001-62</t>
        </is>
      </c>
      <c r="F12" s="4" t="inlineStr">
        <is>
          <t>BNY MELLON SERVICOS FINANCEIROS DTVM S/A</t>
        </is>
      </c>
      <c r="G12" s="4" t="inlineStr">
        <is>
          <t>Multimercado</t>
        </is>
      </c>
      <c r="H12" s="4" t="inlineStr">
        <is>
          <t>Multimercado</t>
        </is>
      </c>
      <c r="I12" s="7" t="n">
        <v>1500</v>
      </c>
      <c r="J12" s="8" t="n">
        <v>2</v>
      </c>
      <c r="K12" s="8" t="n"/>
      <c r="L12" s="4" t="inlineStr"/>
      <c r="M12" s="5" t="n">
        <v>1</v>
      </c>
      <c r="N12" s="5" t="n">
        <v>3</v>
      </c>
      <c r="O12" s="5" t="n"/>
      <c r="P12" s="4" t="inlineStr">
        <is>
          <t>Não Aplicável</t>
        </is>
      </c>
      <c r="Q12" s="4" t="inlineStr">
        <is>
          <t>Não</t>
        </is>
      </c>
      <c r="R12" s="4" t="inlineStr">
        <is>
          <t>API interna</t>
        </is>
      </c>
      <c r="S12" s="4" t="n">
        <v>1</v>
      </c>
      <c r="T12" s="4" t="inlineStr">
        <is>
          <t>Não</t>
        </is>
      </c>
      <c r="U12" s="4" t="inlineStr">
        <is>
          <t>Sim</t>
        </is>
      </c>
      <c r="V12" s="4" t="inlineStr">
        <is>
          <t>Não</t>
        </is>
      </c>
      <c r="W12" s="4" t="inlineStr"/>
    </row>
    <row r="13">
      <c r="A13" s="4" t="inlineStr">
        <is>
          <t>BTG Pactual</t>
        </is>
      </c>
      <c r="B13" s="4" t="inlineStr">
        <is>
          <t>AZ Quest Inflacao Ativo Prev FIE I FICFIRF RL</t>
        </is>
      </c>
      <c r="C13" s="6" t="inlineStr">
        <is>
          <t>34.442.059/0001-51</t>
        </is>
      </c>
      <c r="D13" s="4" t="inlineStr">
        <is>
          <t>AZ Quest Prev Ltda.</t>
        </is>
      </c>
      <c r="E13" s="4" t="inlineStr">
        <is>
          <t>59.312.965/0001-62</t>
        </is>
      </c>
      <c r="F13" s="4" t="inlineStr">
        <is>
          <t>BNY MELLON SERVICOS FINANCEIROS DTVM S/A</t>
        </is>
      </c>
      <c r="G13" s="4" t="inlineStr">
        <is>
          <t>Renda Fixa</t>
        </is>
      </c>
      <c r="H13" s="4" t="inlineStr">
        <is>
          <t>Renda Fixa</t>
        </is>
      </c>
      <c r="I13" s="7" t="n">
        <v>1500</v>
      </c>
      <c r="J13" s="8" t="n">
        <v>0.55</v>
      </c>
      <c r="K13" s="8" t="n"/>
      <c r="L13" s="4" t="inlineStr"/>
      <c r="M13" s="5" t="n">
        <v>0</v>
      </c>
      <c r="N13" s="5" t="n">
        <v>1</v>
      </c>
      <c r="O13" s="5" t="n"/>
      <c r="P13" s="4" t="inlineStr">
        <is>
          <t>Longo Prazo</t>
        </is>
      </c>
      <c r="Q13" s="4" t="inlineStr">
        <is>
          <t>Não</t>
        </is>
      </c>
      <c r="R13" s="4" t="inlineStr">
        <is>
          <t>API interna</t>
        </is>
      </c>
      <c r="S13" s="4" t="n">
        <v>1</v>
      </c>
      <c r="T13" s="4" t="inlineStr">
        <is>
          <t>Não</t>
        </is>
      </c>
      <c r="U13" s="4" t="inlineStr">
        <is>
          <t>Sim</t>
        </is>
      </c>
      <c r="V13" s="4" t="inlineStr">
        <is>
          <t>Não</t>
        </is>
      </c>
      <c r="W13" s="4" t="inlineStr"/>
    </row>
    <row r="14">
      <c r="A14" s="4" t="inlineStr">
        <is>
          <t>BTG Pactual</t>
        </is>
      </c>
      <c r="B14" s="4" t="inlineStr">
        <is>
          <t>AZ Quest Prev Icatu Luce FICFIRF CrPr RL</t>
        </is>
      </c>
      <c r="C14" s="6" t="inlineStr">
        <is>
          <t>23.883.385/0001-88</t>
        </is>
      </c>
      <c r="D14" s="4" t="inlineStr">
        <is>
          <t>AZ Quest Prev Ltda.</t>
        </is>
      </c>
      <c r="E14" s="4" t="inlineStr">
        <is>
          <t>59.312.965/0001-62</t>
        </is>
      </c>
      <c r="F14" s="4" t="inlineStr">
        <is>
          <t>BNY MELLON SERVICOS FINANCEIROS DTVM S/A</t>
        </is>
      </c>
      <c r="G14" s="4" t="inlineStr">
        <is>
          <t>Renda Fixa</t>
        </is>
      </c>
      <c r="H14" s="4" t="inlineStr">
        <is>
          <t>Renda Fixa</t>
        </is>
      </c>
      <c r="I14" s="7" t="n">
        <v>3000</v>
      </c>
      <c r="J14" s="8" t="n">
        <v>0.55</v>
      </c>
      <c r="K14" s="8" t="n"/>
      <c r="L14" s="4" t="inlineStr"/>
      <c r="M14" s="5" t="n">
        <v>1</v>
      </c>
      <c r="N14" s="5" t="n">
        <v>3</v>
      </c>
      <c r="O14" s="5" t="n"/>
      <c r="P14" s="4" t="inlineStr">
        <is>
          <t>Longo Prazo</t>
        </is>
      </c>
      <c r="Q14" s="4" t="inlineStr">
        <is>
          <t>Não</t>
        </is>
      </c>
      <c r="R14" s="4" t="inlineStr">
        <is>
          <t>API interna</t>
        </is>
      </c>
      <c r="S14" s="4" t="n">
        <v>1</v>
      </c>
      <c r="T14" s="4" t="inlineStr">
        <is>
          <t>Não</t>
        </is>
      </c>
      <c r="U14" s="4" t="inlineStr">
        <is>
          <t>Sim</t>
        </is>
      </c>
      <c r="V14" s="4" t="inlineStr">
        <is>
          <t>Não</t>
        </is>
      </c>
      <c r="W14" s="4" t="inlineStr"/>
    </row>
    <row r="15">
      <c r="A15" s="4" t="inlineStr">
        <is>
          <t>BTG Pactual</t>
        </is>
      </c>
      <c r="B15" s="4" t="inlineStr">
        <is>
          <t>Absolute Atenas Prev FIM Access CrPr RL</t>
        </is>
      </c>
      <c r="C15" s="6" t="inlineStr">
        <is>
          <t>47.564.734/0001-67</t>
        </is>
      </c>
      <c r="D15" s="4" t="inlineStr">
        <is>
          <t>BTG PACTUAL GESTÃO E CONSULTORIA DE INVESTIMENTOS LTDA</t>
        </is>
      </c>
      <c r="E15" s="4" t="inlineStr">
        <is>
          <t>12.695.840/0001-03</t>
        </is>
      </c>
      <c r="F15" s="4" t="inlineStr">
        <is>
          <t>BTG PACTUAL SERVICOS FINANCEIROS S.A. DISTRIBUIDOR</t>
        </is>
      </c>
      <c r="G15" s="4" t="inlineStr">
        <is>
          <t>Renda Fixa</t>
        </is>
      </c>
      <c r="H15" s="4" t="inlineStr">
        <is>
          <t>Renda Fixa</t>
        </is>
      </c>
      <c r="I15" s="7" t="n">
        <v>1000</v>
      </c>
      <c r="J15" s="8" t="n">
        <v>0.98</v>
      </c>
      <c r="K15" s="8" t="n"/>
      <c r="L15" s="4" t="inlineStr"/>
      <c r="M15" s="5" t="n">
        <v>6</v>
      </c>
      <c r="N15" s="5" t="n">
        <v>8</v>
      </c>
      <c r="O15" s="5" t="n"/>
      <c r="P15" s="4" t="inlineStr">
        <is>
          <t>Curto Prazo</t>
        </is>
      </c>
      <c r="Q15" s="4" t="inlineStr">
        <is>
          <t>Não</t>
        </is>
      </c>
      <c r="R15" s="4" t="inlineStr">
        <is>
          <t>API interna</t>
        </is>
      </c>
      <c r="S15" s="4" t="n">
        <v>1</v>
      </c>
      <c r="T15" s="4" t="inlineStr">
        <is>
          <t>Não</t>
        </is>
      </c>
      <c r="U15" s="4" t="inlineStr">
        <is>
          <t>Sim</t>
        </is>
      </c>
      <c r="V15" s="4" t="inlineStr">
        <is>
          <t>Não</t>
        </is>
      </c>
      <c r="W15" s="4" t="inlineStr"/>
    </row>
    <row r="16">
      <c r="A16" s="4" t="inlineStr">
        <is>
          <t>BTG Pactual</t>
        </is>
      </c>
      <c r="B16" s="4" t="inlineStr">
        <is>
          <t>Absolute Delfos Prev FICFIRF Access CrPr RL</t>
        </is>
      </c>
      <c r="C16" s="6" t="inlineStr">
        <is>
          <t>57.370.727/0001-88</t>
        </is>
      </c>
      <c r="D16" s="4" t="inlineStr">
        <is>
          <t>BTG PACTUAL GESTÃO E CONSULTORIA DE INVESTIMENTOS LTDA</t>
        </is>
      </c>
      <c r="E16" s="4" t="inlineStr">
        <is>
          <t>12.695.840/0001-03</t>
        </is>
      </c>
      <c r="F16" s="4" t="inlineStr">
        <is>
          <t>BTG PACTUAL SERVICOS FINANCEIROS S.A. DISTRIBUIDOR</t>
        </is>
      </c>
      <c r="G16" s="4" t="inlineStr">
        <is>
          <t>Renda Fixa</t>
        </is>
      </c>
      <c r="H16" s="4" t="inlineStr">
        <is>
          <t>Renda Fixa</t>
        </is>
      </c>
      <c r="I16" s="7" t="n">
        <v>1000</v>
      </c>
      <c r="J16" s="8" t="n">
        <v>0.88</v>
      </c>
      <c r="K16" s="8" t="n"/>
      <c r="L16" s="4" t="inlineStr"/>
      <c r="M16" s="5" t="n">
        <v>20</v>
      </c>
      <c r="N16" s="5" t="n">
        <v>22</v>
      </c>
      <c r="O16" s="5" t="n"/>
      <c r="P16" s="4" t="inlineStr">
        <is>
          <t>Curto Prazo</t>
        </is>
      </c>
      <c r="Q16" s="4" t="inlineStr">
        <is>
          <t>Não</t>
        </is>
      </c>
      <c r="R16" s="4" t="inlineStr">
        <is>
          <t>API interna</t>
        </is>
      </c>
      <c r="S16" s="4" t="n">
        <v>1</v>
      </c>
      <c r="T16" s="4" t="inlineStr">
        <is>
          <t>Não</t>
        </is>
      </c>
      <c r="U16" s="4" t="inlineStr">
        <is>
          <t>Sim</t>
        </is>
      </c>
      <c r="V16" s="4" t="inlineStr">
        <is>
          <t>Não</t>
        </is>
      </c>
      <c r="W16" s="4" t="inlineStr"/>
    </row>
    <row r="17">
      <c r="A17" s="4" t="inlineStr">
        <is>
          <t>BTG Pactual</t>
        </is>
      </c>
      <c r="B17" s="4" t="inlineStr">
        <is>
          <t>Absolute Hedge Prev FICFIM Access RL</t>
        </is>
      </c>
      <c r="C17" s="6" t="inlineStr">
        <is>
          <t>61.861.454/0001-41</t>
        </is>
      </c>
      <c r="D17" s="4" t="inlineStr">
        <is>
          <t>BTG PACTUAL GESTÃO E CONSULTORIA DE INVESTIMENTOS LTDA</t>
        </is>
      </c>
      <c r="E17" s="4" t="inlineStr">
        <is>
          <t>12.695.840/0001-03</t>
        </is>
      </c>
      <c r="F17" s="4" t="inlineStr">
        <is>
          <t>BTG PACTUAL SERVICOS FINANCEIROS S.A. DISTRIBUIDOR</t>
        </is>
      </c>
      <c r="G17" s="4" t="inlineStr">
        <is>
          <t>Multimercado</t>
        </is>
      </c>
      <c r="H17" s="4" t="inlineStr">
        <is>
          <t>Multimercado</t>
        </is>
      </c>
      <c r="I17" s="7" t="n">
        <v>1000</v>
      </c>
      <c r="J17" s="8" t="n">
        <v>2</v>
      </c>
      <c r="K17" s="8" t="n">
        <v>20</v>
      </c>
      <c r="L17" s="4" t="inlineStr">
        <is>
          <t>-</t>
        </is>
      </c>
      <c r="M17" s="5" t="n">
        <v>4</v>
      </c>
      <c r="N17" s="5" t="n">
        <v>5</v>
      </c>
      <c r="O17" s="5" t="n"/>
      <c r="P17" s="4" t="inlineStr">
        <is>
          <t>Curto Prazo</t>
        </is>
      </c>
      <c r="Q17" s="4" t="inlineStr">
        <is>
          <t>Não</t>
        </is>
      </c>
      <c r="R17" s="4" t="inlineStr">
        <is>
          <t>API interna</t>
        </is>
      </c>
      <c r="S17" s="4" t="n">
        <v>1</v>
      </c>
      <c r="T17" s="4" t="inlineStr">
        <is>
          <t>Não</t>
        </is>
      </c>
      <c r="U17" s="4" t="inlineStr">
        <is>
          <t>Sim</t>
        </is>
      </c>
      <c r="V17" s="4" t="inlineStr">
        <is>
          <t>Não</t>
        </is>
      </c>
      <c r="W17" s="4" t="inlineStr"/>
    </row>
    <row r="18">
      <c r="A18" s="4" t="inlineStr">
        <is>
          <t>BTG Pactual</t>
        </is>
      </c>
      <c r="B18" s="4" t="inlineStr">
        <is>
          <t>Absolute Icatu I Prev FICFIM RL</t>
        </is>
      </c>
      <c r="C18" s="6" t="inlineStr">
        <is>
          <t>29.242.441/0001-81</t>
        </is>
      </c>
      <c r="D18" s="4" t="inlineStr">
        <is>
          <t>ABSOLUTE GESTAO DE INVESTIMENTOS LTDA</t>
        </is>
      </c>
      <c r="E18" s="4" t="inlineStr">
        <is>
          <t>17.285.755/0001-82</t>
        </is>
      </c>
      <c r="F18" s="4" t="inlineStr">
        <is>
          <t>BNY MELLON SERVICOS FINANCEIROS DTVM S/A</t>
        </is>
      </c>
      <c r="G18" s="4" t="inlineStr">
        <is>
          <t>Multimercado</t>
        </is>
      </c>
      <c r="H18" s="4" t="inlineStr">
        <is>
          <t>Multimercado</t>
        </is>
      </c>
      <c r="I18" s="7" t="n">
        <v>1500</v>
      </c>
      <c r="J18" s="8" t="n">
        <v>2</v>
      </c>
      <c r="K18" s="8" t="n">
        <v>20</v>
      </c>
      <c r="L18" s="4" t="inlineStr">
        <is>
          <t>CDI</t>
        </is>
      </c>
      <c r="M18" s="5" t="n">
        <v>0</v>
      </c>
      <c r="N18" s="5" t="n">
        <v>3</v>
      </c>
      <c r="O18" s="5" t="n"/>
      <c r="P18" s="4" t="inlineStr">
        <is>
          <t>Longo Prazo</t>
        </is>
      </c>
      <c r="Q18" s="4" t="inlineStr">
        <is>
          <t>Não</t>
        </is>
      </c>
      <c r="R18" s="4" t="inlineStr">
        <is>
          <t>API interna</t>
        </is>
      </c>
      <c r="S18" s="4" t="n">
        <v>1</v>
      </c>
      <c r="T18" s="4" t="inlineStr">
        <is>
          <t>Não</t>
        </is>
      </c>
      <c r="U18" s="4" t="inlineStr">
        <is>
          <t>Sim</t>
        </is>
      </c>
      <c r="V18" s="4" t="inlineStr">
        <is>
          <t>Não</t>
        </is>
      </c>
      <c r="W18" s="4" t="inlineStr"/>
    </row>
    <row r="19">
      <c r="A19" s="4" t="inlineStr">
        <is>
          <t>BTG Pactual</t>
        </is>
      </c>
      <c r="B19" s="4" t="inlineStr">
        <is>
          <t>Absolute Pace Prev FICFIA Access RL</t>
        </is>
      </c>
      <c r="C19" s="6" t="inlineStr">
        <is>
          <t>55.498.621/0001-39</t>
        </is>
      </c>
      <c r="D19" s="4" t="inlineStr">
        <is>
          <t>BTG PACTUAL GESTÃO E CONSULTORIA DE INVESTIMENTOS LTDA</t>
        </is>
      </c>
      <c r="E19" s="4" t="inlineStr">
        <is>
          <t>12.695.840/0001-03</t>
        </is>
      </c>
      <c r="F19" s="4" t="inlineStr">
        <is>
          <t>BTG PACTUAL SERVICOS FINANCEIROS S.A. DISTRIBUIDOR</t>
        </is>
      </c>
      <c r="G19" s="4" t="inlineStr">
        <is>
          <t>Ações</t>
        </is>
      </c>
      <c r="H19" s="4" t="inlineStr">
        <is>
          <t>Renda Variável</t>
        </is>
      </c>
      <c r="I19" s="7" t="n">
        <v>0</v>
      </c>
      <c r="J19" s="8" t="n">
        <v>2</v>
      </c>
      <c r="K19" s="8" t="n">
        <v>20</v>
      </c>
      <c r="L19" s="4" t="inlineStr">
        <is>
          <t>-</t>
        </is>
      </c>
      <c r="M19" s="5" t="n">
        <v>22</v>
      </c>
      <c r="N19" s="5" t="n">
        <v>24</v>
      </c>
      <c r="O19" s="5" t="n"/>
      <c r="P19" s="4" t="inlineStr">
        <is>
          <t>Curto Prazo</t>
        </is>
      </c>
      <c r="Q19" s="4" t="inlineStr">
        <is>
          <t>Sim</t>
        </is>
      </c>
      <c r="R19" s="4" t="inlineStr">
        <is>
          <t>API interna</t>
        </is>
      </c>
      <c r="S19" s="4" t="n">
        <v>1</v>
      </c>
      <c r="T19" s="4" t="inlineStr">
        <is>
          <t>Não</t>
        </is>
      </c>
      <c r="U19" s="4" t="inlineStr">
        <is>
          <t>Sim</t>
        </is>
      </c>
      <c r="V19" s="4" t="inlineStr">
        <is>
          <t>Não</t>
        </is>
      </c>
      <c r="W19" s="4" t="inlineStr"/>
    </row>
    <row r="20">
      <c r="A20" s="4" t="inlineStr">
        <is>
          <t>BTG Pactual</t>
        </is>
      </c>
      <c r="B20" s="4" t="inlineStr">
        <is>
          <t>Absolute Vertex Prev FIM Access RL</t>
        </is>
      </c>
      <c r="C20" s="6" t="inlineStr">
        <is>
          <t>43.509.130/0001-67</t>
        </is>
      </c>
      <c r="D20" s="4" t="inlineStr">
        <is>
          <t>BTG PACTUAL GESTÃO E CONSULTORIA DE INVESTIMENTOS LTDA</t>
        </is>
      </c>
      <c r="E20" s="4" t="inlineStr">
        <is>
          <t>12.695.840/0001-03</t>
        </is>
      </c>
      <c r="F20" s="4" t="inlineStr">
        <is>
          <t>BTG PACTUAL SERVICOS FINANCEIROS S.A. DISTRIBUIDOR</t>
        </is>
      </c>
      <c r="G20" s="4" t="inlineStr">
        <is>
          <t>Multimercado</t>
        </is>
      </c>
      <c r="H20" s="4" t="inlineStr">
        <is>
          <t>Multimercado</t>
        </is>
      </c>
      <c r="I20" s="7" t="n">
        <v>1000</v>
      </c>
      <c r="J20" s="8" t="n">
        <v>2</v>
      </c>
      <c r="K20" s="8" t="n">
        <v>20</v>
      </c>
      <c r="L20" s="4" t="inlineStr">
        <is>
          <t>CDI</t>
        </is>
      </c>
      <c r="M20" s="5" t="n">
        <v>21</v>
      </c>
      <c r="N20" s="5" t="n">
        <v>22</v>
      </c>
      <c r="O20" s="5" t="n"/>
      <c r="P20" s="4" t="inlineStr">
        <is>
          <t>Curto Prazo</t>
        </is>
      </c>
      <c r="Q20" s="4" t="inlineStr">
        <is>
          <t>Não</t>
        </is>
      </c>
      <c r="R20" s="4" t="inlineStr">
        <is>
          <t>API interna</t>
        </is>
      </c>
      <c r="S20" s="4" t="n">
        <v>1</v>
      </c>
      <c r="T20" s="4" t="inlineStr">
        <is>
          <t>Não</t>
        </is>
      </c>
      <c r="U20" s="4" t="inlineStr">
        <is>
          <t>Sim</t>
        </is>
      </c>
      <c r="V20" s="4" t="inlineStr">
        <is>
          <t>Não</t>
        </is>
      </c>
      <c r="W20" s="4" t="inlineStr"/>
    </row>
    <row r="21">
      <c r="A21" s="4" t="inlineStr">
        <is>
          <t>BTG Pactual</t>
        </is>
      </c>
      <c r="B21" s="4" t="inlineStr">
        <is>
          <t>Adam BP Prev FICFIM RL</t>
        </is>
      </c>
      <c r="C21" s="6" t="inlineStr">
        <is>
          <t>24.751.504/0001-01</t>
        </is>
      </c>
      <c r="D21" s="4" t="inlineStr">
        <is>
          <t>ADAMCAPITAL GESTÃO DE RECURSOS LTDA.</t>
        </is>
      </c>
      <c r="E21" s="4" t="inlineStr">
        <is>
          <t>17.905.206/0001-63</t>
        </is>
      </c>
      <c r="F21" s="4" t="inlineStr">
        <is>
          <t>INTRAG DISTR DE TITULOS EVALORES MOBILIARIOS LTDA</t>
        </is>
      </c>
      <c r="G21" s="4" t="inlineStr">
        <is>
          <t>Multimercado</t>
        </is>
      </c>
      <c r="H21" s="4" t="inlineStr">
        <is>
          <t>Multimercado</t>
        </is>
      </c>
      <c r="I21" s="7" t="n">
        <v>1000</v>
      </c>
      <c r="J21" s="8" t="n">
        <v>2</v>
      </c>
      <c r="K21" s="8" t="n"/>
      <c r="L21" s="4" t="inlineStr"/>
      <c r="M21" s="5" t="n">
        <v>0</v>
      </c>
      <c r="N21" s="5" t="n">
        <v>2</v>
      </c>
      <c r="O21" s="5" t="n"/>
      <c r="P21" s="4" t="inlineStr">
        <is>
          <t>Longo Prazo</t>
        </is>
      </c>
      <c r="Q21" s="4" t="inlineStr">
        <is>
          <t>Sim</t>
        </is>
      </c>
      <c r="R21" s="4" t="inlineStr">
        <is>
          <t>API interna</t>
        </is>
      </c>
      <c r="S21" s="4" t="n">
        <v>1</v>
      </c>
      <c r="T21" s="4" t="inlineStr">
        <is>
          <t>Não</t>
        </is>
      </c>
      <c r="U21" s="4" t="inlineStr">
        <is>
          <t>Sim</t>
        </is>
      </c>
      <c r="V21" s="4" t="inlineStr">
        <is>
          <t>Não</t>
        </is>
      </c>
      <c r="W21" s="4" t="inlineStr"/>
    </row>
    <row r="22">
      <c r="A22" s="4" t="inlineStr">
        <is>
          <t>BTG Pactual</t>
        </is>
      </c>
      <c r="B22" s="4" t="inlineStr">
        <is>
          <t>Adam Icatu RF Ativa Prev FICFIRF LP RL</t>
        </is>
      </c>
      <c r="C22" s="6" t="inlineStr">
        <is>
          <t>52.091.995/0001-47</t>
        </is>
      </c>
      <c r="D22" s="4" t="inlineStr">
        <is>
          <t>ADAMCAPITAL GESTÃO DE RECURSOS LTDA.</t>
        </is>
      </c>
      <c r="E22" s="4" t="inlineStr">
        <is>
          <t>17.905.206/0001-63</t>
        </is>
      </c>
      <c r="F22" s="4" t="inlineStr">
        <is>
          <t>INTRAG DISTR DE TITULOS EVALORES MOBILIARIOS LTDA</t>
        </is>
      </c>
      <c r="G22" s="4" t="inlineStr">
        <is>
          <t>Renda Fixa</t>
        </is>
      </c>
      <c r="H22" s="4" t="inlineStr">
        <is>
          <t>Renda Fixa</t>
        </is>
      </c>
      <c r="I22" s="7" t="n">
        <v>1500</v>
      </c>
      <c r="J22" s="8" t="n">
        <v>0.9</v>
      </c>
      <c r="K22" s="8" t="n"/>
      <c r="L22" s="4" t="inlineStr"/>
      <c r="M22" s="5" t="n">
        <v>5</v>
      </c>
      <c r="N22" s="5" t="n">
        <v>6</v>
      </c>
      <c r="O22" s="5" t="n"/>
      <c r="P22" s="4" t="inlineStr">
        <is>
          <t>Longo Prazo</t>
        </is>
      </c>
      <c r="Q22" s="4" t="inlineStr">
        <is>
          <t>Não</t>
        </is>
      </c>
      <c r="R22" s="4" t="inlineStr">
        <is>
          <t>API interna</t>
        </is>
      </c>
      <c r="S22" s="4" t="n">
        <v>1</v>
      </c>
      <c r="T22" s="4" t="inlineStr">
        <is>
          <t>Não</t>
        </is>
      </c>
      <c r="U22" s="4" t="inlineStr">
        <is>
          <t>Sim</t>
        </is>
      </c>
      <c r="V22" s="4" t="inlineStr">
        <is>
          <t>Não</t>
        </is>
      </c>
      <c r="W22" s="4" t="inlineStr"/>
    </row>
    <row r="23">
      <c r="A23" s="4" t="inlineStr">
        <is>
          <t>BTG Pactual</t>
        </is>
      </c>
      <c r="B23" s="4" t="inlineStr">
        <is>
          <t>Alaska Long Only Prev 70 FICFIM RL</t>
        </is>
      </c>
      <c r="C23" s="6" t="inlineStr">
        <is>
          <t>41.881.132/0001-57</t>
        </is>
      </c>
      <c r="D23" s="4" t="inlineStr">
        <is>
          <t>ALASKA INVESTIMENTOS LTDA.</t>
        </is>
      </c>
      <c r="E23" s="4" t="inlineStr">
        <is>
          <t>11.752.203/0001-50</t>
        </is>
      </c>
      <c r="F23" s="4" t="inlineStr">
        <is>
          <t>BTG PACTUAL SERVICOS FINANCEIROS S.A. DISTRIBUIDOR</t>
        </is>
      </c>
      <c r="G23" s="4" t="inlineStr">
        <is>
          <t>Multimercado</t>
        </is>
      </c>
      <c r="H23" s="4" t="inlineStr">
        <is>
          <t>Renda Variável</t>
        </is>
      </c>
      <c r="I23" s="7" t="n">
        <v>1000</v>
      </c>
      <c r="J23" s="8" t="n">
        <v>1.65</v>
      </c>
      <c r="K23" s="8" t="n">
        <v>20</v>
      </c>
      <c r="L23" s="4" t="inlineStr">
        <is>
          <t>-</t>
        </is>
      </c>
      <c r="M23" s="5" t="n">
        <v>6</v>
      </c>
      <c r="N23" s="5" t="n">
        <v>8</v>
      </c>
      <c r="O23" s="5" t="n"/>
      <c r="P23" s="4" t="inlineStr">
        <is>
          <t>Curto Prazo</t>
        </is>
      </c>
      <c r="Q23" s="4" t="inlineStr">
        <is>
          <t>Não</t>
        </is>
      </c>
      <c r="R23" s="4" t="inlineStr">
        <is>
          <t>API interna</t>
        </is>
      </c>
      <c r="S23" s="4" t="n">
        <v>1</v>
      </c>
      <c r="T23" s="4" t="inlineStr">
        <is>
          <t>Não</t>
        </is>
      </c>
      <c r="U23" s="4" t="inlineStr">
        <is>
          <t>Sim</t>
        </is>
      </c>
      <c r="V23" s="4" t="inlineStr">
        <is>
          <t>Não</t>
        </is>
      </c>
      <c r="W23" s="4" t="inlineStr"/>
    </row>
    <row r="24">
      <c r="A24" s="4" t="inlineStr">
        <is>
          <t>BTG Pactual</t>
        </is>
      </c>
      <c r="B24" s="4" t="inlineStr">
        <is>
          <t>Alaska Prev 100 Long Only FICFIM RL</t>
        </is>
      </c>
      <c r="C24" s="6" t="inlineStr">
        <is>
          <t>37.313.900/0001-07</t>
        </is>
      </c>
      <c r="D24" s="4" t="inlineStr">
        <is>
          <t>ALASKA INVESTIMENTOS LTDA.</t>
        </is>
      </c>
      <c r="E24" s="4" t="inlineStr">
        <is>
          <t>11.752.203/0001-50</t>
        </is>
      </c>
      <c r="F24" s="4" t="inlineStr">
        <is>
          <t>BTG PACTUAL SERVICOS FINANCEIROS S.A. DISTRIBUIDOR</t>
        </is>
      </c>
      <c r="G24" s="4" t="inlineStr">
        <is>
          <t>Multimercado</t>
        </is>
      </c>
      <c r="H24" s="4" t="inlineStr">
        <is>
          <t>Renda Variável</t>
        </is>
      </c>
      <c r="I24" s="7" t="n">
        <v>0</v>
      </c>
      <c r="J24" s="8" t="n">
        <v>1.5</v>
      </c>
      <c r="K24" s="8" t="n">
        <v>20</v>
      </c>
      <c r="L24" s="4" t="inlineStr">
        <is>
          <t>-</t>
        </is>
      </c>
      <c r="M24" s="5" t="n">
        <v>6</v>
      </c>
      <c r="N24" s="5" t="n">
        <v>8</v>
      </c>
      <c r="O24" s="5" t="n"/>
      <c r="P24" s="4" t="inlineStr">
        <is>
          <t>Curto Prazo</t>
        </is>
      </c>
      <c r="Q24" s="4" t="inlineStr">
        <is>
          <t>Não</t>
        </is>
      </c>
      <c r="R24" s="4" t="inlineStr">
        <is>
          <t>API interna</t>
        </is>
      </c>
      <c r="S24" s="4" t="n">
        <v>1</v>
      </c>
      <c r="T24" s="4" t="inlineStr">
        <is>
          <t>Não</t>
        </is>
      </c>
      <c r="U24" s="4" t="inlineStr">
        <is>
          <t>Sim</t>
        </is>
      </c>
      <c r="V24" s="4" t="inlineStr">
        <is>
          <t>Não</t>
        </is>
      </c>
      <c r="W24" s="4" t="inlineStr"/>
    </row>
    <row r="25">
      <c r="A25" s="4" t="inlineStr">
        <is>
          <t>BTG Pactual</t>
        </is>
      </c>
      <c r="B25" s="4" t="inlineStr">
        <is>
          <t>Alphakey Prev 70 FIC FIF MM</t>
        </is>
      </c>
      <c r="C25" s="6" t="inlineStr">
        <is>
          <t>65.655.653/0001-54</t>
        </is>
      </c>
      <c r="D25" s="4" t="inlineStr">
        <is>
          <t>ALPHAKEY CAPITAL MANAGEMENT INVESTIMENTOS LTDA</t>
        </is>
      </c>
      <c r="E25" s="4" t="inlineStr">
        <is>
          <t>31.340.246/0001-36</t>
        </is>
      </c>
      <c r="F25" s="4" t="inlineStr">
        <is>
          <t>BTG PACTUAL SERVICOS FINANCEIROS S.A. DISTRIBUIDOR</t>
        </is>
      </c>
      <c r="G25" s="4" t="inlineStr">
        <is>
          <t>Multimercado</t>
        </is>
      </c>
      <c r="H25" s="4" t="inlineStr">
        <is>
          <t>Renda Variável</t>
        </is>
      </c>
      <c r="I25" s="7" t="n">
        <v>1000</v>
      </c>
      <c r="J25" s="8" t="n"/>
      <c r="K25" s="8" t="n">
        <v>20</v>
      </c>
      <c r="L25" s="4" t="inlineStr">
        <is>
          <t>-</t>
        </is>
      </c>
      <c r="M25" s="5" t="n">
        <v>8</v>
      </c>
      <c r="N25" s="5" t="n">
        <v>10</v>
      </c>
      <c r="O25" s="5" t="n"/>
      <c r="P25" s="4" t="inlineStr">
        <is>
          <t>Curto Prazo</t>
        </is>
      </c>
      <c r="Q25" s="4" t="inlineStr">
        <is>
          <t>Não</t>
        </is>
      </c>
      <c r="R25" s="4" t="inlineStr">
        <is>
          <t>API interna</t>
        </is>
      </c>
      <c r="S25" s="4" t="n">
        <v>1</v>
      </c>
      <c r="T25" s="4" t="inlineStr">
        <is>
          <t>Não</t>
        </is>
      </c>
      <c r="U25" s="4" t="inlineStr">
        <is>
          <t>Sim</t>
        </is>
      </c>
      <c r="V25" s="4" t="inlineStr">
        <is>
          <t>Não</t>
        </is>
      </c>
      <c r="W25" s="4" t="inlineStr"/>
    </row>
    <row r="26">
      <c r="A26" s="4" t="inlineStr">
        <is>
          <t>BTG Pactual</t>
        </is>
      </c>
      <c r="B26" s="4" t="inlineStr">
        <is>
          <t>Arca Grao Prev FICFIM Access RL</t>
        </is>
      </c>
      <c r="C26" s="6" t="inlineStr">
        <is>
          <t>42.848.021/0001-01</t>
        </is>
      </c>
      <c r="D26" s="4" t="inlineStr">
        <is>
          <t>GRÃO GESTÃO DE RECURSOS LTDA.</t>
        </is>
      </c>
      <c r="E26" s="4" t="inlineStr">
        <is>
          <t>43.739.164/0001-48</t>
        </is>
      </c>
      <c r="F26" s="4" t="inlineStr">
        <is>
          <t>S3 CACEIS BRASIL DISTRIBUIDORA DE TITULOS E VALORE</t>
        </is>
      </c>
      <c r="G26" s="4" t="inlineStr">
        <is>
          <t>Multimercado</t>
        </is>
      </c>
      <c r="H26" s="4" t="inlineStr">
        <is>
          <t>Alocação</t>
        </is>
      </c>
      <c r="I26" s="7" t="n">
        <v>1000</v>
      </c>
      <c r="J26" s="8" t="n">
        <v>0.59</v>
      </c>
      <c r="K26" s="8" t="n"/>
      <c r="L26" s="4" t="inlineStr"/>
      <c r="M26" s="5" t="n">
        <v>7</v>
      </c>
      <c r="N26" s="5" t="n">
        <v>9</v>
      </c>
      <c r="O26" s="5" t="n"/>
      <c r="P26" s="4" t="inlineStr">
        <is>
          <t>Longo Prazo</t>
        </is>
      </c>
      <c r="Q26" s="4" t="inlineStr">
        <is>
          <t>Não</t>
        </is>
      </c>
      <c r="R26" s="4" t="inlineStr">
        <is>
          <t>API interna</t>
        </is>
      </c>
      <c r="S26" s="4" t="n">
        <v>1</v>
      </c>
      <c r="T26" s="4" t="inlineStr">
        <is>
          <t>Não</t>
        </is>
      </c>
      <c r="U26" s="4" t="inlineStr">
        <is>
          <t>Sim</t>
        </is>
      </c>
      <c r="V26" s="4" t="inlineStr">
        <is>
          <t>Não</t>
        </is>
      </c>
      <c r="W26" s="4" t="inlineStr"/>
    </row>
    <row r="27">
      <c r="A27" s="4" t="inlineStr">
        <is>
          <t>BTG Pactual</t>
        </is>
      </c>
      <c r="B27" s="4" t="inlineStr">
        <is>
          <t>Arca Grao Prev FICFIRF Access CrPr RL</t>
        </is>
      </c>
      <c r="C27" s="6" t="inlineStr">
        <is>
          <t>57.445.402/0001-17</t>
        </is>
      </c>
      <c r="D27" s="4" t="inlineStr">
        <is>
          <t>GRÃO GESTÃO DE RECURSOS LTDA.</t>
        </is>
      </c>
      <c r="E27" s="4" t="inlineStr">
        <is>
          <t>43.739.164/0001-48</t>
        </is>
      </c>
      <c r="F27" s="4" t="inlineStr">
        <is>
          <t>S3 CACEIS BRASIL DISTRIBUIDORA DE TITULOS E VALORE</t>
        </is>
      </c>
      <c r="G27" s="4" t="inlineStr">
        <is>
          <t>Renda Fixa</t>
        </is>
      </c>
      <c r="H27" s="4" t="inlineStr">
        <is>
          <t>Renda Fixa</t>
        </is>
      </c>
      <c r="I27" s="7" t="n">
        <v>1000</v>
      </c>
      <c r="J27" s="8" t="n">
        <v>0.59</v>
      </c>
      <c r="K27" s="8" t="n"/>
      <c r="L27" s="4" t="inlineStr"/>
      <c r="M27" s="5" t="n">
        <v>7</v>
      </c>
      <c r="N27" s="5" t="n">
        <v>9</v>
      </c>
      <c r="O27" s="5" t="n"/>
      <c r="P27" s="4" t="inlineStr">
        <is>
          <t>Não Aplicável</t>
        </is>
      </c>
      <c r="Q27" s="4" t="inlineStr">
        <is>
          <t>Sim</t>
        </is>
      </c>
      <c r="R27" s="4" t="inlineStr">
        <is>
          <t>API interna</t>
        </is>
      </c>
      <c r="S27" s="4" t="n">
        <v>1</v>
      </c>
      <c r="T27" s="4" t="inlineStr">
        <is>
          <t>Não</t>
        </is>
      </c>
      <c r="U27" s="4" t="inlineStr">
        <is>
          <t>Sim</t>
        </is>
      </c>
      <c r="V27" s="4" t="inlineStr">
        <is>
          <t>Não</t>
        </is>
      </c>
      <c r="W27" s="4" t="inlineStr"/>
    </row>
    <row r="28">
      <c r="A28" s="4" t="inlineStr">
        <is>
          <t>BTG Pactual</t>
        </is>
      </c>
      <c r="B28" s="4" t="inlineStr">
        <is>
          <t>Armor Prev FIE I FIF MM</t>
        </is>
      </c>
      <c r="C28" s="6" t="inlineStr">
        <is>
          <t>64.157.228/0001-72</t>
        </is>
      </c>
      <c r="D28" s="4" t="inlineStr">
        <is>
          <t>ARMOR GESTORA DE RECURSOS LTDA.</t>
        </is>
      </c>
      <c r="E28" s="4" t="inlineStr">
        <is>
          <t>34.176.302/0001-37</t>
        </is>
      </c>
      <c r="F28" s="4" t="inlineStr">
        <is>
          <t>BTG PACTUAL SERVICOS FINANCEIROS S.A. DISTRIBUIDOR</t>
        </is>
      </c>
      <c r="G28" s="4" t="inlineStr">
        <is>
          <t>Multimercado</t>
        </is>
      </c>
      <c r="H28" s="4" t="inlineStr">
        <is>
          <t>Outros</t>
        </is>
      </c>
      <c r="I28" s="7" t="n">
        <v>1000</v>
      </c>
      <c r="J28" s="8" t="n"/>
      <c r="K28" s="8" t="n">
        <v>20</v>
      </c>
      <c r="L28" s="4" t="inlineStr">
        <is>
          <t>-</t>
        </is>
      </c>
      <c r="M28" s="5" t="n">
        <v>5</v>
      </c>
      <c r="N28" s="5" t="n">
        <v>6</v>
      </c>
      <c r="O28" s="5" t="n"/>
      <c r="P28" s="4" t="inlineStr">
        <is>
          <t>Longo Prazo</t>
        </is>
      </c>
      <c r="Q28" s="4" t="inlineStr">
        <is>
          <t>Não</t>
        </is>
      </c>
      <c r="R28" s="4" t="inlineStr">
        <is>
          <t>API interna</t>
        </is>
      </c>
      <c r="S28" s="4" t="n">
        <v>1</v>
      </c>
      <c r="T28" s="4" t="inlineStr">
        <is>
          <t>Não</t>
        </is>
      </c>
      <c r="U28" s="4" t="inlineStr">
        <is>
          <t>Sim</t>
        </is>
      </c>
      <c r="V28" s="4" t="inlineStr">
        <is>
          <t>Não</t>
        </is>
      </c>
      <c r="W28" s="4" t="inlineStr"/>
    </row>
    <row r="29">
      <c r="A29" s="4" t="inlineStr">
        <is>
          <t>BTG Pactual</t>
        </is>
      </c>
      <c r="B29" s="4" t="inlineStr">
        <is>
          <t>Artesanal Prev FIM RL</t>
        </is>
      </c>
      <c r="C29" s="6" t="inlineStr">
        <is>
          <t>53.497.497/0001-61</t>
        </is>
      </c>
      <c r="D29" s="4" t="inlineStr">
        <is>
          <t>ARTESANAL INVESTIMENTOS LTDA</t>
        </is>
      </c>
      <c r="E29" s="4" t="inlineStr">
        <is>
          <t>03.084.098/0001-09</t>
        </is>
      </c>
      <c r="F29" s="4" t="inlineStr">
        <is>
          <t>BTG PACTUAL SERVICOS FINANCEIROS S.A. DISTRIBUIDOR</t>
        </is>
      </c>
      <c r="G29" s="4" t="inlineStr">
        <is>
          <t>Multimercado</t>
        </is>
      </c>
      <c r="H29" s="4" t="inlineStr">
        <is>
          <t>Multimercado</t>
        </is>
      </c>
      <c r="I29" s="7" t="n">
        <v>100</v>
      </c>
      <c r="J29" s="8" t="n"/>
      <c r="K29" s="8" t="n">
        <v>15</v>
      </c>
      <c r="L29" s="4" t="inlineStr">
        <is>
          <t>-</t>
        </is>
      </c>
      <c r="M29" s="5" t="n">
        <v>9</v>
      </c>
      <c r="N29" s="5" t="n">
        <v>10</v>
      </c>
      <c r="O29" s="5" t="n"/>
      <c r="P29" s="4" t="inlineStr">
        <is>
          <t>Longo Prazo</t>
        </is>
      </c>
      <c r="Q29" s="4" t="inlineStr">
        <is>
          <t>Não</t>
        </is>
      </c>
      <c r="R29" s="4" t="inlineStr">
        <is>
          <t>API interna</t>
        </is>
      </c>
      <c r="S29" s="4" t="n">
        <v>1</v>
      </c>
      <c r="T29" s="4" t="inlineStr">
        <is>
          <t>Não</t>
        </is>
      </c>
      <c r="U29" s="4" t="inlineStr">
        <is>
          <t>Sim</t>
        </is>
      </c>
      <c r="V29" s="4" t="inlineStr">
        <is>
          <t>Não</t>
        </is>
      </c>
      <c r="W29" s="4" t="inlineStr"/>
    </row>
    <row r="30">
      <c r="A30" s="4" t="inlineStr">
        <is>
          <t>BTG Pactual</t>
        </is>
      </c>
      <c r="B30" s="4" t="inlineStr">
        <is>
          <t>Artica Prev FIM RL</t>
        </is>
      </c>
      <c r="C30" s="6" t="inlineStr">
        <is>
          <t>54.347.632/0001-55</t>
        </is>
      </c>
      <c r="D30" s="4" t="inlineStr">
        <is>
          <t>ARTICA GESTÃO DE RECURSOS LTDA</t>
        </is>
      </c>
      <c r="E30" s="4" t="inlineStr">
        <is>
          <t>31.227.292/0001-23</t>
        </is>
      </c>
      <c r="F30" s="4" t="inlineStr">
        <is>
          <t>BTG PACTUAL SERVICOS FINANCEIROS S.A. DISTRIBUIDOR</t>
        </is>
      </c>
      <c r="G30" s="4" t="inlineStr">
        <is>
          <t>Multimercado</t>
        </is>
      </c>
      <c r="H30" s="4" t="inlineStr">
        <is>
          <t>Renda Variável</t>
        </is>
      </c>
      <c r="I30" s="7" t="n">
        <v>1000</v>
      </c>
      <c r="J30" s="8" t="n"/>
      <c r="K30" s="8" t="n">
        <v>20</v>
      </c>
      <c r="L30" s="4" t="inlineStr">
        <is>
          <t>IBOVESPA</t>
        </is>
      </c>
      <c r="M30" s="5" t="n">
        <v>88</v>
      </c>
      <c r="N30" s="5" t="n">
        <v>90</v>
      </c>
      <c r="O30" s="5" t="n"/>
      <c r="P30" s="4" t="inlineStr">
        <is>
          <t>Curto Prazo</t>
        </is>
      </c>
      <c r="Q30" s="4" t="inlineStr">
        <is>
          <t>Não</t>
        </is>
      </c>
      <c r="R30" s="4" t="inlineStr">
        <is>
          <t>API interna</t>
        </is>
      </c>
      <c r="S30" s="4" t="n">
        <v>1</v>
      </c>
      <c r="T30" s="4" t="inlineStr">
        <is>
          <t>Não</t>
        </is>
      </c>
      <c r="U30" s="4" t="inlineStr">
        <is>
          <t>Sim</t>
        </is>
      </c>
      <c r="V30" s="4" t="inlineStr">
        <is>
          <t>Não</t>
        </is>
      </c>
      <c r="W30" s="4" t="inlineStr"/>
    </row>
    <row r="31">
      <c r="A31" s="4" t="inlineStr">
        <is>
          <t>BTG Pactual</t>
        </is>
      </c>
      <c r="B31" s="4" t="inlineStr">
        <is>
          <t>Atena Prev FICFIRF FIE 1 CrPr RL</t>
        </is>
      </c>
      <c r="C31" s="6" t="inlineStr">
        <is>
          <t>53.798.822/0001-26</t>
        </is>
      </c>
      <c r="D31" s="4" t="inlineStr">
        <is>
          <t>ATENA CAPITAL GESTÃO DE RECURSOS LTDA.</t>
        </is>
      </c>
      <c r="E31" s="4" t="inlineStr">
        <is>
          <t>19.005.052/0001-89</t>
        </is>
      </c>
      <c r="F31" s="4" t="inlineStr">
        <is>
          <t>BTG PACTUAL SERVICOS FINANCEIROS S.A. DISTRIBUIDOR</t>
        </is>
      </c>
      <c r="G31" s="4" t="inlineStr">
        <is>
          <t>Renda Fixa</t>
        </is>
      </c>
      <c r="H31" s="4" t="inlineStr">
        <is>
          <t>Renda Fixa</t>
        </is>
      </c>
      <c r="I31" s="7" t="n">
        <v>1000</v>
      </c>
      <c r="J31" s="8" t="n"/>
      <c r="K31" s="8" t="n">
        <v>15</v>
      </c>
      <c r="L31" s="4" t="inlineStr">
        <is>
          <t>-</t>
        </is>
      </c>
      <c r="M31" s="5" t="n">
        <v>7</v>
      </c>
      <c r="N31" s="5" t="n">
        <v>9</v>
      </c>
      <c r="O31" s="5" t="n"/>
      <c r="P31" s="4" t="inlineStr">
        <is>
          <t>Curto Prazo</t>
        </is>
      </c>
      <c r="Q31" s="4" t="inlineStr">
        <is>
          <t>Não</t>
        </is>
      </c>
      <c r="R31" s="4" t="inlineStr">
        <is>
          <t>API interna</t>
        </is>
      </c>
      <c r="S31" s="4" t="n">
        <v>1</v>
      </c>
      <c r="T31" s="4" t="inlineStr">
        <is>
          <t>Não</t>
        </is>
      </c>
      <c r="U31" s="4" t="inlineStr">
        <is>
          <t>Sim</t>
        </is>
      </c>
      <c r="V31" s="4" t="inlineStr">
        <is>
          <t>Não</t>
        </is>
      </c>
      <c r="W31" s="4" t="inlineStr"/>
    </row>
    <row r="32">
      <c r="A32" s="4" t="inlineStr">
        <is>
          <t>BTG Pactual</t>
        </is>
      </c>
      <c r="B32" s="4" t="inlineStr">
        <is>
          <t>Atlas ONE Icatu 70 Prev FIM RL</t>
        </is>
      </c>
      <c r="C32" s="6" t="inlineStr">
        <is>
          <t>33.520.932/0001-14</t>
        </is>
      </c>
      <c r="D32" s="4" t="inlineStr">
        <is>
          <t>ATLAS ONE INVESTIMENTOS GESTÃO DE RECURSOS LTDA.</t>
        </is>
      </c>
      <c r="E32" s="4" t="inlineStr">
        <is>
          <t>36.658.682/0001-71</t>
        </is>
      </c>
      <c r="F32" s="4" t="inlineStr">
        <is>
          <t>BEM DISTRIBUIDORA DE TITULOS E VALORES MOBILIARIOS</t>
        </is>
      </c>
      <c r="G32" s="4" t="inlineStr">
        <is>
          <t>Multimercado</t>
        </is>
      </c>
      <c r="H32" s="4" t="inlineStr">
        <is>
          <t>Renda Variável</t>
        </is>
      </c>
      <c r="I32" s="7" t="n">
        <v>1500</v>
      </c>
      <c r="J32" s="8" t="n">
        <v>0.55</v>
      </c>
      <c r="K32" s="8" t="n"/>
      <c r="L32" s="4" t="inlineStr"/>
      <c r="M32" s="5" t="n">
        <v>7</v>
      </c>
      <c r="N32" s="5" t="n">
        <v>9</v>
      </c>
      <c r="O32" s="5" t="n"/>
      <c r="P32" s="4" t="inlineStr">
        <is>
          <t>Longo Prazo</t>
        </is>
      </c>
      <c r="Q32" s="4" t="inlineStr">
        <is>
          <t>Não</t>
        </is>
      </c>
      <c r="R32" s="4" t="inlineStr">
        <is>
          <t>API interna</t>
        </is>
      </c>
      <c r="S32" s="4" t="n">
        <v>1</v>
      </c>
      <c r="T32" s="4" t="inlineStr">
        <is>
          <t>Não</t>
        </is>
      </c>
      <c r="U32" s="4" t="inlineStr">
        <is>
          <t>Sim</t>
        </is>
      </c>
      <c r="V32" s="4" t="inlineStr">
        <is>
          <t>Não</t>
        </is>
      </c>
      <c r="W32" s="4" t="inlineStr"/>
    </row>
    <row r="33">
      <c r="A33" s="4" t="inlineStr">
        <is>
          <t>BTG Pactual</t>
        </is>
      </c>
      <c r="B33" s="4" t="inlineStr">
        <is>
          <t>BTG Alocacao Global Cred Prev FIM CrPr RL</t>
        </is>
      </c>
      <c r="C33" s="6" t="inlineStr">
        <is>
          <t>52.279.451/0001-03</t>
        </is>
      </c>
      <c r="D33" s="4" t="inlineStr">
        <is>
          <t>BTG PACTUAL ASSET MANAGEMENT S/A DTVM</t>
        </is>
      </c>
      <c r="E33" s="4" t="inlineStr">
        <is>
          <t>29.650.082/0001-00</t>
        </is>
      </c>
      <c r="F33" s="4" t="inlineStr">
        <is>
          <t>BTG PACTUAL SERVICOS FINANCEIROS S.A. DISTRIBUIDOR</t>
        </is>
      </c>
      <c r="G33" s="4" t="inlineStr">
        <is>
          <t>Multimercado</t>
        </is>
      </c>
      <c r="H33" s="4" t="inlineStr">
        <is>
          <t>Multimercado</t>
        </is>
      </c>
      <c r="I33" s="7" t="n">
        <v>1000</v>
      </c>
      <c r="J33" s="8" t="n"/>
      <c r="K33" s="8" t="n"/>
      <c r="L33" s="4" t="inlineStr"/>
      <c r="M33" s="5" t="n">
        <v>7</v>
      </c>
      <c r="N33" s="5" t="n">
        <v>8</v>
      </c>
      <c r="O33" s="5" t="n"/>
      <c r="P33" s="4" t="inlineStr">
        <is>
          <t>Curto Prazo</t>
        </is>
      </c>
      <c r="Q33" s="4" t="inlineStr">
        <is>
          <t>Não</t>
        </is>
      </c>
      <c r="R33" s="4" t="inlineStr">
        <is>
          <t>API interna</t>
        </is>
      </c>
      <c r="S33" s="4" t="n">
        <v>1</v>
      </c>
      <c r="T33" s="4" t="inlineStr">
        <is>
          <t>Não</t>
        </is>
      </c>
      <c r="U33" s="4" t="inlineStr">
        <is>
          <t>Sim</t>
        </is>
      </c>
      <c r="V33" s="4" t="inlineStr">
        <is>
          <t>Não</t>
        </is>
      </c>
      <c r="W33" s="4" t="inlineStr"/>
    </row>
    <row r="34">
      <c r="A34" s="4" t="inlineStr">
        <is>
          <t>BTG Pactual</t>
        </is>
      </c>
      <c r="B34" s="4" t="inlineStr">
        <is>
          <t>BTG Autoinvest Balanceado Prev FIM CrPr RL</t>
        </is>
      </c>
      <c r="C34" s="6" t="inlineStr">
        <is>
          <t>44.672.908/0001-17</t>
        </is>
      </c>
      <c r="D34" s="4" t="inlineStr">
        <is>
          <t>BTG PACTUAL GESTÃO E CONSULTORIA DE INVESTIMENTOS LTDA</t>
        </is>
      </c>
      <c r="E34" s="4" t="inlineStr">
        <is>
          <t>12.695.840/0001-03</t>
        </is>
      </c>
      <c r="F34" s="4" t="inlineStr">
        <is>
          <t>BTG PACTUAL SERVICOS FINANCEIROS S.A. DISTRIBUIDOR</t>
        </is>
      </c>
      <c r="G34" s="4" t="inlineStr">
        <is>
          <t>Multimercado</t>
        </is>
      </c>
      <c r="H34" s="4" t="inlineStr">
        <is>
          <t>Alocação</t>
        </is>
      </c>
      <c r="I34" s="7" t="n">
        <v>1000</v>
      </c>
      <c r="J34" s="8" t="n">
        <v>0.5</v>
      </c>
      <c r="K34" s="8" t="n">
        <v>10</v>
      </c>
      <c r="L34" s="4" t="inlineStr">
        <is>
          <t>CDI</t>
        </is>
      </c>
      <c r="M34" s="5" t="n">
        <v>7</v>
      </c>
      <c r="N34" s="5" t="n">
        <v>9</v>
      </c>
      <c r="O34" s="5" t="n"/>
      <c r="P34" s="4" t="inlineStr">
        <is>
          <t>Curto Prazo</t>
        </is>
      </c>
      <c r="Q34" s="4" t="inlineStr">
        <is>
          <t>Não</t>
        </is>
      </c>
      <c r="R34" s="4" t="inlineStr">
        <is>
          <t>API interna</t>
        </is>
      </c>
      <c r="S34" s="4" t="n">
        <v>1</v>
      </c>
      <c r="T34" s="4" t="inlineStr">
        <is>
          <t>Não</t>
        </is>
      </c>
      <c r="U34" s="4" t="inlineStr">
        <is>
          <t>Sim</t>
        </is>
      </c>
      <c r="V34" s="4" t="inlineStr">
        <is>
          <t>Não</t>
        </is>
      </c>
      <c r="W34" s="4" t="inlineStr"/>
    </row>
    <row r="35">
      <c r="A35" s="4" t="inlineStr">
        <is>
          <t>BTG Pactual</t>
        </is>
      </c>
      <c r="B35" s="4" t="inlineStr">
        <is>
          <t>BTG Autoinvest Sofisticado Prev FIM CrPr RL</t>
        </is>
      </c>
      <c r="C35" s="6" t="inlineStr">
        <is>
          <t>20.332.753/0001-01</t>
        </is>
      </c>
      <c r="D35" s="4" t="inlineStr">
        <is>
          <t>BTG PACTUAL GESTÃO E CONSULTORIA DE INVESTIMENTOS LTDA</t>
        </is>
      </c>
      <c r="E35" s="4" t="inlineStr">
        <is>
          <t>12.695.840/0001-03</t>
        </is>
      </c>
      <c r="F35" s="4" t="inlineStr">
        <is>
          <t>BTG PACTUAL SERVICOS FINANCEIROS S.A. DISTRIBUIDOR</t>
        </is>
      </c>
      <c r="G35" s="4" t="inlineStr">
        <is>
          <t>Multimercado</t>
        </is>
      </c>
      <c r="H35" s="4" t="inlineStr">
        <is>
          <t>Alocação</t>
        </is>
      </c>
      <c r="I35" s="7" t="n">
        <v>1000</v>
      </c>
      <c r="J35" s="8" t="n">
        <v>1</v>
      </c>
      <c r="K35" s="8" t="n"/>
      <c r="L35" s="4" t="inlineStr"/>
      <c r="M35" s="5" t="n">
        <v>0</v>
      </c>
      <c r="N35" s="5" t="n">
        <v>2</v>
      </c>
      <c r="O35" s="5" t="n"/>
      <c r="P35" s="4" t="inlineStr">
        <is>
          <t>Curto Prazo</t>
        </is>
      </c>
      <c r="Q35" s="4" t="inlineStr">
        <is>
          <t>Não</t>
        </is>
      </c>
      <c r="R35" s="4" t="inlineStr">
        <is>
          <t>API interna</t>
        </is>
      </c>
      <c r="S35" s="4" t="n">
        <v>1</v>
      </c>
      <c r="T35" s="4" t="inlineStr">
        <is>
          <t>Não</t>
        </is>
      </c>
      <c r="U35" s="4" t="inlineStr">
        <is>
          <t>Sim</t>
        </is>
      </c>
      <c r="V35" s="4" t="inlineStr">
        <is>
          <t>Não</t>
        </is>
      </c>
      <c r="W35" s="4" t="inlineStr"/>
    </row>
    <row r="36">
      <c r="A36" s="4" t="inlineStr">
        <is>
          <t>BTG Pactual</t>
        </is>
      </c>
      <c r="B36" s="4" t="inlineStr">
        <is>
          <t>BTG CDB Plus Prev FIM CrPr RL</t>
        </is>
      </c>
      <c r="C36" s="6" t="inlineStr">
        <is>
          <t>47.564.915/0001-93</t>
        </is>
      </c>
      <c r="D36" s="4" t="inlineStr">
        <is>
          <t>BTG PACTUAL ASSET MANAGEMENT S/A DTVM</t>
        </is>
      </c>
      <c r="E36" s="4" t="inlineStr">
        <is>
          <t>29.650.082/0001-00</t>
        </is>
      </c>
      <c r="F36" s="4" t="inlineStr">
        <is>
          <t>BTG PACTUAL SERVICOS FINANCEIROS S.A. DISTRIBUIDOR</t>
        </is>
      </c>
      <c r="G36" s="4" t="inlineStr">
        <is>
          <t>Multimercado</t>
        </is>
      </c>
      <c r="H36" s="4" t="inlineStr">
        <is>
          <t>Renda Fixa</t>
        </is>
      </c>
      <c r="I36" s="7" t="n">
        <v>1000</v>
      </c>
      <c r="J36" s="8" t="n"/>
      <c r="K36" s="8" t="n"/>
      <c r="L36" s="4" t="inlineStr"/>
      <c r="M36" s="5" t="n">
        <v>0</v>
      </c>
      <c r="N36" s="5" t="n">
        <v>1</v>
      </c>
      <c r="O36" s="5" t="n"/>
      <c r="P36" s="4" t="inlineStr">
        <is>
          <t>Curto Prazo</t>
        </is>
      </c>
      <c r="Q36" s="4" t="inlineStr">
        <is>
          <t>Não</t>
        </is>
      </c>
      <c r="R36" s="4" t="inlineStr">
        <is>
          <t>API interna</t>
        </is>
      </c>
      <c r="S36" s="4" t="n">
        <v>1</v>
      </c>
      <c r="T36" s="4" t="inlineStr">
        <is>
          <t>Não</t>
        </is>
      </c>
      <c r="U36" s="4" t="inlineStr">
        <is>
          <t>Sim</t>
        </is>
      </c>
      <c r="V36" s="4" t="inlineStr">
        <is>
          <t>Não</t>
        </is>
      </c>
      <c r="W36" s="4" t="inlineStr"/>
    </row>
    <row r="37">
      <c r="A37" s="4" t="inlineStr">
        <is>
          <t>BTG Pactual</t>
        </is>
      </c>
      <c r="B37" s="4" t="inlineStr">
        <is>
          <t>BTG Cred Corp OAK3 Global Prev FIE FIM CrPr RL</t>
        </is>
      </c>
      <c r="C37" s="6" t="inlineStr">
        <is>
          <t>54.304.610/0001-08</t>
        </is>
      </c>
      <c r="D37" s="4" t="inlineStr">
        <is>
          <t>BTG PACTUAL ASSET MANAGEMENT S/A DTVM</t>
        </is>
      </c>
      <c r="E37" s="4" t="inlineStr">
        <is>
          <t>29.650.082/0001-00</t>
        </is>
      </c>
      <c r="F37" s="4" t="inlineStr">
        <is>
          <t>BTG PACTUAL SERVICOS FINANCEIROS S.A. DISTRIBUIDOR</t>
        </is>
      </c>
      <c r="G37" s="4" t="inlineStr">
        <is>
          <t>Multimercado</t>
        </is>
      </c>
      <c r="H37" s="4" t="inlineStr">
        <is>
          <t>Renda Fixa</t>
        </is>
      </c>
      <c r="I37" s="7" t="n">
        <v>1000</v>
      </c>
      <c r="J37" s="8" t="n"/>
      <c r="K37" s="8" t="n"/>
      <c r="L37" s="4" t="inlineStr"/>
      <c r="M37" s="5" t="n">
        <v>9</v>
      </c>
      <c r="N37" s="5" t="n">
        <v>12</v>
      </c>
      <c r="O37" s="5" t="n"/>
      <c r="P37" s="4" t="inlineStr">
        <is>
          <t>Curto Prazo</t>
        </is>
      </c>
      <c r="Q37" s="4" t="inlineStr">
        <is>
          <t>Não</t>
        </is>
      </c>
      <c r="R37" s="4" t="inlineStr">
        <is>
          <t>API interna</t>
        </is>
      </c>
      <c r="S37" s="4" t="n">
        <v>1</v>
      </c>
      <c r="T37" s="4" t="inlineStr">
        <is>
          <t>Não</t>
        </is>
      </c>
      <c r="U37" s="4" t="inlineStr">
        <is>
          <t>Sim</t>
        </is>
      </c>
      <c r="V37" s="4" t="inlineStr">
        <is>
          <t>Não</t>
        </is>
      </c>
      <c r="W37" s="4" t="inlineStr"/>
    </row>
    <row r="38">
      <c r="A38" s="4" t="inlineStr">
        <is>
          <t>BTG Pactual</t>
        </is>
      </c>
      <c r="B38" s="4" t="inlineStr">
        <is>
          <t>BTG Icatu Vanguarda Absoluto II FIRF Prev CrPr RL</t>
        </is>
      </c>
      <c r="C38" s="6" t="inlineStr">
        <is>
          <t>46.700.364/0001-85</t>
        </is>
      </c>
      <c r="D38" s="4" t="inlineStr">
        <is>
          <t>ICATU VANGUARDA GESTÃO DE RECURSOS LTDA</t>
        </is>
      </c>
      <c r="E38" s="4" t="inlineStr">
        <is>
          <t>68.622.174/0001-20</t>
        </is>
      </c>
      <c r="F38" s="4" t="inlineStr">
        <is>
          <t>BEM DISTRIBUIDORA DE TITULOS E VALORES MOBILIARIOS</t>
        </is>
      </c>
      <c r="G38" s="4" t="inlineStr">
        <is>
          <t>Renda Fixa</t>
        </is>
      </c>
      <c r="H38" s="4" t="inlineStr">
        <is>
          <t>Renda Fixa</t>
        </is>
      </c>
      <c r="I38" s="7" t="n">
        <v>1000</v>
      </c>
      <c r="J38" s="8" t="n">
        <v>0.8</v>
      </c>
      <c r="K38" s="8" t="n">
        <v>20</v>
      </c>
      <c r="L38" s="4" t="inlineStr">
        <is>
          <t>CDI</t>
        </is>
      </c>
      <c r="M38" s="5" t="n">
        <v>9</v>
      </c>
      <c r="N38" s="5" t="n">
        <v>10</v>
      </c>
      <c r="O38" s="5" t="n"/>
      <c r="P38" s="4" t="inlineStr">
        <is>
          <t>Longo Prazo</t>
        </is>
      </c>
      <c r="Q38" s="4" t="inlineStr">
        <is>
          <t>Não</t>
        </is>
      </c>
      <c r="R38" s="4" t="inlineStr">
        <is>
          <t>API interna</t>
        </is>
      </c>
      <c r="S38" s="4" t="n">
        <v>1</v>
      </c>
      <c r="T38" s="4" t="inlineStr">
        <is>
          <t>Não</t>
        </is>
      </c>
      <c r="U38" s="4" t="inlineStr">
        <is>
          <t>Sim</t>
        </is>
      </c>
      <c r="V38" s="4" t="inlineStr">
        <is>
          <t>Não</t>
        </is>
      </c>
      <c r="W38" s="4" t="inlineStr"/>
    </row>
    <row r="39">
      <c r="A39" s="4" t="inlineStr">
        <is>
          <t>BTG Pactual</t>
        </is>
      </c>
      <c r="B39" s="4" t="inlineStr">
        <is>
          <t>BTG Long Term Prev FIA FIE</t>
        </is>
      </c>
      <c r="C39" s="6" t="inlineStr">
        <is>
          <t>57.976.621/0001-22</t>
        </is>
      </c>
      <c r="D39" s="4" t="inlineStr">
        <is>
          <t>BTG PACTUAL ASSET MANAGEMENT S/A DTVM</t>
        </is>
      </c>
      <c r="E39" s="4" t="inlineStr">
        <is>
          <t>29.650.082/0001-00</t>
        </is>
      </c>
      <c r="F39" s="4" t="inlineStr">
        <is>
          <t>BTG PACTUAL SERVICOS FINANCEIROS S.A. DISTRIBUIDOR</t>
        </is>
      </c>
      <c r="G39" s="4" t="inlineStr">
        <is>
          <t>Ações</t>
        </is>
      </c>
      <c r="H39" s="4" t="inlineStr">
        <is>
          <t>Renda Variável</t>
        </is>
      </c>
      <c r="I39" s="7" t="n">
        <v>1000</v>
      </c>
      <c r="J39" s="8" t="n"/>
      <c r="K39" s="8" t="n">
        <v>20</v>
      </c>
      <c r="L39" s="4" t="inlineStr">
        <is>
          <t>-</t>
        </is>
      </c>
      <c r="M39" s="5" t="n">
        <v>30</v>
      </c>
      <c r="N39" s="5" t="n">
        <v>32</v>
      </c>
      <c r="O39" s="5" t="n"/>
      <c r="P39" s="4" t="inlineStr">
        <is>
          <t>Curto Prazo</t>
        </is>
      </c>
      <c r="Q39" s="4" t="inlineStr">
        <is>
          <t>Não</t>
        </is>
      </c>
      <c r="R39" s="4" t="inlineStr">
        <is>
          <t>API interna</t>
        </is>
      </c>
      <c r="S39" s="4" t="n">
        <v>1</v>
      </c>
      <c r="T39" s="4" t="inlineStr">
        <is>
          <t>Não</t>
        </is>
      </c>
      <c r="U39" s="4" t="inlineStr">
        <is>
          <t>Sim</t>
        </is>
      </c>
      <c r="V39" s="4" t="inlineStr">
        <is>
          <t>Não</t>
        </is>
      </c>
      <c r="W39" s="4" t="inlineStr"/>
    </row>
    <row r="40">
      <c r="A40" s="4" t="inlineStr">
        <is>
          <t>BTG Pactual</t>
        </is>
      </c>
      <c r="B40" s="4" t="inlineStr">
        <is>
          <t>BTG Multigestor Credit Plus Prev FICFIM CrPr RL</t>
        </is>
      </c>
      <c r="C40" s="6" t="inlineStr">
        <is>
          <t>60.230.790/0001-23</t>
        </is>
      </c>
      <c r="D40" s="4" t="inlineStr">
        <is>
          <t>BTG PACTUAL GESTÃO E CONSULTORIA DE INVESTIMENTOS LTDA</t>
        </is>
      </c>
      <c r="E40" s="4" t="inlineStr">
        <is>
          <t>12.695.840/0001-03</t>
        </is>
      </c>
      <c r="F40" s="4" t="inlineStr">
        <is>
          <t>BTG PACTUAL SERVICOS FINANCEIROS S.A. DISTRIBUIDOR</t>
        </is>
      </c>
      <c r="G40" s="4" t="inlineStr">
        <is>
          <t>Multimercado</t>
        </is>
      </c>
      <c r="H40" s="4" t="inlineStr">
        <is>
          <t>Renda Fixa</t>
        </is>
      </c>
      <c r="I40" s="7" t="n">
        <v>1000</v>
      </c>
      <c r="J40" s="8" t="n"/>
      <c r="K40" s="8" t="n"/>
      <c r="L40" s="4" t="inlineStr"/>
      <c r="M40" s="5" t="n">
        <v>30</v>
      </c>
      <c r="N40" s="5" t="n">
        <v>32</v>
      </c>
      <c r="O40" s="5" t="n"/>
      <c r="P40" s="4" t="inlineStr">
        <is>
          <t>Curto Prazo</t>
        </is>
      </c>
      <c r="Q40" s="4" t="inlineStr">
        <is>
          <t>Não</t>
        </is>
      </c>
      <c r="R40" s="4" t="inlineStr">
        <is>
          <t>API interna</t>
        </is>
      </c>
      <c r="S40" s="4" t="n">
        <v>1</v>
      </c>
      <c r="T40" s="4" t="inlineStr">
        <is>
          <t>Não</t>
        </is>
      </c>
      <c r="U40" s="4" t="inlineStr">
        <is>
          <t>Sim</t>
        </is>
      </c>
      <c r="V40" s="4" t="inlineStr">
        <is>
          <t>Não</t>
        </is>
      </c>
      <c r="W40" s="4" t="inlineStr"/>
    </row>
    <row r="41">
      <c r="A41" s="4" t="inlineStr">
        <is>
          <t>BTG Pactual</t>
        </is>
      </c>
      <c r="B41" s="4" t="inlineStr">
        <is>
          <t>BTG Pactual Absoluto LS Prev FICFIM RL</t>
        </is>
      </c>
      <c r="C41" s="6" t="inlineStr">
        <is>
          <t>37.681.077/0001-84</t>
        </is>
      </c>
      <c r="D41" s="4" t="inlineStr">
        <is>
          <t>BTG PACTUAL ASSET MANAGEMENT S/A DTVM</t>
        </is>
      </c>
      <c r="E41" s="4" t="inlineStr">
        <is>
          <t>29.650.082/0001-00</t>
        </is>
      </c>
      <c r="F41" s="4" t="inlineStr">
        <is>
          <t>BTG PACTUAL SERVICOS FINANCEIROS S.A. DISTRIBUIDOR</t>
        </is>
      </c>
      <c r="G41" s="4" t="inlineStr">
        <is>
          <t>Multimercado</t>
        </is>
      </c>
      <c r="H41" s="4" t="inlineStr">
        <is>
          <t>Renda Variável</t>
        </is>
      </c>
      <c r="I41" s="7" t="n">
        <v>1000</v>
      </c>
      <c r="J41" s="8" t="n">
        <v>2</v>
      </c>
      <c r="K41" s="8" t="n">
        <v>20</v>
      </c>
      <c r="L41" s="4" t="inlineStr">
        <is>
          <t>CDI</t>
        </is>
      </c>
      <c r="M41" s="5" t="n">
        <v>6</v>
      </c>
      <c r="N41" s="5" t="n">
        <v>8</v>
      </c>
      <c r="O41" s="5" t="n"/>
      <c r="P41" s="4" t="inlineStr">
        <is>
          <t>Curto Prazo</t>
        </is>
      </c>
      <c r="Q41" s="4" t="inlineStr">
        <is>
          <t>Não</t>
        </is>
      </c>
      <c r="R41" s="4" t="inlineStr">
        <is>
          <t>API interna</t>
        </is>
      </c>
      <c r="S41" s="4" t="n">
        <v>1</v>
      </c>
      <c r="T41" s="4" t="inlineStr">
        <is>
          <t>Não</t>
        </is>
      </c>
      <c r="U41" s="4" t="inlineStr">
        <is>
          <t>Sim</t>
        </is>
      </c>
      <c r="V41" s="4" t="inlineStr">
        <is>
          <t>Não</t>
        </is>
      </c>
      <c r="W41" s="4" t="inlineStr"/>
    </row>
    <row r="42">
      <c r="A42" s="4" t="inlineStr">
        <is>
          <t>BTG Pactual</t>
        </is>
      </c>
      <c r="B42" s="4" t="inlineStr">
        <is>
          <t>BTG Pactual Absoluto Prev FICFIM CrPr RL</t>
        </is>
      </c>
      <c r="C42" s="6" t="inlineStr">
        <is>
          <t>35.002.894/0001-33</t>
        </is>
      </c>
      <c r="D42" s="4" t="inlineStr">
        <is>
          <t>BTG PACTUAL ASSET MANAGEMENT S/A DTVM</t>
        </is>
      </c>
      <c r="E42" s="4" t="inlineStr">
        <is>
          <t>29.650.082/0001-00</t>
        </is>
      </c>
      <c r="F42" s="4" t="inlineStr">
        <is>
          <t>BTG PACTUAL SERVICOS FINANCEIROS S.A. DISTRIBUIDOR</t>
        </is>
      </c>
      <c r="G42" s="4" t="inlineStr">
        <is>
          <t>Multimercado</t>
        </is>
      </c>
      <c r="H42" s="4" t="inlineStr">
        <is>
          <t>Renda Variável</t>
        </is>
      </c>
      <c r="I42" s="7" t="n">
        <v>0</v>
      </c>
      <c r="J42" s="8" t="n">
        <v>1.75</v>
      </c>
      <c r="K42" s="8" t="n">
        <v>20</v>
      </c>
      <c r="L42" s="4" t="inlineStr">
        <is>
          <t>IBOVESPA</t>
        </is>
      </c>
      <c r="M42" s="5" t="n">
        <v>7</v>
      </c>
      <c r="N42" s="5" t="n">
        <v>9</v>
      </c>
      <c r="O42" s="5" t="n"/>
      <c r="P42" s="4" t="inlineStr">
        <is>
          <t>Curto Prazo</t>
        </is>
      </c>
      <c r="Q42" s="4" t="inlineStr">
        <is>
          <t>Não</t>
        </is>
      </c>
      <c r="R42" s="4" t="inlineStr">
        <is>
          <t>API interna</t>
        </is>
      </c>
      <c r="S42" s="4" t="n">
        <v>1</v>
      </c>
      <c r="T42" s="4" t="inlineStr">
        <is>
          <t>Não</t>
        </is>
      </c>
      <c r="U42" s="4" t="inlineStr">
        <is>
          <t>Sim</t>
        </is>
      </c>
      <c r="V42" s="4" t="inlineStr">
        <is>
          <t>Não</t>
        </is>
      </c>
      <c r="W42" s="4" t="inlineStr"/>
    </row>
    <row r="43">
      <c r="A43" s="4" t="inlineStr">
        <is>
          <t>BTG Pactual</t>
        </is>
      </c>
      <c r="B43" s="4" t="inlineStr">
        <is>
          <t>BTG Pactual Cred Corp II Prev FICFIM CrPr RL</t>
        </is>
      </c>
      <c r="C43" s="6" t="inlineStr">
        <is>
          <t>44.025.282/0001-57</t>
        </is>
      </c>
      <c r="D43" s="4" t="inlineStr">
        <is>
          <t>BTG PACTUAL ASSET MANAGEMENT S/A DTVM</t>
        </is>
      </c>
      <c r="E43" s="4" t="inlineStr">
        <is>
          <t>29.650.082/0001-00</t>
        </is>
      </c>
      <c r="F43" s="4" t="inlineStr">
        <is>
          <t>BTG PACTUAL SERVICOS FINANCEIROS S.A. DISTRIBUIDOR</t>
        </is>
      </c>
      <c r="G43" s="4" t="inlineStr">
        <is>
          <t>Multimercado</t>
        </is>
      </c>
      <c r="H43" s="4" t="inlineStr">
        <is>
          <t>Renda Fixa</t>
        </is>
      </c>
      <c r="I43" s="7" t="n">
        <v>0</v>
      </c>
      <c r="J43" s="8" t="n">
        <v>0.9</v>
      </c>
      <c r="K43" s="8" t="n">
        <v>20</v>
      </c>
      <c r="L43" s="4" t="inlineStr">
        <is>
          <t>CDI</t>
        </is>
      </c>
      <c r="M43" s="5" t="n">
        <v>6</v>
      </c>
      <c r="N43" s="5" t="n">
        <v>7</v>
      </c>
      <c r="O43" s="5" t="n"/>
      <c r="P43" s="4" t="inlineStr">
        <is>
          <t>Curto Prazo</t>
        </is>
      </c>
      <c r="Q43" s="4" t="inlineStr">
        <is>
          <t>Não</t>
        </is>
      </c>
      <c r="R43" s="4" t="inlineStr">
        <is>
          <t>API interna</t>
        </is>
      </c>
      <c r="S43" s="4" t="n">
        <v>1</v>
      </c>
      <c r="T43" s="4" t="inlineStr">
        <is>
          <t>Não</t>
        </is>
      </c>
      <c r="U43" s="4" t="inlineStr">
        <is>
          <t>Sim</t>
        </is>
      </c>
      <c r="V43" s="4" t="inlineStr">
        <is>
          <t>Não</t>
        </is>
      </c>
      <c r="W43" s="4" t="inlineStr"/>
    </row>
    <row r="44">
      <c r="A44" s="4" t="inlineStr">
        <is>
          <t>BTG Pactual</t>
        </is>
      </c>
      <c r="B44" s="4" t="inlineStr">
        <is>
          <t>BTG Pactual Cred Corp Plus Prev FIE FICFIM CrPr RL</t>
        </is>
      </c>
      <c r="C44" s="6" t="inlineStr">
        <is>
          <t>41.801.819/0001-35</t>
        </is>
      </c>
      <c r="D44" s="4" t="inlineStr">
        <is>
          <t>BTG PACTUAL ASSET MANAGEMENT S/A DTVM</t>
        </is>
      </c>
      <c r="E44" s="4" t="inlineStr">
        <is>
          <t>29.650.082/0001-00</t>
        </is>
      </c>
      <c r="F44" s="4" t="inlineStr">
        <is>
          <t>BTG PACTUAL SERVICOS FINANCEIROS S.A. DISTRIBUIDOR</t>
        </is>
      </c>
      <c r="G44" s="4" t="inlineStr">
        <is>
          <t>Renda Fixa</t>
        </is>
      </c>
      <c r="H44" s="4" t="inlineStr">
        <is>
          <t>Renda Fixa</t>
        </is>
      </c>
      <c r="I44" s="7" t="n">
        <v>1000</v>
      </c>
      <c r="J44" s="8" t="n">
        <v>1.1</v>
      </c>
      <c r="K44" s="8" t="n">
        <v>20</v>
      </c>
      <c r="L44" s="4" t="inlineStr">
        <is>
          <t>CDI</t>
        </is>
      </c>
      <c r="M44" s="5" t="n">
        <v>7</v>
      </c>
      <c r="N44" s="5" t="n">
        <v>9</v>
      </c>
      <c r="O44" s="5" t="n"/>
      <c r="P44" s="4" t="inlineStr">
        <is>
          <t>Curto Prazo</t>
        </is>
      </c>
      <c r="Q44" s="4" t="inlineStr">
        <is>
          <t>Não</t>
        </is>
      </c>
      <c r="R44" s="4" t="inlineStr">
        <is>
          <t>API interna</t>
        </is>
      </c>
      <c r="S44" s="4" t="n">
        <v>1</v>
      </c>
      <c r="T44" s="4" t="inlineStr">
        <is>
          <t>Não</t>
        </is>
      </c>
      <c r="U44" s="4" t="inlineStr">
        <is>
          <t>Sim</t>
        </is>
      </c>
      <c r="V44" s="4" t="inlineStr">
        <is>
          <t>Não</t>
        </is>
      </c>
      <c r="W44" s="4" t="inlineStr"/>
    </row>
    <row r="45">
      <c r="A45" s="4" t="inlineStr">
        <is>
          <t>BTG Pactual</t>
        </is>
      </c>
      <c r="B45" s="4" t="inlineStr">
        <is>
          <t>BTG Pactual Cred Corp Prev Ipca FIRF CrPr RL</t>
        </is>
      </c>
      <c r="C45" s="6" t="inlineStr">
        <is>
          <t>43.103.846/0001-60</t>
        </is>
      </c>
      <c r="D45" s="4" t="inlineStr">
        <is>
          <t>BTG PACTUAL ASSET MANAGEMENT S/A DTVM</t>
        </is>
      </c>
      <c r="E45" s="4" t="inlineStr">
        <is>
          <t>29.650.082/0001-00</t>
        </is>
      </c>
      <c r="F45" s="4" t="inlineStr">
        <is>
          <t>BTG PACTUAL SERVICOS FINANCEIROS S.A. DISTRIBUIDOR</t>
        </is>
      </c>
      <c r="G45" s="4" t="inlineStr">
        <is>
          <t>Renda Fixa</t>
        </is>
      </c>
      <c r="H45" s="4" t="inlineStr">
        <is>
          <t>Renda Fixa</t>
        </is>
      </c>
      <c r="I45" s="7" t="n">
        <v>5000</v>
      </c>
      <c r="J45" s="8" t="n">
        <v>0.8</v>
      </c>
      <c r="K45" s="8" t="n">
        <v>20</v>
      </c>
      <c r="L45" s="4" t="inlineStr">
        <is>
          <t>IMA-B</t>
        </is>
      </c>
      <c r="M45" s="5" t="n">
        <v>5</v>
      </c>
      <c r="N45" s="5" t="n">
        <v>7</v>
      </c>
      <c r="O45" s="5" t="n"/>
      <c r="P45" s="4" t="inlineStr">
        <is>
          <t>Curto Prazo</t>
        </is>
      </c>
      <c r="Q45" s="4" t="inlineStr">
        <is>
          <t>Não</t>
        </is>
      </c>
      <c r="R45" s="4" t="inlineStr">
        <is>
          <t>API interna</t>
        </is>
      </c>
      <c r="S45" s="4" t="n">
        <v>1</v>
      </c>
      <c r="T45" s="4" t="inlineStr">
        <is>
          <t>Não</t>
        </is>
      </c>
      <c r="U45" s="4" t="inlineStr">
        <is>
          <t>Sim</t>
        </is>
      </c>
      <c r="V45" s="4" t="inlineStr">
        <is>
          <t>Não</t>
        </is>
      </c>
      <c r="W45" s="4" t="inlineStr"/>
    </row>
    <row r="46">
      <c r="A46" s="4" t="inlineStr">
        <is>
          <t>BTG Pactual</t>
        </is>
      </c>
      <c r="B46" s="4" t="inlineStr">
        <is>
          <t>BTG Pactual Discovery Prev FICFIM RL</t>
        </is>
      </c>
      <c r="C46" s="6" t="inlineStr">
        <is>
          <t>29.178.343/0001-22</t>
        </is>
      </c>
      <c r="D46" s="4" t="inlineStr">
        <is>
          <t>BTG PACTUAL ASSET MANAGEMENT S/A DTVM</t>
        </is>
      </c>
      <c r="E46" s="4" t="inlineStr">
        <is>
          <t>29.650.082/0001-00</t>
        </is>
      </c>
      <c r="F46" s="4" t="inlineStr">
        <is>
          <t>BTG PACTUAL SERVICOS FINANCEIROS S.A. DISTRIBUIDOR</t>
        </is>
      </c>
      <c r="G46" s="4" t="inlineStr">
        <is>
          <t>Multimercado</t>
        </is>
      </c>
      <c r="H46" s="4" t="inlineStr">
        <is>
          <t>Multimercado</t>
        </is>
      </c>
      <c r="I46" s="7" t="n">
        <v>0</v>
      </c>
      <c r="J46" s="8" t="n">
        <v>2</v>
      </c>
      <c r="K46" s="8" t="n"/>
      <c r="L46" s="4" t="inlineStr"/>
      <c r="M46" s="5" t="n">
        <v>6</v>
      </c>
      <c r="N46" s="5" t="n">
        <v>7</v>
      </c>
      <c r="O46" s="5" t="n"/>
      <c r="P46" s="4" t="inlineStr">
        <is>
          <t>Curto Prazo</t>
        </is>
      </c>
      <c r="Q46" s="4" t="inlineStr">
        <is>
          <t>Não</t>
        </is>
      </c>
      <c r="R46" s="4" t="inlineStr">
        <is>
          <t>API interna</t>
        </is>
      </c>
      <c r="S46" s="4" t="n">
        <v>1</v>
      </c>
      <c r="T46" s="4" t="inlineStr">
        <is>
          <t>Não</t>
        </is>
      </c>
      <c r="U46" s="4" t="inlineStr">
        <is>
          <t>Sim</t>
        </is>
      </c>
      <c r="V46" s="4" t="inlineStr">
        <is>
          <t>Não</t>
        </is>
      </c>
      <c r="W46" s="4" t="inlineStr"/>
    </row>
    <row r="47">
      <c r="A47" s="4" t="inlineStr">
        <is>
          <t>BTG Pactual</t>
        </is>
      </c>
      <c r="B47" s="4" t="inlineStr">
        <is>
          <t>BTG Pactual Hedge Prev FIM CrPr RL</t>
        </is>
      </c>
      <c r="C47" s="6" t="inlineStr">
        <is>
          <t>50.875.116/0001-42</t>
        </is>
      </c>
      <c r="D47" s="4" t="inlineStr">
        <is>
          <t>BTG PACTUAL ASSET MANAGEMENT S/A DTVM</t>
        </is>
      </c>
      <c r="E47" s="4" t="inlineStr">
        <is>
          <t>29.650.082/0001-00</t>
        </is>
      </c>
      <c r="F47" s="4" t="inlineStr">
        <is>
          <t>BTG PACTUAL SERVICOS FINANCEIROS S.A. DISTRIBUIDOR</t>
        </is>
      </c>
      <c r="G47" s="4" t="inlineStr">
        <is>
          <t>Multimercado</t>
        </is>
      </c>
      <c r="H47" s="4" t="inlineStr">
        <is>
          <t>Renda Fixa</t>
        </is>
      </c>
      <c r="I47" s="7" t="n">
        <v>1000</v>
      </c>
      <c r="J47" s="8" t="n">
        <v>1</v>
      </c>
      <c r="K47" s="8" t="n">
        <v>20</v>
      </c>
      <c r="L47" s="4" t="inlineStr">
        <is>
          <t>CDI</t>
        </is>
      </c>
      <c r="M47" s="5" t="n">
        <v>7</v>
      </c>
      <c r="N47" s="5" t="n">
        <v>9</v>
      </c>
      <c r="O47" s="5" t="n"/>
      <c r="P47" s="4" t="inlineStr">
        <is>
          <t>Curto Prazo</t>
        </is>
      </c>
      <c r="Q47" s="4" t="inlineStr">
        <is>
          <t>Não</t>
        </is>
      </c>
      <c r="R47" s="4" t="inlineStr">
        <is>
          <t>API interna</t>
        </is>
      </c>
      <c r="S47" s="4" t="n">
        <v>1</v>
      </c>
      <c r="T47" s="4" t="inlineStr">
        <is>
          <t>Não</t>
        </is>
      </c>
      <c r="U47" s="4" t="inlineStr">
        <is>
          <t>Sim</t>
        </is>
      </c>
      <c r="V47" s="4" t="inlineStr">
        <is>
          <t>Não</t>
        </is>
      </c>
      <c r="W47" s="4" t="inlineStr"/>
    </row>
    <row r="48">
      <c r="A48" s="4" t="inlineStr">
        <is>
          <t>BTG Pactual</t>
        </is>
      </c>
      <c r="B48" s="4" t="inlineStr">
        <is>
          <t>BTG Pactual Hedge Sigma Prev FIE FICFIM RL</t>
        </is>
      </c>
      <c r="C48" s="6" t="inlineStr">
        <is>
          <t>44.025.612/0001-04</t>
        </is>
      </c>
      <c r="D48" s="4" t="inlineStr">
        <is>
          <t>BTG PACTUAL ASSET MANAGEMENT S/A DTVM</t>
        </is>
      </c>
      <c r="E48" s="4" t="inlineStr">
        <is>
          <t>29.650.082/0001-00</t>
        </is>
      </c>
      <c r="F48" s="4" t="inlineStr">
        <is>
          <t>BTG PACTUAL SERVICOS FINANCEIROS S.A. DISTRIBUIDOR</t>
        </is>
      </c>
      <c r="G48" s="4" t="inlineStr">
        <is>
          <t>Multimercado</t>
        </is>
      </c>
      <c r="H48" s="4" t="inlineStr">
        <is>
          <t>Renda Fixa</t>
        </is>
      </c>
      <c r="I48" s="7" t="n">
        <v>1000</v>
      </c>
      <c r="J48" s="8" t="n">
        <v>1</v>
      </c>
      <c r="K48" s="8" t="n"/>
      <c r="L48" s="4" t="inlineStr"/>
      <c r="M48" s="5" t="n">
        <v>2</v>
      </c>
      <c r="N48" s="5" t="n">
        <v>3</v>
      </c>
      <c r="O48" s="5" t="n"/>
      <c r="P48" s="4" t="inlineStr">
        <is>
          <t>Curto Prazo</t>
        </is>
      </c>
      <c r="Q48" s="4" t="inlineStr">
        <is>
          <t>Não</t>
        </is>
      </c>
      <c r="R48" s="4" t="inlineStr">
        <is>
          <t>API interna</t>
        </is>
      </c>
      <c r="S48" s="4" t="n">
        <v>1</v>
      </c>
      <c r="T48" s="4" t="inlineStr">
        <is>
          <t>Não</t>
        </is>
      </c>
      <c r="U48" s="4" t="inlineStr">
        <is>
          <t>Sim</t>
        </is>
      </c>
      <c r="V48" s="4" t="inlineStr">
        <is>
          <t>Não</t>
        </is>
      </c>
      <c r="W48" s="4" t="inlineStr"/>
    </row>
    <row r="49">
      <c r="A49" s="4" t="inlineStr">
        <is>
          <t>BTG Pactual</t>
        </is>
      </c>
      <c r="B49" s="4" t="inlineStr">
        <is>
          <t>BTG Pactual Ibovespa 100 Index Prev FIM RL</t>
        </is>
      </c>
      <c r="C49" s="6" t="inlineStr">
        <is>
          <t>55.138.930/0001-06</t>
        </is>
      </c>
      <c r="D49" s="4" t="inlineStr">
        <is>
          <t>BTG PACTUAL ASSET MANAGEMENT S/A DTVM</t>
        </is>
      </c>
      <c r="E49" s="4" t="inlineStr">
        <is>
          <t>29.650.082/0001-00</t>
        </is>
      </c>
      <c r="F49" s="4" t="inlineStr">
        <is>
          <t>BTG PACTUAL SERVICOS FINANCEIROS S.A. DISTRIBUIDOR</t>
        </is>
      </c>
      <c r="G49" s="4" t="inlineStr">
        <is>
          <t>Multimercado</t>
        </is>
      </c>
      <c r="H49" s="4" t="inlineStr">
        <is>
          <t>Renda Variável</t>
        </is>
      </c>
      <c r="I49" s="7" t="n">
        <v>1000</v>
      </c>
      <c r="J49" s="8" t="n"/>
      <c r="K49" s="8" t="n"/>
      <c r="L49" s="4" t="inlineStr"/>
      <c r="M49" s="5" t="n">
        <v>2</v>
      </c>
      <c r="N49" s="5" t="n">
        <v>4</v>
      </c>
      <c r="O49" s="5" t="n"/>
      <c r="P49" s="4" t="inlineStr">
        <is>
          <t>Curto Prazo</t>
        </is>
      </c>
      <c r="Q49" s="4" t="inlineStr">
        <is>
          <t>Não</t>
        </is>
      </c>
      <c r="R49" s="4" t="inlineStr">
        <is>
          <t>API interna</t>
        </is>
      </c>
      <c r="S49" s="4" t="n">
        <v>1</v>
      </c>
      <c r="T49" s="4" t="inlineStr">
        <is>
          <t>Não</t>
        </is>
      </c>
      <c r="U49" s="4" t="inlineStr">
        <is>
          <t>Sim</t>
        </is>
      </c>
      <c r="V49" s="4" t="inlineStr">
        <is>
          <t>Não</t>
        </is>
      </c>
      <c r="W49" s="4" t="inlineStr"/>
    </row>
    <row r="50">
      <c r="A50" s="4" t="inlineStr">
        <is>
          <t>BTG Pactual</t>
        </is>
      </c>
      <c r="B50" s="4" t="inlineStr">
        <is>
          <t>BTG Pactual Ipca Curta Prev FICFIRF CrPr RL</t>
        </is>
      </c>
      <c r="C50" s="6" t="inlineStr">
        <is>
          <t>54.305.132/0001-50</t>
        </is>
      </c>
      <c r="D50" s="4" t="inlineStr">
        <is>
          <t>BTG PACTUAL ASSET MANAGEMENT S/A DTVM</t>
        </is>
      </c>
      <c r="E50" s="4" t="inlineStr">
        <is>
          <t>29.650.082/0001-00</t>
        </is>
      </c>
      <c r="F50" s="4" t="inlineStr">
        <is>
          <t>BTG PACTUAL SERVICOS FINANCEIROS S.A. DISTRIBUIDOR</t>
        </is>
      </c>
      <c r="G50" s="4" t="inlineStr">
        <is>
          <t>Renda Fixa</t>
        </is>
      </c>
      <c r="H50" s="4" t="inlineStr">
        <is>
          <t>Renda Fixa</t>
        </is>
      </c>
      <c r="I50" s="7" t="n">
        <v>0</v>
      </c>
      <c r="J50" s="8" t="n">
        <v>0.35</v>
      </c>
      <c r="K50" s="8" t="n"/>
      <c r="L50" s="4" t="inlineStr"/>
      <c r="M50" s="5" t="n">
        <v>0</v>
      </c>
      <c r="N50" s="5" t="n">
        <v>1</v>
      </c>
      <c r="O50" s="5" t="n"/>
      <c r="P50" s="4" t="inlineStr">
        <is>
          <t>Curto Prazo</t>
        </is>
      </c>
      <c r="Q50" s="4" t="inlineStr">
        <is>
          <t>Não</t>
        </is>
      </c>
      <c r="R50" s="4" t="inlineStr">
        <is>
          <t>API interna</t>
        </is>
      </c>
      <c r="S50" s="4" t="n">
        <v>1</v>
      </c>
      <c r="T50" s="4" t="inlineStr">
        <is>
          <t>Não</t>
        </is>
      </c>
      <c r="U50" s="4" t="inlineStr">
        <is>
          <t>Sim</t>
        </is>
      </c>
      <c r="V50" s="4" t="inlineStr">
        <is>
          <t>Não</t>
        </is>
      </c>
      <c r="W50" s="4" t="inlineStr"/>
    </row>
    <row r="51">
      <c r="A51" s="4" t="inlineStr">
        <is>
          <t>BTG Pactual</t>
        </is>
      </c>
      <c r="B51" s="4" t="inlineStr">
        <is>
          <t>BTG Pactual Macro HF FIE Prev FICFIM RL</t>
        </is>
      </c>
      <c r="C51" s="6" t="inlineStr">
        <is>
          <t>43.915.616/0001-03</t>
        </is>
      </c>
      <c r="D51" s="4" t="inlineStr">
        <is>
          <t>BTG PACTUAL ASSET MANAGEMENT S/A DTVM</t>
        </is>
      </c>
      <c r="E51" s="4" t="inlineStr">
        <is>
          <t>29.650.082/0001-00</t>
        </is>
      </c>
      <c r="F51" s="4" t="inlineStr">
        <is>
          <t>BTG PACTUAL SERVICOS FINANCEIROS S.A. DISTRIBUIDOR</t>
        </is>
      </c>
      <c r="G51" s="4" t="inlineStr">
        <is>
          <t>Multimercado</t>
        </is>
      </c>
      <c r="H51" s="4" t="inlineStr">
        <is>
          <t>Multimercado</t>
        </is>
      </c>
      <c r="I51" s="7" t="n">
        <v>1000</v>
      </c>
      <c r="J51" s="8" t="n">
        <v>2.5</v>
      </c>
      <c r="K51" s="8" t="n"/>
      <c r="L51" s="4" t="inlineStr"/>
      <c r="M51" s="5" t="n">
        <v>7</v>
      </c>
      <c r="N51" s="5" t="n">
        <v>9</v>
      </c>
      <c r="O51" s="5" t="n"/>
      <c r="P51" s="4" t="inlineStr">
        <is>
          <t>Curto Prazo</t>
        </is>
      </c>
      <c r="Q51" s="4" t="inlineStr">
        <is>
          <t>Não</t>
        </is>
      </c>
      <c r="R51" s="4" t="inlineStr">
        <is>
          <t>API interna</t>
        </is>
      </c>
      <c r="S51" s="4" t="n">
        <v>1</v>
      </c>
      <c r="T51" s="4" t="inlineStr">
        <is>
          <t>Não</t>
        </is>
      </c>
      <c r="U51" s="4" t="inlineStr">
        <is>
          <t>Sim</t>
        </is>
      </c>
      <c r="V51" s="4" t="inlineStr">
        <is>
          <t>Não</t>
        </is>
      </c>
      <c r="W51" s="4" t="inlineStr"/>
    </row>
    <row r="52">
      <c r="A52" s="4" t="inlineStr">
        <is>
          <t>BTG Pactual</t>
        </is>
      </c>
      <c r="B52" s="4" t="inlineStr">
        <is>
          <t>BTG Pactual NTN B 2035 Yield Prev FIRF RL</t>
        </is>
      </c>
      <c r="C52" s="6" t="inlineStr">
        <is>
          <t>42.357.379/0001-31</t>
        </is>
      </c>
      <c r="D52" s="4" t="inlineStr">
        <is>
          <t>BTG PACTUAL ASSET MANAGEMENT S/A DTVM</t>
        </is>
      </c>
      <c r="E52" s="4" t="inlineStr">
        <is>
          <t>29.650.082/0001-00</t>
        </is>
      </c>
      <c r="F52" s="4" t="inlineStr">
        <is>
          <t>BTG PACTUAL SERVICOS FINANCEIROS S.A. DISTRIBUIDOR</t>
        </is>
      </c>
      <c r="G52" s="4" t="inlineStr">
        <is>
          <t>Renda Fixa</t>
        </is>
      </c>
      <c r="H52" s="4" t="inlineStr">
        <is>
          <t>Renda Fixa</t>
        </is>
      </c>
      <c r="I52" s="7" t="n">
        <v>1000</v>
      </c>
      <c r="J52" s="8" t="n">
        <v>0.25</v>
      </c>
      <c r="K52" s="8" t="n"/>
      <c r="L52" s="4" t="inlineStr"/>
      <c r="M52" s="5" t="n">
        <v>2</v>
      </c>
      <c r="N52" s="5" t="n">
        <v>3</v>
      </c>
      <c r="O52" s="5" t="n"/>
      <c r="P52" s="4" t="inlineStr">
        <is>
          <t>Curto Prazo</t>
        </is>
      </c>
      <c r="Q52" s="4" t="inlineStr">
        <is>
          <t>Não</t>
        </is>
      </c>
      <c r="R52" s="4" t="inlineStr">
        <is>
          <t>API interna</t>
        </is>
      </c>
      <c r="S52" s="4" t="n">
        <v>1</v>
      </c>
      <c r="T52" s="4" t="inlineStr">
        <is>
          <t>Não</t>
        </is>
      </c>
      <c r="U52" s="4" t="inlineStr">
        <is>
          <t>Sim</t>
        </is>
      </c>
      <c r="V52" s="4" t="inlineStr">
        <is>
          <t>Não</t>
        </is>
      </c>
      <c r="W52" s="4" t="inlineStr"/>
    </row>
    <row r="53">
      <c r="A53" s="4" t="inlineStr">
        <is>
          <t>BTG Pactual</t>
        </is>
      </c>
      <c r="B53" s="4" t="inlineStr">
        <is>
          <t>BTG Pactual NTN B 2045 Yield Prev FIRF RL</t>
        </is>
      </c>
      <c r="C53" s="6" t="inlineStr">
        <is>
          <t>54.248.765/0001-74</t>
        </is>
      </c>
      <c r="D53" s="4" t="inlineStr">
        <is>
          <t>BTG PACTUAL ASSET MANAGEMENT S/A DTVM</t>
        </is>
      </c>
      <c r="E53" s="4" t="inlineStr">
        <is>
          <t>29.650.082/0001-00</t>
        </is>
      </c>
      <c r="F53" s="4" t="inlineStr">
        <is>
          <t>BTG PACTUAL SERVICOS FINANCEIROS S.A. DISTRIBUIDOR</t>
        </is>
      </c>
      <c r="G53" s="4" t="inlineStr">
        <is>
          <t>Renda Fixa</t>
        </is>
      </c>
      <c r="H53" s="4" t="inlineStr">
        <is>
          <t>Renda Fixa</t>
        </is>
      </c>
      <c r="I53" s="7" t="n">
        <v>1000</v>
      </c>
      <c r="J53" s="8" t="n"/>
      <c r="K53" s="8" t="n"/>
      <c r="L53" s="4" t="inlineStr"/>
      <c r="M53" s="5" t="n">
        <v>2</v>
      </c>
      <c r="N53" s="5" t="n">
        <v>3</v>
      </c>
      <c r="O53" s="5" t="n"/>
      <c r="P53" s="4" t="inlineStr">
        <is>
          <t>Longo Prazo</t>
        </is>
      </c>
      <c r="Q53" s="4" t="inlineStr">
        <is>
          <t>Não</t>
        </is>
      </c>
      <c r="R53" s="4" t="inlineStr">
        <is>
          <t>API interna</t>
        </is>
      </c>
      <c r="S53" s="4" t="n">
        <v>1</v>
      </c>
      <c r="T53" s="4" t="inlineStr">
        <is>
          <t>Não</t>
        </is>
      </c>
      <c r="U53" s="4" t="inlineStr">
        <is>
          <t>Sim</t>
        </is>
      </c>
      <c r="V53" s="4" t="inlineStr">
        <is>
          <t>Não</t>
        </is>
      </c>
      <c r="W53" s="4" t="inlineStr"/>
    </row>
    <row r="54">
      <c r="A54" s="4" t="inlineStr">
        <is>
          <t>BTG Pactual</t>
        </is>
      </c>
      <c r="B54" s="4" t="inlineStr">
        <is>
          <t>BTG Pactual NTN B 2055 Yield Prev FIRF RL</t>
        </is>
      </c>
      <c r="C54" s="6" t="inlineStr">
        <is>
          <t>50.876.690/0001-15</t>
        </is>
      </c>
      <c r="D54" s="4" t="inlineStr">
        <is>
          <t>BTG PACTUAL ASSET MANAGEMENT S/A DTVM</t>
        </is>
      </c>
      <c r="E54" s="4" t="inlineStr">
        <is>
          <t>29.650.082/0001-00</t>
        </is>
      </c>
      <c r="F54" s="4" t="inlineStr">
        <is>
          <t>BTG PACTUAL SERVICOS FINANCEIROS S.A. DISTRIBUIDOR</t>
        </is>
      </c>
      <c r="G54" s="4" t="inlineStr">
        <is>
          <t>Renda Fixa</t>
        </is>
      </c>
      <c r="H54" s="4" t="inlineStr">
        <is>
          <t>Renda Fixa</t>
        </is>
      </c>
      <c r="I54" s="7" t="n">
        <v>1000</v>
      </c>
      <c r="J54" s="8" t="n">
        <v>0.25</v>
      </c>
      <c r="K54" s="8" t="n"/>
      <c r="L54" s="4" t="inlineStr"/>
      <c r="M54" s="5" t="n">
        <v>2</v>
      </c>
      <c r="N54" s="5" t="n">
        <v>3</v>
      </c>
      <c r="O54" s="5" t="n"/>
      <c r="P54" s="4" t="inlineStr">
        <is>
          <t>Curto Prazo</t>
        </is>
      </c>
      <c r="Q54" s="4" t="inlineStr">
        <is>
          <t>Não</t>
        </is>
      </c>
      <c r="R54" s="4" t="inlineStr">
        <is>
          <t>API interna</t>
        </is>
      </c>
      <c r="S54" s="4" t="n">
        <v>1</v>
      </c>
      <c r="T54" s="4" t="inlineStr">
        <is>
          <t>Não</t>
        </is>
      </c>
      <c r="U54" s="4" t="inlineStr">
        <is>
          <t>Sim</t>
        </is>
      </c>
      <c r="V54" s="4" t="inlineStr">
        <is>
          <t>Não</t>
        </is>
      </c>
      <c r="W54" s="4" t="inlineStr"/>
    </row>
    <row r="55">
      <c r="A55" s="4" t="inlineStr">
        <is>
          <t>BTG Pactual</t>
        </is>
      </c>
      <c r="B55" s="4" t="inlineStr">
        <is>
          <t>BTG Pactual Prev IMA B FICFIRF de Fundos de RF RL</t>
        </is>
      </c>
      <c r="C55" s="6" t="inlineStr">
        <is>
          <t>22.187.479/0001-50</t>
        </is>
      </c>
      <c r="D55" s="4" t="inlineStr">
        <is>
          <t>BTG PACTUAL ASSET MANAGEMENT S/A DTVM</t>
        </is>
      </c>
      <c r="E55" s="4" t="inlineStr">
        <is>
          <t>29.650.082/0001-00</t>
        </is>
      </c>
      <c r="F55" s="4" t="inlineStr">
        <is>
          <t>BTG PACTUAL SERVICOS FINANCEIROS S.A. DISTRIBUIDOR</t>
        </is>
      </c>
      <c r="G55" s="4" t="inlineStr">
        <is>
          <t>Renda Fixa</t>
        </is>
      </c>
      <c r="H55" s="4" t="inlineStr">
        <is>
          <t>Renda Fixa</t>
        </is>
      </c>
      <c r="I55" s="7" t="n">
        <v>1000</v>
      </c>
      <c r="J55" s="8" t="n">
        <v>0.5</v>
      </c>
      <c r="K55" s="8" t="n"/>
      <c r="L55" s="4" t="inlineStr"/>
      <c r="M55" s="5" t="n">
        <v>1</v>
      </c>
      <c r="N55" s="5" t="n">
        <v>2</v>
      </c>
      <c r="O55" s="5" t="n"/>
      <c r="P55" s="4" t="inlineStr">
        <is>
          <t>Curto Prazo</t>
        </is>
      </c>
      <c r="Q55" s="4" t="inlineStr">
        <is>
          <t>Não</t>
        </is>
      </c>
      <c r="R55" s="4" t="inlineStr">
        <is>
          <t>API interna</t>
        </is>
      </c>
      <c r="S55" s="4" t="n">
        <v>1</v>
      </c>
      <c r="T55" s="4" t="inlineStr">
        <is>
          <t>Não</t>
        </is>
      </c>
      <c r="U55" s="4" t="inlineStr">
        <is>
          <t>Sim</t>
        </is>
      </c>
      <c r="V55" s="4" t="inlineStr">
        <is>
          <t>Não</t>
        </is>
      </c>
      <c r="W55" s="4" t="inlineStr"/>
    </row>
    <row r="56">
      <c r="A56" s="4" t="inlineStr">
        <is>
          <t>BTG Pactual</t>
        </is>
      </c>
      <c r="B56" s="4" t="inlineStr">
        <is>
          <t>BTG Pactual Reference S&amp;P500 USD Prev FIM RL</t>
        </is>
      </c>
      <c r="C56" s="6" t="inlineStr">
        <is>
          <t>44.025.397/0001-41</t>
        </is>
      </c>
      <c r="D56" s="4" t="inlineStr">
        <is>
          <t>BTG PACTUAL ASSET MANAGEMENT S/A DTVM</t>
        </is>
      </c>
      <c r="E56" s="4" t="inlineStr">
        <is>
          <t>29.650.082/0001-00</t>
        </is>
      </c>
      <c r="F56" s="4" t="inlineStr">
        <is>
          <t>BTG PACTUAL SERVICOS FINANCEIROS S.A. DISTRIBUIDOR</t>
        </is>
      </c>
      <c r="G56" s="4" t="inlineStr">
        <is>
          <t>Multimercado</t>
        </is>
      </c>
      <c r="H56" s="4" t="inlineStr">
        <is>
          <t>Multimercado</t>
        </is>
      </c>
      <c r="I56" s="7" t="n">
        <v>1000</v>
      </c>
      <c r="J56" s="8" t="n"/>
      <c r="K56" s="8" t="n"/>
      <c r="L56" s="4" t="inlineStr"/>
      <c r="M56" s="5" t="n">
        <v>1</v>
      </c>
      <c r="N56" s="5" t="n">
        <v>3</v>
      </c>
      <c r="O56" s="5" t="n"/>
      <c r="P56" s="4" t="inlineStr">
        <is>
          <t>Curto Prazo</t>
        </is>
      </c>
      <c r="Q56" s="4" t="inlineStr">
        <is>
          <t>Não</t>
        </is>
      </c>
      <c r="R56" s="4" t="inlineStr">
        <is>
          <t>API interna</t>
        </is>
      </c>
      <c r="S56" s="4" t="n">
        <v>1</v>
      </c>
      <c r="T56" s="4" t="inlineStr">
        <is>
          <t>Não</t>
        </is>
      </c>
      <c r="U56" s="4" t="inlineStr">
        <is>
          <t>Sim</t>
        </is>
      </c>
      <c r="V56" s="4" t="inlineStr">
        <is>
          <t>Não</t>
        </is>
      </c>
      <c r="W56" s="4" t="inlineStr"/>
    </row>
    <row r="57">
      <c r="A57" s="4" t="inlineStr">
        <is>
          <t>BTG Pactual</t>
        </is>
      </c>
      <c r="B57" s="4" t="inlineStr">
        <is>
          <t>BTG Pactual Reference Tesouro Selic Prev FIRF RL</t>
        </is>
      </c>
      <c r="C57" s="6" t="inlineStr">
        <is>
          <t>55.275.422/0001-61</t>
        </is>
      </c>
      <c r="D57" s="4" t="inlineStr">
        <is>
          <t>BTG PACTUAL ASSET MANAGEMENT S/A DTVM</t>
        </is>
      </c>
      <c r="E57" s="4" t="inlineStr">
        <is>
          <t>29.650.082/0001-00</t>
        </is>
      </c>
      <c r="F57" s="4" t="inlineStr">
        <is>
          <t>BTG PACTUAL SERVICOS FINANCEIROS S.A. DISTRIBUIDOR</t>
        </is>
      </c>
      <c r="G57" s="4" t="inlineStr">
        <is>
          <t>Renda Fixa</t>
        </is>
      </c>
      <c r="H57" s="4" t="inlineStr">
        <is>
          <t>Renda Fixa</t>
        </is>
      </c>
      <c r="I57" s="7" t="n">
        <v>1000</v>
      </c>
      <c r="J57" s="8" t="n">
        <v>0.2</v>
      </c>
      <c r="K57" s="8" t="n"/>
      <c r="L57" s="4" t="inlineStr"/>
      <c r="M57" s="5" t="n">
        <v>0</v>
      </c>
      <c r="N57" s="5" t="n">
        <v>1</v>
      </c>
      <c r="O57" s="5" t="n"/>
      <c r="P57" s="4" t="inlineStr">
        <is>
          <t>Curto Prazo</t>
        </is>
      </c>
      <c r="Q57" s="4" t="inlineStr">
        <is>
          <t>Não</t>
        </is>
      </c>
      <c r="R57" s="4" t="inlineStr">
        <is>
          <t>API interna</t>
        </is>
      </c>
      <c r="S57" s="4" t="n">
        <v>1</v>
      </c>
      <c r="T57" s="4" t="inlineStr">
        <is>
          <t>Não</t>
        </is>
      </c>
      <c r="U57" s="4" t="inlineStr">
        <is>
          <t>Sim</t>
        </is>
      </c>
      <c r="V57" s="4" t="inlineStr">
        <is>
          <t>Não</t>
        </is>
      </c>
      <c r="W57" s="4" t="inlineStr"/>
    </row>
    <row r="58">
      <c r="A58" s="4" t="inlineStr">
        <is>
          <t>BTG Pactual</t>
        </is>
      </c>
      <c r="B58" s="4" t="inlineStr">
        <is>
          <t>BTG Pactual Synergy Equity Hedge Prev FIE FIM RL</t>
        </is>
      </c>
      <c r="C58" s="6" t="inlineStr">
        <is>
          <t>57.997.804/0001-24</t>
        </is>
      </c>
      <c r="D58" s="4" t="inlineStr">
        <is>
          <t>BTG PACTUAL ASSET MANAGEMENT S/A DTVM</t>
        </is>
      </c>
      <c r="E58" s="4" t="inlineStr">
        <is>
          <t>29.650.082/0001-00</t>
        </is>
      </c>
      <c r="F58" s="4" t="inlineStr">
        <is>
          <t>BTG PACTUAL SERVICOS FINANCEIROS S.A. DISTRIBUIDOR</t>
        </is>
      </c>
      <c r="G58" s="4" t="inlineStr">
        <is>
          <t>Multimercado</t>
        </is>
      </c>
      <c r="H58" s="4" t="inlineStr">
        <is>
          <t>Renda Variável</t>
        </is>
      </c>
      <c r="I58" s="7" t="n">
        <v>0</v>
      </c>
      <c r="J58" s="8" t="n"/>
      <c r="K58" s="8" t="n">
        <v>20</v>
      </c>
      <c r="L58" s="4" t="inlineStr">
        <is>
          <t>-</t>
        </is>
      </c>
      <c r="M58" s="5" t="n">
        <v>30</v>
      </c>
      <c r="N58" s="5" t="n">
        <v>32</v>
      </c>
      <c r="O58" s="5" t="n"/>
      <c r="P58" s="4" t="inlineStr">
        <is>
          <t>Curto Prazo</t>
        </is>
      </c>
      <c r="Q58" s="4" t="inlineStr">
        <is>
          <t>Não</t>
        </is>
      </c>
      <c r="R58" s="4" t="inlineStr">
        <is>
          <t>API interna</t>
        </is>
      </c>
      <c r="S58" s="4" t="n">
        <v>1</v>
      </c>
      <c r="T58" s="4" t="inlineStr">
        <is>
          <t>Não</t>
        </is>
      </c>
      <c r="U58" s="4" t="inlineStr">
        <is>
          <t>Sim</t>
        </is>
      </c>
      <c r="V58" s="4" t="inlineStr">
        <is>
          <t>Não</t>
        </is>
      </c>
      <c r="W58" s="4" t="inlineStr"/>
    </row>
    <row r="59">
      <c r="A59" s="4" t="inlineStr">
        <is>
          <t>BTG Pactual</t>
        </is>
      </c>
      <c r="B59" s="4" t="inlineStr">
        <is>
          <t>BTG Pactual Synergy Long Only Prev FIE FIA RL</t>
        </is>
      </c>
      <c r="C59" s="6" t="inlineStr">
        <is>
          <t>57.998.092/0001-68</t>
        </is>
      </c>
      <c r="D59" s="4" t="inlineStr">
        <is>
          <t>BTG PACTUAL ASSET MANAGEMENT S/A DTVM</t>
        </is>
      </c>
      <c r="E59" s="4" t="inlineStr">
        <is>
          <t>29.650.082/0001-00</t>
        </is>
      </c>
      <c r="F59" s="4" t="inlineStr">
        <is>
          <t>BTG PACTUAL SERVICOS FINANCEIROS S.A. DISTRIBUIDOR</t>
        </is>
      </c>
      <c r="G59" s="4" t="inlineStr">
        <is>
          <t>Internacional</t>
        </is>
      </c>
      <c r="H59" s="4" t="inlineStr">
        <is>
          <t>Renda Variável</t>
        </is>
      </c>
      <c r="I59" s="7" t="n">
        <v>0</v>
      </c>
      <c r="J59" s="8" t="n">
        <v>2</v>
      </c>
      <c r="K59" s="8" t="n"/>
      <c r="L59" s="4" t="inlineStr"/>
      <c r="M59" s="5" t="n">
        <v>30</v>
      </c>
      <c r="N59" s="5" t="n">
        <v>32</v>
      </c>
      <c r="O59" s="5" t="n"/>
      <c r="P59" s="4" t="inlineStr">
        <is>
          <t>Curto Prazo</t>
        </is>
      </c>
      <c r="Q59" s="4" t="inlineStr">
        <is>
          <t>Não</t>
        </is>
      </c>
      <c r="R59" s="4" t="inlineStr">
        <is>
          <t>API interna</t>
        </is>
      </c>
      <c r="S59" s="4" t="n">
        <v>1</v>
      </c>
      <c r="T59" s="4" t="inlineStr">
        <is>
          <t>Não</t>
        </is>
      </c>
      <c r="U59" s="4" t="inlineStr">
        <is>
          <t>Sim</t>
        </is>
      </c>
      <c r="V59" s="4" t="inlineStr">
        <is>
          <t>Não</t>
        </is>
      </c>
      <c r="W59" s="4" t="inlineStr"/>
    </row>
    <row r="60">
      <c r="A60" s="4" t="inlineStr">
        <is>
          <t>BTG Pactual</t>
        </is>
      </c>
      <c r="B60" s="4" t="inlineStr">
        <is>
          <t>BTG Pactual Tesouro Ipca Longo Prev FICFIRF de RF RL</t>
        </is>
      </c>
      <c r="C60" s="6" t="inlineStr">
        <is>
          <t>27.762.397/0001-05</t>
        </is>
      </c>
      <c r="D60" s="4" t="inlineStr">
        <is>
          <t>BTG PACTUAL ASSET MANAGEMENT S/A DTVM</t>
        </is>
      </c>
      <c r="E60" s="4" t="inlineStr">
        <is>
          <t>29.650.082/0001-00</t>
        </is>
      </c>
      <c r="F60" s="4" t="inlineStr">
        <is>
          <t>BTG PACTUAL SERVICOS FINANCEIROS S.A. DISTRIBUIDOR</t>
        </is>
      </c>
      <c r="G60" s="4" t="inlineStr">
        <is>
          <t>Renda Fixa</t>
        </is>
      </c>
      <c r="H60" s="4" t="inlineStr">
        <is>
          <t>Renda Fixa</t>
        </is>
      </c>
      <c r="I60" s="7" t="n">
        <v>1000</v>
      </c>
      <c r="J60" s="8" t="n">
        <v>0.75</v>
      </c>
      <c r="K60" s="8" t="n"/>
      <c r="L60" s="4" t="inlineStr"/>
      <c r="M60" s="5" t="n">
        <v>0</v>
      </c>
      <c r="N60" s="5" t="n">
        <v>1</v>
      </c>
      <c r="O60" s="5" t="n"/>
      <c r="P60" s="4" t="inlineStr">
        <is>
          <t>Curto Prazo</t>
        </is>
      </c>
      <c r="Q60" s="4" t="inlineStr">
        <is>
          <t>Não</t>
        </is>
      </c>
      <c r="R60" s="4" t="inlineStr">
        <is>
          <t>API interna</t>
        </is>
      </c>
      <c r="S60" s="4" t="n">
        <v>1</v>
      </c>
      <c r="T60" s="4" t="inlineStr">
        <is>
          <t>Não</t>
        </is>
      </c>
      <c r="U60" s="4" t="inlineStr">
        <is>
          <t>Sim</t>
        </is>
      </c>
      <c r="V60" s="4" t="inlineStr">
        <is>
          <t>Não</t>
        </is>
      </c>
      <c r="W60" s="4" t="inlineStr"/>
    </row>
    <row r="61">
      <c r="A61" s="4" t="inlineStr">
        <is>
          <t>BTG Pactual</t>
        </is>
      </c>
      <c r="B61" s="4" t="inlineStr">
        <is>
          <t>BTG Pactual Tesouro Selic Prev FIRF Ref. DI RL</t>
        </is>
      </c>
      <c r="C61" s="6" t="inlineStr">
        <is>
          <t>29.078.039/0001-03</t>
        </is>
      </c>
      <c r="D61" s="4" t="inlineStr">
        <is>
          <t>BTG PACTUAL ASSET MANAGEMENT S/A DTVM</t>
        </is>
      </c>
      <c r="E61" s="4" t="inlineStr">
        <is>
          <t>29.650.082/0001-00</t>
        </is>
      </c>
      <c r="F61" s="4" t="inlineStr">
        <is>
          <t>BTG PACTUAL SERVICOS FINANCEIROS S.A. DISTRIBUIDOR</t>
        </is>
      </c>
      <c r="G61" s="4" t="inlineStr">
        <is>
          <t>Renda Fixa</t>
        </is>
      </c>
      <c r="H61" s="4" t="inlineStr">
        <is>
          <t>Renda Fixa</t>
        </is>
      </c>
      <c r="I61" s="7" t="n">
        <v>1000</v>
      </c>
      <c r="J61" s="8" t="n">
        <v>0</v>
      </c>
      <c r="K61" s="8" t="n"/>
      <c r="L61" s="4" t="inlineStr"/>
      <c r="M61" s="5" t="n">
        <v>0</v>
      </c>
      <c r="N61" s="5" t="n">
        <v>1</v>
      </c>
      <c r="O61" s="5" t="n"/>
      <c r="P61" s="4" t="inlineStr">
        <is>
          <t>Curto Prazo</t>
        </is>
      </c>
      <c r="Q61" s="4" t="inlineStr">
        <is>
          <t>Não</t>
        </is>
      </c>
      <c r="R61" s="4" t="inlineStr">
        <is>
          <t>API interna</t>
        </is>
      </c>
      <c r="S61" s="4" t="n">
        <v>1</v>
      </c>
      <c r="T61" s="4" t="inlineStr">
        <is>
          <t>Não</t>
        </is>
      </c>
      <c r="U61" s="4" t="inlineStr">
        <is>
          <t>Sim</t>
        </is>
      </c>
      <c r="V61" s="4" t="inlineStr">
        <is>
          <t>Não</t>
        </is>
      </c>
      <c r="W61" s="4" t="inlineStr"/>
    </row>
    <row r="62">
      <c r="A62" s="4" t="inlineStr">
        <is>
          <t>BTG Pactual</t>
        </is>
      </c>
      <c r="B62" s="4" t="inlineStr">
        <is>
          <t>BTG Pactual Total Prev FICFIM RL</t>
        </is>
      </c>
      <c r="C62" s="6" t="inlineStr">
        <is>
          <t>50.875.410/0001-54</t>
        </is>
      </c>
      <c r="D62" s="4" t="inlineStr">
        <is>
          <t>BTG PACTUAL ASSET MANAGEMENT S/A DTVM</t>
        </is>
      </c>
      <c r="E62" s="4" t="inlineStr">
        <is>
          <t>29.650.082/0001-00</t>
        </is>
      </c>
      <c r="F62" s="4" t="inlineStr">
        <is>
          <t>BTG PACTUAL SERVICOS FINANCEIROS S.A. DISTRIBUIDOR</t>
        </is>
      </c>
      <c r="G62" s="4" t="inlineStr">
        <is>
          <t>Multimercado</t>
        </is>
      </c>
      <c r="H62" s="4" t="inlineStr">
        <is>
          <t>Multimercado</t>
        </is>
      </c>
      <c r="I62" s="7" t="n">
        <v>1000</v>
      </c>
      <c r="J62" s="8" t="n">
        <v>2</v>
      </c>
      <c r="K62" s="8" t="n">
        <v>20</v>
      </c>
      <c r="L62" s="4" t="inlineStr">
        <is>
          <t>CDI</t>
        </is>
      </c>
      <c r="M62" s="5" t="n">
        <v>7</v>
      </c>
      <c r="N62" s="5" t="n">
        <v>9</v>
      </c>
      <c r="O62" s="5" t="n"/>
      <c r="P62" s="4" t="inlineStr">
        <is>
          <t>Curto Prazo</t>
        </is>
      </c>
      <c r="Q62" s="4" t="inlineStr">
        <is>
          <t>Não</t>
        </is>
      </c>
      <c r="R62" s="4" t="inlineStr">
        <is>
          <t>API interna</t>
        </is>
      </c>
      <c r="S62" s="4" t="n">
        <v>1</v>
      </c>
      <c r="T62" s="4" t="inlineStr">
        <is>
          <t>Não</t>
        </is>
      </c>
      <c r="U62" s="4" t="inlineStr">
        <is>
          <t>Sim</t>
        </is>
      </c>
      <c r="V62" s="4" t="inlineStr">
        <is>
          <t>Não</t>
        </is>
      </c>
      <c r="W62" s="4" t="inlineStr"/>
    </row>
    <row r="63">
      <c r="A63" s="4" t="inlineStr">
        <is>
          <t>BTG Pactual</t>
        </is>
      </c>
      <c r="B63" s="4" t="inlineStr">
        <is>
          <t>BTG Pactual Yield Prev FICFIM CrPr RL</t>
        </is>
      </c>
      <c r="C63" s="6" t="inlineStr">
        <is>
          <t>20.997.959/0001-50</t>
        </is>
      </c>
      <c r="D63" s="4" t="inlineStr">
        <is>
          <t>BTG PACTUAL ASSET MANAGEMENT S/A DTVM</t>
        </is>
      </c>
      <c r="E63" s="4" t="inlineStr">
        <is>
          <t>29.650.082/0001-00</t>
        </is>
      </c>
      <c r="F63" s="4" t="inlineStr">
        <is>
          <t>BTG PACTUAL SERVICOS FINANCEIROS S.A. DISTRIBUIDOR</t>
        </is>
      </c>
      <c r="G63" s="4" t="inlineStr">
        <is>
          <t>Multimercado</t>
        </is>
      </c>
      <c r="H63" s="4" t="inlineStr">
        <is>
          <t>Renda Fixa</t>
        </is>
      </c>
      <c r="I63" s="7" t="n">
        <v>1000</v>
      </c>
      <c r="J63" s="8" t="n">
        <v>0.55</v>
      </c>
      <c r="K63" s="8" t="n"/>
      <c r="L63" s="4" t="inlineStr"/>
      <c r="M63" s="5" t="n">
        <v>0</v>
      </c>
      <c r="N63" s="5" t="n">
        <v>1</v>
      </c>
      <c r="O63" s="5" t="n"/>
      <c r="P63" s="4" t="inlineStr">
        <is>
          <t>Curto Prazo</t>
        </is>
      </c>
      <c r="Q63" s="4" t="inlineStr">
        <is>
          <t>Não</t>
        </is>
      </c>
      <c r="R63" s="4" t="inlineStr">
        <is>
          <t>API interna</t>
        </is>
      </c>
      <c r="S63" s="4" t="n">
        <v>1</v>
      </c>
      <c r="T63" s="4" t="inlineStr">
        <is>
          <t>Não</t>
        </is>
      </c>
      <c r="U63" s="4" t="inlineStr">
        <is>
          <t>Sim</t>
        </is>
      </c>
      <c r="V63" s="4" t="inlineStr">
        <is>
          <t>Não</t>
        </is>
      </c>
      <c r="W63" s="4" t="inlineStr"/>
    </row>
    <row r="64">
      <c r="A64" s="4" t="inlineStr">
        <is>
          <t>BTG Pactual</t>
        </is>
      </c>
      <c r="B64" s="4" t="inlineStr">
        <is>
          <t>Bradesco Maple Valor Prev FIC FIA Access</t>
        </is>
      </c>
      <c r="C64" s="6" t="inlineStr">
        <is>
          <t>66.220.281/0001-04</t>
        </is>
      </c>
      <c r="D64" s="4" t="inlineStr">
        <is>
          <t>BTG PACTUAL GESTÃO E CONSULTORIA DE INVESTIMENTOS LTDA</t>
        </is>
      </c>
      <c r="E64" s="4" t="inlineStr">
        <is>
          <t>12.695.840/0001-03</t>
        </is>
      </c>
      <c r="F64" s="4" t="inlineStr">
        <is>
          <t>BTG PACTUAL SERVICOS FINANCEIROS S.A. DISTRIBUIDOR</t>
        </is>
      </c>
      <c r="G64" s="4" t="inlineStr">
        <is>
          <t>Ações</t>
        </is>
      </c>
      <c r="H64" s="4" t="inlineStr">
        <is>
          <t>Renda Variável</t>
        </is>
      </c>
      <c r="I64" s="7" t="n">
        <v>0</v>
      </c>
      <c r="J64" s="8" t="n">
        <v>1.5</v>
      </c>
      <c r="K64" s="8" t="n">
        <v>20</v>
      </c>
      <c r="L64" s="4" t="inlineStr">
        <is>
          <t>-</t>
        </is>
      </c>
      <c r="M64" s="5" t="n">
        <v>3</v>
      </c>
      <c r="N64" s="5" t="n">
        <v>5</v>
      </c>
      <c r="O64" s="5" t="n"/>
      <c r="P64" s="4" t="inlineStr">
        <is>
          <t>Curto Prazo</t>
        </is>
      </c>
      <c r="Q64" s="4" t="inlineStr">
        <is>
          <t>Não</t>
        </is>
      </c>
      <c r="R64" s="4" t="inlineStr">
        <is>
          <t>API interna</t>
        </is>
      </c>
      <c r="S64" s="4" t="n">
        <v>1</v>
      </c>
      <c r="T64" s="4" t="inlineStr">
        <is>
          <t>Não</t>
        </is>
      </c>
      <c r="U64" s="4" t="inlineStr">
        <is>
          <t>Sim</t>
        </is>
      </c>
      <c r="V64" s="4" t="inlineStr">
        <is>
          <t>Não</t>
        </is>
      </c>
      <c r="W64" s="4" t="inlineStr"/>
    </row>
    <row r="65">
      <c r="A65" s="4" t="inlineStr">
        <is>
          <t>BTG Pactual</t>
        </is>
      </c>
      <c r="B65" s="4" t="inlineStr">
        <is>
          <t>Bradesco Ultra Prev Access FICFIRF CrPr RL</t>
        </is>
      </c>
      <c r="C65" s="6" t="inlineStr">
        <is>
          <t>47.564.878/0001-13</t>
        </is>
      </c>
      <c r="D65" s="4" t="inlineStr">
        <is>
          <t>BTG PACTUAL GESTÃO E CONSULTORIA DE INVESTIMENTOS LTDA</t>
        </is>
      </c>
      <c r="E65" s="4" t="inlineStr">
        <is>
          <t>12.695.840/0001-03</t>
        </is>
      </c>
      <c r="F65" s="4" t="inlineStr">
        <is>
          <t>BTG PACTUAL SERVICOS FINANCEIROS S.A. DISTRIBUIDOR</t>
        </is>
      </c>
      <c r="G65" s="4" t="inlineStr">
        <is>
          <t>Renda Fixa</t>
        </is>
      </c>
      <c r="H65" s="4" t="inlineStr">
        <is>
          <t>Renda Fixa</t>
        </is>
      </c>
      <c r="I65" s="7" t="n">
        <v>1000</v>
      </c>
      <c r="J65" s="8" t="n"/>
      <c r="K65" s="8" t="n">
        <v>6</v>
      </c>
      <c r="L65" s="4" t="inlineStr">
        <is>
          <t>CDI</t>
        </is>
      </c>
      <c r="M65" s="5" t="n">
        <v>5</v>
      </c>
      <c r="N65" s="5" t="n">
        <v>6</v>
      </c>
      <c r="O65" s="5" t="n"/>
      <c r="P65" s="4" t="inlineStr">
        <is>
          <t>Curto Prazo</t>
        </is>
      </c>
      <c r="Q65" s="4" t="inlineStr">
        <is>
          <t>Não</t>
        </is>
      </c>
      <c r="R65" s="4" t="inlineStr">
        <is>
          <t>API interna</t>
        </is>
      </c>
      <c r="S65" s="4" t="n">
        <v>1</v>
      </c>
      <c r="T65" s="4" t="inlineStr">
        <is>
          <t>Não</t>
        </is>
      </c>
      <c r="U65" s="4" t="inlineStr">
        <is>
          <t>Sim</t>
        </is>
      </c>
      <c r="V65" s="4" t="inlineStr">
        <is>
          <t>Não</t>
        </is>
      </c>
      <c r="W65" s="4" t="inlineStr"/>
    </row>
    <row r="66">
      <c r="A66" s="4" t="inlineStr">
        <is>
          <t>BTG Pactual</t>
        </is>
      </c>
      <c r="B66" s="4" t="inlineStr">
        <is>
          <t>Brasil Capital 100 B Prev FICFIA RL</t>
        </is>
      </c>
      <c r="C66" s="6" t="inlineStr">
        <is>
          <t>38.015.734/0001-17</t>
        </is>
      </c>
      <c r="D66" s="4" t="inlineStr">
        <is>
          <t>BC GESTÃO DE RECURSOS LTDA</t>
        </is>
      </c>
      <c r="E66" s="4" t="inlineStr">
        <is>
          <t>08.752.088/0001-00</t>
        </is>
      </c>
      <c r="F66" s="4" t="inlineStr">
        <is>
          <t>BNY MELLON SERVICOS FINANCEIROS DTVM S/A</t>
        </is>
      </c>
      <c r="G66" s="4" t="inlineStr">
        <is>
          <t>Ações</t>
        </is>
      </c>
      <c r="H66" s="4" t="inlineStr">
        <is>
          <t>Renda Variável</t>
        </is>
      </c>
      <c r="I66" s="7" t="n">
        <v>1000</v>
      </c>
      <c r="J66" s="8" t="n">
        <v>2</v>
      </c>
      <c r="K66" s="8" t="n">
        <v>20</v>
      </c>
      <c r="L66" s="4" t="inlineStr">
        <is>
          <t>IBOVESPA</t>
        </is>
      </c>
      <c r="M66" s="5" t="n">
        <v>22</v>
      </c>
      <c r="N66" s="5" t="n">
        <v>24</v>
      </c>
      <c r="O66" s="5" t="n"/>
      <c r="P66" s="4" t="inlineStr">
        <is>
          <t>Longo Prazo</t>
        </is>
      </c>
      <c r="Q66" s="4" t="inlineStr">
        <is>
          <t>Não</t>
        </is>
      </c>
      <c r="R66" s="4" t="inlineStr">
        <is>
          <t>API interna</t>
        </is>
      </c>
      <c r="S66" s="4" t="n">
        <v>1</v>
      </c>
      <c r="T66" s="4" t="inlineStr">
        <is>
          <t>Não</t>
        </is>
      </c>
      <c r="U66" s="4" t="inlineStr">
        <is>
          <t>Sim</t>
        </is>
      </c>
      <c r="V66" s="4" t="inlineStr">
        <is>
          <t>Não</t>
        </is>
      </c>
      <c r="W66" s="4" t="inlineStr"/>
    </row>
    <row r="67">
      <c r="A67" s="4" t="inlineStr">
        <is>
          <t>BTG Pactual</t>
        </is>
      </c>
      <c r="B67" s="4" t="inlineStr">
        <is>
          <t>Brasil Plural Cred Corp Icatu Prev FICFIRF CrPr RL</t>
        </is>
      </c>
      <c r="C67" s="6" t="inlineStr">
        <is>
          <t>23.263.359/0001-57</t>
        </is>
      </c>
      <c r="D67" s="4" t="inlineStr">
        <is>
          <t>PLURAL GESTÃO DE RECURSOS LTDA</t>
        </is>
      </c>
      <c r="E67" s="4" t="inlineStr">
        <is>
          <t>11.397.672/0002-80</t>
        </is>
      </c>
      <c r="F67" s="4" t="inlineStr">
        <is>
          <t>BNY MELLON SERVICOS FINANCEIROS DTVM S/A</t>
        </is>
      </c>
      <c r="G67" s="4" t="inlineStr">
        <is>
          <t>Renda Fixa</t>
        </is>
      </c>
      <c r="H67" s="4" t="inlineStr">
        <is>
          <t>Renda Fixa</t>
        </is>
      </c>
      <c r="I67" s="7" t="n">
        <v>3000</v>
      </c>
      <c r="J67" s="8" t="n">
        <v>0.8</v>
      </c>
      <c r="K67" s="8" t="n"/>
      <c r="L67" s="4" t="inlineStr"/>
      <c r="M67" s="5" t="n">
        <v>3</v>
      </c>
      <c r="N67" s="5" t="n">
        <v>4</v>
      </c>
      <c r="O67" s="5" t="n"/>
      <c r="P67" s="4" t="inlineStr">
        <is>
          <t>Longo Prazo</t>
        </is>
      </c>
      <c r="Q67" s="4" t="inlineStr">
        <is>
          <t>Não</t>
        </is>
      </c>
      <c r="R67" s="4" t="inlineStr">
        <is>
          <t>API interna</t>
        </is>
      </c>
      <c r="S67" s="4" t="n">
        <v>1</v>
      </c>
      <c r="T67" s="4" t="inlineStr">
        <is>
          <t>Não</t>
        </is>
      </c>
      <c r="U67" s="4" t="inlineStr">
        <is>
          <t>Sim</t>
        </is>
      </c>
      <c r="V67" s="4" t="inlineStr">
        <is>
          <t>Não</t>
        </is>
      </c>
      <c r="W67" s="4" t="inlineStr"/>
    </row>
    <row r="68">
      <c r="A68" s="4" t="inlineStr">
        <is>
          <t>BTG Pactual</t>
        </is>
      </c>
      <c r="B68" s="4" t="inlineStr">
        <is>
          <t>Btgp Multi Acoes 100 Prev Fundo de Invstimento em Cotas de FICFIA RL</t>
        </is>
      </c>
      <c r="C68" s="6" t="inlineStr">
        <is>
          <t>37.320.765/0001-19</t>
        </is>
      </c>
      <c r="D68" s="4" t="inlineStr">
        <is>
          <t>BTG PACTUAL GESTÃO E CONSULTORIA DE INVESTIMENTOS LTDA</t>
        </is>
      </c>
      <c r="E68" s="4" t="inlineStr">
        <is>
          <t>12.695.840/0001-03</t>
        </is>
      </c>
      <c r="F68" s="4" t="inlineStr">
        <is>
          <t>BTG PACTUAL SERVICOS FINANCEIROS S.A. DISTRIBUIDOR</t>
        </is>
      </c>
      <c r="G68" s="4" t="inlineStr">
        <is>
          <t>Ações</t>
        </is>
      </c>
      <c r="H68" s="4" t="inlineStr">
        <is>
          <t>Renda Variável</t>
        </is>
      </c>
      <c r="I68" s="7" t="n">
        <v>1000</v>
      </c>
      <c r="J68" s="8" t="n">
        <v>0.5</v>
      </c>
      <c r="K68" s="8" t="n">
        <v>10</v>
      </c>
      <c r="L68" s="4" t="inlineStr">
        <is>
          <t>IPCA</t>
        </is>
      </c>
      <c r="M68" s="5" t="n">
        <v>60</v>
      </c>
      <c r="N68" s="5" t="n">
        <v>62</v>
      </c>
      <c r="O68" s="5" t="n"/>
      <c r="P68" s="4" t="inlineStr">
        <is>
          <t>Curto Prazo</t>
        </is>
      </c>
      <c r="Q68" s="4" t="inlineStr">
        <is>
          <t>Não</t>
        </is>
      </c>
      <c r="R68" s="4" t="inlineStr">
        <is>
          <t>API interna</t>
        </is>
      </c>
      <c r="S68" s="4" t="n">
        <v>1</v>
      </c>
      <c r="T68" s="4" t="inlineStr">
        <is>
          <t>Não</t>
        </is>
      </c>
      <c r="U68" s="4" t="inlineStr">
        <is>
          <t>Sim</t>
        </is>
      </c>
      <c r="V68" s="4" t="inlineStr">
        <is>
          <t>Não</t>
        </is>
      </c>
      <c r="W68" s="4" t="inlineStr"/>
    </row>
    <row r="69">
      <c r="A69" s="4" t="inlineStr">
        <is>
          <t>BTG Pactual</t>
        </is>
      </c>
      <c r="B69" s="4" t="inlineStr">
        <is>
          <t>Btgp Multigestor Total Return Prev FICFIM CrPr RL</t>
        </is>
      </c>
      <c r="C69" s="6" t="inlineStr">
        <is>
          <t>41.884.249/0001-94</t>
        </is>
      </c>
      <c r="D69" s="4" t="inlineStr">
        <is>
          <t>BTG PACTUAL GESTÃO E CONSULTORIA DE INVESTIMENTOS LTDA</t>
        </is>
      </c>
      <c r="E69" s="4" t="inlineStr">
        <is>
          <t>12.695.840/0001-03</t>
        </is>
      </c>
      <c r="F69" s="4" t="inlineStr">
        <is>
          <t>BTG PACTUAL SERVICOS FINANCEIROS S.A. DISTRIBUIDOR</t>
        </is>
      </c>
      <c r="G69" s="4" t="inlineStr">
        <is>
          <t>Multimercado</t>
        </is>
      </c>
      <c r="H69" s="4" t="inlineStr">
        <is>
          <t>Multimercado</t>
        </is>
      </c>
      <c r="I69" s="7" t="n">
        <v>10000</v>
      </c>
      <c r="J69" s="8" t="n">
        <v>0.5</v>
      </c>
      <c r="K69" s="8" t="n">
        <v>10</v>
      </c>
      <c r="L69" s="4" t="inlineStr">
        <is>
          <t>CDI</t>
        </is>
      </c>
      <c r="M69" s="5" t="n">
        <v>30</v>
      </c>
      <c r="N69" s="5" t="n">
        <v>31</v>
      </c>
      <c r="O69" s="5" t="n"/>
      <c r="P69" s="4" t="inlineStr">
        <is>
          <t>Curto Prazo</t>
        </is>
      </c>
      <c r="Q69" s="4" t="inlineStr">
        <is>
          <t>Não</t>
        </is>
      </c>
      <c r="R69" s="4" t="inlineStr">
        <is>
          <t>API interna</t>
        </is>
      </c>
      <c r="S69" s="4" t="n">
        <v>1</v>
      </c>
      <c r="T69" s="4" t="inlineStr">
        <is>
          <t>Não</t>
        </is>
      </c>
      <c r="U69" s="4" t="inlineStr">
        <is>
          <t>Sim</t>
        </is>
      </c>
      <c r="V69" s="4" t="inlineStr">
        <is>
          <t>Não</t>
        </is>
      </c>
      <c r="W69" s="4" t="inlineStr"/>
    </row>
    <row r="70">
      <c r="A70" s="4" t="inlineStr">
        <is>
          <t>BTG Pactual</t>
        </is>
      </c>
      <c r="B70" s="4" t="inlineStr">
        <is>
          <t>Butia Excellence Prev FICFIM RL</t>
        </is>
      </c>
      <c r="C70" s="6" t="inlineStr">
        <is>
          <t>28.819.628/0001-32</t>
        </is>
      </c>
      <c r="D70" s="4" t="inlineStr">
        <is>
          <t>BUTIÁ GESTÃO DE INVESTIMENTOS LTDA.</t>
        </is>
      </c>
      <c r="E70" s="4" t="inlineStr">
        <is>
          <t>22.899.452/0001-90</t>
        </is>
      </c>
      <c r="F70" s="4" t="inlineStr">
        <is>
          <t>BTG PACTUAL SERVICOS FINANCEIROS S.A. DISTRIBUIDOR</t>
        </is>
      </c>
      <c r="G70" s="4" t="inlineStr">
        <is>
          <t>Multimercado</t>
        </is>
      </c>
      <c r="H70" s="4" t="inlineStr">
        <is>
          <t>Alocação</t>
        </is>
      </c>
      <c r="I70" s="7" t="n">
        <v>0</v>
      </c>
      <c r="J70" s="8" t="n"/>
      <c r="K70" s="8" t="n"/>
      <c r="L70" s="4" t="inlineStr"/>
      <c r="M70" s="5" t="n">
        <v>0</v>
      </c>
      <c r="N70" s="5" t="n">
        <v>3</v>
      </c>
      <c r="O70" s="5" t="n"/>
      <c r="P70" s="4" t="inlineStr">
        <is>
          <t>Curto Prazo</t>
        </is>
      </c>
      <c r="Q70" s="4" t="inlineStr">
        <is>
          <t>Não</t>
        </is>
      </c>
      <c r="R70" s="4" t="inlineStr">
        <is>
          <t>API interna</t>
        </is>
      </c>
      <c r="S70" s="4" t="n">
        <v>1</v>
      </c>
      <c r="T70" s="4" t="inlineStr">
        <is>
          <t>Não</t>
        </is>
      </c>
      <c r="U70" s="4" t="inlineStr">
        <is>
          <t>Sim</t>
        </is>
      </c>
      <c r="V70" s="4" t="inlineStr">
        <is>
          <t>Não</t>
        </is>
      </c>
      <c r="W70" s="4" t="inlineStr"/>
    </row>
    <row r="71">
      <c r="A71" s="4" t="inlineStr">
        <is>
          <t>BTG Pactual</t>
        </is>
      </c>
      <c r="B71" s="4" t="inlineStr">
        <is>
          <t>Butia TOP Icatu SEG Prev FIRF CrPr RL</t>
        </is>
      </c>
      <c r="C71" s="6" t="inlineStr">
        <is>
          <t>30.507.510/0001-10</t>
        </is>
      </c>
      <c r="D71" s="4" t="inlineStr">
        <is>
          <t>BUTIÁ GESTÃO DE INVESTIMENTOS LTDA.</t>
        </is>
      </c>
      <c r="E71" s="4" t="inlineStr">
        <is>
          <t>22.899.452/0001-90</t>
        </is>
      </c>
      <c r="F71" s="4" t="inlineStr">
        <is>
          <t>BEM DISTRIBUIDORA DE TITULOS E VALORES MOBILIARIOS</t>
        </is>
      </c>
      <c r="G71" s="4" t="inlineStr">
        <is>
          <t>Renda Fixa</t>
        </is>
      </c>
      <c r="H71" s="4" t="inlineStr">
        <is>
          <t>Renda Fixa</t>
        </is>
      </c>
      <c r="I71" s="7" t="n">
        <v>3000</v>
      </c>
      <c r="J71" s="8" t="n">
        <v>0.5</v>
      </c>
      <c r="K71" s="8" t="n"/>
      <c r="L71" s="4" t="inlineStr"/>
      <c r="M71" s="5" t="n">
        <v>5</v>
      </c>
      <c r="N71" s="5" t="n">
        <v>7</v>
      </c>
      <c r="O71" s="5" t="n"/>
      <c r="P71" s="4" t="inlineStr">
        <is>
          <t>Longo Prazo</t>
        </is>
      </c>
      <c r="Q71" s="4" t="inlineStr">
        <is>
          <t>Não</t>
        </is>
      </c>
      <c r="R71" s="4" t="inlineStr">
        <is>
          <t>API interna</t>
        </is>
      </c>
      <c r="S71" s="4" t="n">
        <v>1</v>
      </c>
      <c r="T71" s="4" t="inlineStr">
        <is>
          <t>Não</t>
        </is>
      </c>
      <c r="U71" s="4" t="inlineStr">
        <is>
          <t>Sim</t>
        </is>
      </c>
      <c r="V71" s="4" t="inlineStr">
        <is>
          <t>Não</t>
        </is>
      </c>
      <c r="W71" s="4" t="inlineStr"/>
    </row>
    <row r="72">
      <c r="A72" s="4" t="inlineStr">
        <is>
          <t>BTG Pactual</t>
        </is>
      </c>
      <c r="B72" s="4" t="inlineStr">
        <is>
          <t>Canvas Icatu Prev FICFIM Prev RL</t>
        </is>
      </c>
      <c r="C72" s="6" t="inlineStr">
        <is>
          <t>24.405.282/0001-75</t>
        </is>
      </c>
      <c r="D72" s="4" t="inlineStr">
        <is>
          <t>CANVAS CAPITAL S.A.</t>
        </is>
      </c>
      <c r="E72" s="4" t="inlineStr">
        <is>
          <t>15.377.863/0001-50</t>
        </is>
      </c>
      <c r="F72" s="4" t="inlineStr">
        <is>
          <t>INTRAG DISTR DE TITULOS EVALORES MOBILIARIOS LTDA</t>
        </is>
      </c>
      <c r="G72" s="4" t="inlineStr">
        <is>
          <t>Multimercado</t>
        </is>
      </c>
      <c r="H72" s="4" t="inlineStr">
        <is>
          <t>Multimercado</t>
        </is>
      </c>
      <c r="I72" s="7" t="n">
        <v>1500</v>
      </c>
      <c r="J72" s="8" t="n">
        <v>2</v>
      </c>
      <c r="K72" s="8" t="n"/>
      <c r="L72" s="4" t="inlineStr"/>
      <c r="M72" s="5" t="n">
        <v>0</v>
      </c>
      <c r="N72" s="5" t="n">
        <v>3</v>
      </c>
      <c r="O72" s="5" t="n"/>
      <c r="P72" s="4" t="inlineStr">
        <is>
          <t>Não Aplicável</t>
        </is>
      </c>
      <c r="Q72" s="4" t="inlineStr">
        <is>
          <t>Não</t>
        </is>
      </c>
      <c r="R72" s="4" t="inlineStr">
        <is>
          <t>API interna</t>
        </is>
      </c>
      <c r="S72" s="4" t="n">
        <v>1</v>
      </c>
      <c r="T72" s="4" t="inlineStr">
        <is>
          <t>Não</t>
        </is>
      </c>
      <c r="U72" s="4" t="inlineStr">
        <is>
          <t>Sim</t>
        </is>
      </c>
      <c r="V72" s="4" t="inlineStr">
        <is>
          <t>Não</t>
        </is>
      </c>
      <c r="W72" s="4" t="inlineStr"/>
    </row>
    <row r="73">
      <c r="A73" s="4" t="inlineStr">
        <is>
          <t>BTG Pactual</t>
        </is>
      </c>
      <c r="B73" s="4" t="inlineStr">
        <is>
          <t>Capitania Prev BP FIRF CrPr RL</t>
        </is>
      </c>
      <c r="C73" s="6" t="inlineStr">
        <is>
          <t>34.270.943/0001-56</t>
        </is>
      </c>
      <c r="D73" s="4" t="inlineStr">
        <is>
          <t>CAPITANIA PREV S.A.</t>
        </is>
      </c>
      <c r="E73" s="4" t="inlineStr">
        <is>
          <t>41.777.833/0001-40</t>
        </is>
      </c>
      <c r="F73" s="4" t="inlineStr">
        <is>
          <t>BTG PACTUAL SERVICOS FINANCEIROS S.A. DISTRIBUIDOR</t>
        </is>
      </c>
      <c r="G73" s="4" t="inlineStr">
        <is>
          <t>Renda Fixa</t>
        </is>
      </c>
      <c r="H73" s="4" t="inlineStr">
        <is>
          <t>Renda Fixa</t>
        </is>
      </c>
      <c r="I73" s="7" t="n">
        <v>0</v>
      </c>
      <c r="J73" s="8" t="n"/>
      <c r="K73" s="8" t="n"/>
      <c r="L73" s="4" t="inlineStr"/>
      <c r="M73" s="5" t="n">
        <v>5</v>
      </c>
      <c r="N73" s="5" t="n">
        <v>6</v>
      </c>
      <c r="O73" s="5" t="n"/>
      <c r="P73" s="4" t="inlineStr">
        <is>
          <t>Curto Prazo</t>
        </is>
      </c>
      <c r="Q73" s="4" t="inlineStr">
        <is>
          <t>Não</t>
        </is>
      </c>
      <c r="R73" s="4" t="inlineStr">
        <is>
          <t>API interna</t>
        </is>
      </c>
      <c r="S73" s="4" t="n">
        <v>1</v>
      </c>
      <c r="T73" s="4" t="inlineStr">
        <is>
          <t>Não</t>
        </is>
      </c>
      <c r="U73" s="4" t="inlineStr">
        <is>
          <t>Sim</t>
        </is>
      </c>
      <c r="V73" s="4" t="inlineStr">
        <is>
          <t>Não</t>
        </is>
      </c>
      <c r="W73" s="4" t="inlineStr"/>
    </row>
    <row r="74">
      <c r="A74" s="4" t="inlineStr">
        <is>
          <t>BTG Pactual</t>
        </is>
      </c>
      <c r="B74" s="4" t="inlineStr">
        <is>
          <t>Clave Flex Prev FIE I FICFIM Access RL</t>
        </is>
      </c>
      <c r="C74" s="6" t="inlineStr">
        <is>
          <t>54.494.538/0001-29</t>
        </is>
      </c>
      <c r="D74" s="4" t="inlineStr">
        <is>
          <t>BTG PACTUAL GESTÃO E CONSULTORIA DE INVESTIMENTOS LTDA</t>
        </is>
      </c>
      <c r="E74" s="4" t="inlineStr">
        <is>
          <t>12.695.840/0001-03</t>
        </is>
      </c>
      <c r="F74" s="4" t="inlineStr">
        <is>
          <t>BTG PACTUAL SERVICOS FINANCEIROS S.A. DISTRIBUIDOR</t>
        </is>
      </c>
      <c r="G74" s="4" t="inlineStr">
        <is>
          <t>Multimercado</t>
        </is>
      </c>
      <c r="H74" s="4" t="inlineStr">
        <is>
          <t>Multimercado</t>
        </is>
      </c>
      <c r="I74" s="7" t="n">
        <v>0</v>
      </c>
      <c r="J74" s="8" t="n"/>
      <c r="K74" s="8" t="n">
        <v>20</v>
      </c>
      <c r="L74" s="4" t="inlineStr">
        <is>
          <t>-</t>
        </is>
      </c>
      <c r="M74" s="5" t="n">
        <v>22</v>
      </c>
      <c r="N74" s="5" t="n">
        <v>24</v>
      </c>
      <c r="O74" s="5" t="n"/>
      <c r="P74" s="4" t="inlineStr">
        <is>
          <t>Curto Prazo</t>
        </is>
      </c>
      <c r="Q74" s="4" t="inlineStr">
        <is>
          <t>Não</t>
        </is>
      </c>
      <c r="R74" s="4" t="inlineStr">
        <is>
          <t>API interna</t>
        </is>
      </c>
      <c r="S74" s="4" t="n">
        <v>1</v>
      </c>
      <c r="T74" s="4" t="inlineStr">
        <is>
          <t>Não</t>
        </is>
      </c>
      <c r="U74" s="4" t="inlineStr">
        <is>
          <t>Sim</t>
        </is>
      </c>
      <c r="V74" s="4" t="inlineStr">
        <is>
          <t>Não</t>
        </is>
      </c>
      <c r="W74" s="4" t="inlineStr"/>
    </row>
    <row r="75">
      <c r="A75" s="4" t="inlineStr">
        <is>
          <t>BTG Pactual</t>
        </is>
      </c>
      <c r="B75" s="4" t="inlineStr">
        <is>
          <t>Constellation 70 Prev FIM RL</t>
        </is>
      </c>
      <c r="C75" s="6" t="inlineStr">
        <is>
          <t>29.550.612/0001-30</t>
        </is>
      </c>
      <c r="D75" s="4" t="inlineStr">
        <is>
          <t>CONSTELLATION INVESTIMENTOS E PARTICIPAÇÕES LTDA</t>
        </is>
      </c>
      <c r="E75" s="4" t="inlineStr">
        <is>
          <t>06.182.127/0001-55</t>
        </is>
      </c>
      <c r="F75" s="4" t="inlineStr">
        <is>
          <t>BTG PACTUAL SERVICOS FINANCEIROS S.A. DISTRIBUIDOR</t>
        </is>
      </c>
      <c r="G75" s="4" t="inlineStr">
        <is>
          <t>Multimercado</t>
        </is>
      </c>
      <c r="H75" s="4" t="inlineStr">
        <is>
          <t>Renda Variável</t>
        </is>
      </c>
      <c r="I75" s="7" t="n">
        <v>5000</v>
      </c>
      <c r="J75" s="8" t="n"/>
      <c r="K75" s="8" t="n">
        <v>20</v>
      </c>
      <c r="L75" s="4" t="inlineStr">
        <is>
          <t>CDI</t>
        </is>
      </c>
      <c r="M75" s="5" t="n">
        <v>6</v>
      </c>
      <c r="N75" s="5" t="n">
        <v>8</v>
      </c>
      <c r="O75" s="5" t="n"/>
      <c r="P75" s="4" t="inlineStr">
        <is>
          <t>Curto Prazo</t>
        </is>
      </c>
      <c r="Q75" s="4" t="inlineStr">
        <is>
          <t>Não</t>
        </is>
      </c>
      <c r="R75" s="4" t="inlineStr">
        <is>
          <t>API interna</t>
        </is>
      </c>
      <c r="S75" s="4" t="n">
        <v>1</v>
      </c>
      <c r="T75" s="4" t="inlineStr">
        <is>
          <t>Não</t>
        </is>
      </c>
      <c r="U75" s="4" t="inlineStr">
        <is>
          <t>Sim</t>
        </is>
      </c>
      <c r="V75" s="4" t="inlineStr">
        <is>
          <t>Não</t>
        </is>
      </c>
      <c r="W75" s="4" t="inlineStr"/>
    </row>
    <row r="76">
      <c r="A76" s="4" t="inlineStr">
        <is>
          <t>BTG Pactual</t>
        </is>
      </c>
      <c r="B76" s="4" t="inlineStr">
        <is>
          <t>Constellation BP 100 Prev FICFIA</t>
        </is>
      </c>
      <c r="C76" s="6" t="inlineStr">
        <is>
          <t>43.619.032/0001-82</t>
        </is>
      </c>
      <c r="D76" s="4" t="inlineStr">
        <is>
          <t>CONSTELLATION INVESTIMENTOS E PARTICIPAÇÕES LTDA</t>
        </is>
      </c>
      <c r="E76" s="4" t="inlineStr">
        <is>
          <t>06.182.127/0001-55</t>
        </is>
      </c>
      <c r="F76" s="4" t="inlineStr">
        <is>
          <t>BTG PACTUAL SERVICOS FINANCEIROS S.A. DISTRIBUIDOR</t>
        </is>
      </c>
      <c r="G76" s="4" t="inlineStr">
        <is>
          <t>Ações</t>
        </is>
      </c>
      <c r="H76" s="4" t="inlineStr">
        <is>
          <t>Renda Variável</t>
        </is>
      </c>
      <c r="I76" s="7" t="n">
        <v>0</v>
      </c>
      <c r="J76" s="8" t="n"/>
      <c r="K76" s="8" t="n"/>
      <c r="L76" s="4" t="inlineStr"/>
      <c r="M76" s="5" t="n">
        <v>40</v>
      </c>
      <c r="N76" s="5" t="n">
        <v>42</v>
      </c>
      <c r="O76" s="5" t="n"/>
      <c r="P76" s="4" t="inlineStr">
        <is>
          <t>Renda Variável</t>
        </is>
      </c>
      <c r="Q76" s="4" t="inlineStr">
        <is>
          <t>Não</t>
        </is>
      </c>
      <c r="R76" s="4" t="inlineStr">
        <is>
          <t>API interna</t>
        </is>
      </c>
      <c r="S76" s="4" t="n">
        <v>1</v>
      </c>
      <c r="T76" s="4" t="inlineStr">
        <is>
          <t>Não</t>
        </is>
      </c>
      <c r="U76" s="4" t="inlineStr">
        <is>
          <t>Sim</t>
        </is>
      </c>
      <c r="V76" s="4" t="inlineStr">
        <is>
          <t>Não</t>
        </is>
      </c>
      <c r="W76" s="4" t="inlineStr"/>
    </row>
    <row r="77">
      <c r="A77" s="4" t="inlineStr">
        <is>
          <t>BTG Pactual</t>
        </is>
      </c>
      <c r="B77" s="4" t="inlineStr">
        <is>
          <t>Daemon Ethos Icatu Prev IQ FIE FICFIM</t>
        </is>
      </c>
      <c r="C77" s="6" t="inlineStr">
        <is>
          <t>50.698.062/0001-97</t>
        </is>
      </c>
      <c r="D77" s="4" t="inlineStr">
        <is>
          <t>DAEMON INVESTIMENTOS LTDA.</t>
        </is>
      </c>
      <c r="E77" s="4" t="inlineStr">
        <is>
          <t>10.865.161/0001-00</t>
        </is>
      </c>
      <c r="F77" s="4" t="inlineStr">
        <is>
          <t>BNY MELLON SERVICOS FINANCEIROS DISTRIBUIDORA DE T</t>
        </is>
      </c>
      <c r="G77" s="4" t="inlineStr">
        <is>
          <t>Multimercado</t>
        </is>
      </c>
      <c r="H77" s="4" t="inlineStr">
        <is>
          <t>Multimercado</t>
        </is>
      </c>
      <c r="I77" s="7" t="n">
        <v>5000</v>
      </c>
      <c r="J77" s="8" t="n">
        <v>1.5</v>
      </c>
      <c r="K77" s="8" t="n">
        <v>20</v>
      </c>
      <c r="L77" s="4" t="inlineStr">
        <is>
          <t>-</t>
        </is>
      </c>
      <c r="M77" s="5" t="n">
        <v>7</v>
      </c>
      <c r="N77" s="5" t="n">
        <v>10</v>
      </c>
      <c r="O77" s="5" t="n"/>
      <c r="P77" s="4" t="inlineStr">
        <is>
          <t>Longo Prazo</t>
        </is>
      </c>
      <c r="Q77" s="4" t="inlineStr">
        <is>
          <t>Sim</t>
        </is>
      </c>
      <c r="R77" s="4" t="inlineStr">
        <is>
          <t>API interna</t>
        </is>
      </c>
      <c r="S77" s="4" t="n">
        <v>1</v>
      </c>
      <c r="T77" s="4" t="inlineStr">
        <is>
          <t>Não</t>
        </is>
      </c>
      <c r="U77" s="4" t="inlineStr">
        <is>
          <t>Sim</t>
        </is>
      </c>
      <c r="V77" s="4" t="inlineStr">
        <is>
          <t>Não</t>
        </is>
      </c>
      <c r="W77" s="4" t="inlineStr"/>
    </row>
    <row r="78">
      <c r="A78" s="4" t="inlineStr">
        <is>
          <t>BTG Pactual</t>
        </is>
      </c>
      <c r="B78" s="4" t="inlineStr">
        <is>
          <t>Dahlia 100 Prev FICFIM RL</t>
        </is>
      </c>
      <c r="C78" s="6" t="inlineStr">
        <is>
          <t>37.128.109/0001-19</t>
        </is>
      </c>
      <c r="D78" s="4" t="inlineStr">
        <is>
          <t>DAHLIA CAPITAL GESTÃO DE RECURSOS LTDA.</t>
        </is>
      </c>
      <c r="E78" s="4" t="inlineStr">
        <is>
          <t>09.551.766/0001-39</t>
        </is>
      </c>
      <c r="F78" s="4" t="inlineStr">
        <is>
          <t>BNY MELLON SERVICOS FINANCEIROS DTVM S/A</t>
        </is>
      </c>
      <c r="G78" s="4" t="inlineStr">
        <is>
          <t>Multimercado</t>
        </is>
      </c>
      <c r="H78" s="4" t="inlineStr">
        <is>
          <t>Renda Variável</t>
        </is>
      </c>
      <c r="I78" s="7" t="n">
        <v>0</v>
      </c>
      <c r="J78" s="8" t="n">
        <v>1.85</v>
      </c>
      <c r="K78" s="8" t="n">
        <v>20</v>
      </c>
      <c r="L78" s="4" t="inlineStr">
        <is>
          <t>IBX</t>
        </is>
      </c>
      <c r="M78" s="5" t="n">
        <v>10</v>
      </c>
      <c r="N78" s="5" t="n">
        <v>12</v>
      </c>
      <c r="O78" s="5" t="n"/>
      <c r="P78" s="4" t="inlineStr">
        <is>
          <t>Longo Prazo</t>
        </is>
      </c>
      <c r="Q78" s="4" t="inlineStr">
        <is>
          <t>Não</t>
        </is>
      </c>
      <c r="R78" s="4" t="inlineStr">
        <is>
          <t>API interna</t>
        </is>
      </c>
      <c r="S78" s="4" t="n">
        <v>1</v>
      </c>
      <c r="T78" s="4" t="inlineStr">
        <is>
          <t>Não</t>
        </is>
      </c>
      <c r="U78" s="4" t="inlineStr">
        <is>
          <t>Sim</t>
        </is>
      </c>
      <c r="V78" s="4" t="inlineStr">
        <is>
          <t>Não</t>
        </is>
      </c>
      <c r="W78" s="4" t="inlineStr"/>
    </row>
    <row r="79">
      <c r="A79" s="4" t="inlineStr">
        <is>
          <t>BTG Pactual</t>
        </is>
      </c>
      <c r="B79" s="4" t="inlineStr">
        <is>
          <t>Dahlia BP Prev Total Return 70 FICFIM RL</t>
        </is>
      </c>
      <c r="C79" s="6" t="inlineStr">
        <is>
          <t>47.212.505/0001-83</t>
        </is>
      </c>
      <c r="D79" s="4" t="inlineStr">
        <is>
          <t>DAHLIA CAPITAL GESTÃO DE RECURSOS LTDA.</t>
        </is>
      </c>
      <c r="E79" s="4" t="inlineStr">
        <is>
          <t>09.551.766/0001-39</t>
        </is>
      </c>
      <c r="F79" s="4" t="inlineStr">
        <is>
          <t>INTRAG DISTR DE TITULOS EVALORES MOBILIARIOS LTDA</t>
        </is>
      </c>
      <c r="G79" s="4" t="inlineStr">
        <is>
          <t>Multimercado</t>
        </is>
      </c>
      <c r="H79" s="4" t="inlineStr">
        <is>
          <t>Renda Variável</t>
        </is>
      </c>
      <c r="I79" s="7" t="n">
        <v>1000</v>
      </c>
      <c r="J79" s="8" t="n">
        <v>1.65</v>
      </c>
      <c r="K79" s="8" t="n">
        <v>20</v>
      </c>
      <c r="L79" s="4" t="inlineStr">
        <is>
          <t>-</t>
        </is>
      </c>
      <c r="M79" s="5" t="n">
        <v>7</v>
      </c>
      <c r="N79" s="5" t="n">
        <v>9</v>
      </c>
      <c r="O79" s="5" t="n"/>
      <c r="P79" s="4" t="inlineStr">
        <is>
          <t>Longo Prazo</t>
        </is>
      </c>
      <c r="Q79" s="4" t="inlineStr">
        <is>
          <t>Não</t>
        </is>
      </c>
      <c r="R79" s="4" t="inlineStr">
        <is>
          <t>API interna</t>
        </is>
      </c>
      <c r="S79" s="4" t="n">
        <v>1</v>
      </c>
      <c r="T79" s="4" t="inlineStr">
        <is>
          <t>Não</t>
        </is>
      </c>
      <c r="U79" s="4" t="inlineStr">
        <is>
          <t>Sim</t>
        </is>
      </c>
      <c r="V79" s="4" t="inlineStr">
        <is>
          <t>Não</t>
        </is>
      </c>
      <c r="W79" s="4" t="inlineStr"/>
    </row>
    <row r="80">
      <c r="A80" s="4" t="inlineStr">
        <is>
          <t>BTG Pactual</t>
        </is>
      </c>
      <c r="B80" s="4" t="inlineStr">
        <is>
          <t>Dahlia Global 50 Prev FICFIM RL</t>
        </is>
      </c>
      <c r="C80" s="6" t="inlineStr">
        <is>
          <t>37.626.895/0001-84</t>
        </is>
      </c>
      <c r="D80" s="4" t="inlineStr">
        <is>
          <t>DAHLIA CAPITAL GESTÃO DE RECURSOS LTDA.</t>
        </is>
      </c>
      <c r="E80" s="4" t="inlineStr">
        <is>
          <t>09.551.766/0001-39</t>
        </is>
      </c>
      <c r="F80" s="4" t="inlineStr">
        <is>
          <t>BNY MELLON SERVICOS FINANCEIROS DTVM S/A</t>
        </is>
      </c>
      <c r="G80" s="4" t="inlineStr">
        <is>
          <t>Multimercado</t>
        </is>
      </c>
      <c r="H80" s="4" t="inlineStr">
        <is>
          <t>Multimercado</t>
        </is>
      </c>
      <c r="I80" s="7" t="n">
        <v>0</v>
      </c>
      <c r="J80" s="8" t="n">
        <v>1.1</v>
      </c>
      <c r="K80" s="8" t="n">
        <v>15</v>
      </c>
      <c r="L80" s="4" t="inlineStr">
        <is>
          <t>CDI</t>
        </is>
      </c>
      <c r="M80" s="5" t="n">
        <v>7</v>
      </c>
      <c r="N80" s="5" t="n">
        <v>9</v>
      </c>
      <c r="O80" s="5" t="n"/>
      <c r="P80" s="4" t="inlineStr">
        <is>
          <t>Longo Prazo</t>
        </is>
      </c>
      <c r="Q80" s="4" t="inlineStr">
        <is>
          <t>Não</t>
        </is>
      </c>
      <c r="R80" s="4" t="inlineStr">
        <is>
          <t>API interna</t>
        </is>
      </c>
      <c r="S80" s="4" t="n">
        <v>1</v>
      </c>
      <c r="T80" s="4" t="inlineStr">
        <is>
          <t>Não</t>
        </is>
      </c>
      <c r="U80" s="4" t="inlineStr">
        <is>
          <t>Sim</t>
        </is>
      </c>
      <c r="V80" s="4" t="inlineStr">
        <is>
          <t>Não</t>
        </is>
      </c>
      <c r="W80" s="4" t="inlineStr"/>
    </row>
    <row r="81">
      <c r="A81" s="4" t="inlineStr">
        <is>
          <t>BTG Pactual</t>
        </is>
      </c>
      <c r="B81" s="4" t="inlineStr">
        <is>
          <t>Dahlia Total Return BP Prev FICFIM RL</t>
        </is>
      </c>
      <c r="C81" s="6" t="inlineStr">
        <is>
          <t>53.675.501/0001-34</t>
        </is>
      </c>
      <c r="D81" s="4" t="inlineStr">
        <is>
          <t>DAHLIA CAPITAL GESTÃO DE RECURSOS LTDA.</t>
        </is>
      </c>
      <c r="E81" s="4" t="inlineStr">
        <is>
          <t>09.551.766/0001-39</t>
        </is>
      </c>
      <c r="F81" s="4" t="inlineStr">
        <is>
          <t>BTG PACTUAL SERVICOS FINANCEIROS S.A. DISTRIBUIDOR</t>
        </is>
      </c>
      <c r="G81" s="4" t="inlineStr">
        <is>
          <t>Multimercado</t>
        </is>
      </c>
      <c r="H81" s="4" t="inlineStr">
        <is>
          <t>Renda Variável</t>
        </is>
      </c>
      <c r="I81" s="7" t="n">
        <v>1000</v>
      </c>
      <c r="J81" s="8" t="n">
        <v>0.75</v>
      </c>
      <c r="K81" s="8" t="n"/>
      <c r="L81" s="4" t="inlineStr"/>
      <c r="M81" s="5" t="n">
        <v>7</v>
      </c>
      <c r="N81" s="5" t="n">
        <v>9</v>
      </c>
      <c r="O81" s="5" t="n"/>
      <c r="P81" s="4" t="inlineStr">
        <is>
          <t>Curto Prazo</t>
        </is>
      </c>
      <c r="Q81" s="4" t="inlineStr">
        <is>
          <t>Não</t>
        </is>
      </c>
      <c r="R81" s="4" t="inlineStr">
        <is>
          <t>API interna</t>
        </is>
      </c>
      <c r="S81" s="4" t="n">
        <v>1</v>
      </c>
      <c r="T81" s="4" t="inlineStr">
        <is>
          <t>Não</t>
        </is>
      </c>
      <c r="U81" s="4" t="inlineStr">
        <is>
          <t>Sim</t>
        </is>
      </c>
      <c r="V81" s="4" t="inlineStr">
        <is>
          <t>Não</t>
        </is>
      </c>
      <c r="W81" s="4" t="inlineStr"/>
    </row>
    <row r="82">
      <c r="A82" s="4" t="inlineStr">
        <is>
          <t>BTG Pactual</t>
        </is>
      </c>
      <c r="B82" s="4" t="inlineStr">
        <is>
          <t>Empiricus Cripto Prev 20 FIM RL</t>
        </is>
      </c>
      <c r="C82" s="6" t="inlineStr">
        <is>
          <t>44.027.398/0001-25</t>
        </is>
      </c>
      <c r="D82" s="4" t="inlineStr">
        <is>
          <t>BTG PACTUAL ASSET MANAGEMENT S/A DTVM</t>
        </is>
      </c>
      <c r="E82" s="4" t="inlineStr">
        <is>
          <t>29.650.082/0001-00</t>
        </is>
      </c>
      <c r="F82" s="4" t="inlineStr">
        <is>
          <t>BTG PACTUAL SERVICOS FINANCEIROS S.A. DISTRIBUIDOR</t>
        </is>
      </c>
      <c r="G82" s="4" t="inlineStr">
        <is>
          <t>Multimercado</t>
        </is>
      </c>
      <c r="H82" s="4" t="inlineStr">
        <is>
          <t>Alternativos</t>
        </is>
      </c>
      <c r="I82" s="7" t="n">
        <v>1000</v>
      </c>
      <c r="J82" s="8" t="n"/>
      <c r="K82" s="8" t="n"/>
      <c r="L82" s="4" t="inlineStr"/>
      <c r="M82" s="5" t="n">
        <v>7</v>
      </c>
      <c r="N82" s="5" t="n">
        <v>9</v>
      </c>
      <c r="O82" s="5" t="n"/>
      <c r="P82" s="4" t="inlineStr">
        <is>
          <t>Curto Prazo</t>
        </is>
      </c>
      <c r="Q82" s="4" t="inlineStr">
        <is>
          <t>Não</t>
        </is>
      </c>
      <c r="R82" s="4" t="inlineStr">
        <is>
          <t>API interna</t>
        </is>
      </c>
      <c r="S82" s="4" t="n">
        <v>1</v>
      </c>
      <c r="T82" s="4" t="inlineStr">
        <is>
          <t>Não</t>
        </is>
      </c>
      <c r="U82" s="4" t="inlineStr">
        <is>
          <t>Sim</t>
        </is>
      </c>
      <c r="V82" s="4" t="inlineStr">
        <is>
          <t>Não</t>
        </is>
      </c>
      <c r="W82" s="4" t="inlineStr"/>
    </row>
    <row r="83">
      <c r="A83" s="4" t="inlineStr">
        <is>
          <t>BTG Pactual</t>
        </is>
      </c>
      <c r="B83" s="4" t="inlineStr">
        <is>
          <t>Empiricus FoF Nova Superprevidencia Prev FIM RL</t>
        </is>
      </c>
      <c r="C83" s="6" t="inlineStr">
        <is>
          <t>44.027.199/0001-17</t>
        </is>
      </c>
      <c r="D83" s="4" t="inlineStr">
        <is>
          <t>BTG PACTUAL GESTÃO E CONSULTORIA DE INVESTIMENTOS LTDA</t>
        </is>
      </c>
      <c r="E83" s="4" t="inlineStr">
        <is>
          <t>12.695.840/0001-03</t>
        </is>
      </c>
      <c r="F83" s="4" t="inlineStr">
        <is>
          <t>BTG PACTUAL SERVICOS FINANCEIROS S.A. DISTRIBUIDOR</t>
        </is>
      </c>
      <c r="G83" s="4" t="inlineStr">
        <is>
          <t>Multimercado</t>
        </is>
      </c>
      <c r="H83" s="4" t="inlineStr">
        <is>
          <t>Alocação</t>
        </is>
      </c>
      <c r="I83" s="7" t="n">
        <v>1000</v>
      </c>
      <c r="J83" s="8" t="n">
        <v>0.75</v>
      </c>
      <c r="K83" s="8" t="n"/>
      <c r="L83" s="4" t="inlineStr"/>
      <c r="M83" s="5" t="n">
        <v>5</v>
      </c>
      <c r="N83" s="5" t="n">
        <v>7</v>
      </c>
      <c r="O83" s="5" t="n"/>
      <c r="P83" s="4" t="inlineStr">
        <is>
          <t>Curto Prazo</t>
        </is>
      </c>
      <c r="Q83" s="4" t="inlineStr">
        <is>
          <t>Não</t>
        </is>
      </c>
      <c r="R83" s="4" t="inlineStr">
        <is>
          <t>API interna</t>
        </is>
      </c>
      <c r="S83" s="4" t="n">
        <v>1</v>
      </c>
      <c r="T83" s="4" t="inlineStr">
        <is>
          <t>Não</t>
        </is>
      </c>
      <c r="U83" s="4" t="inlineStr">
        <is>
          <t>Sim</t>
        </is>
      </c>
      <c r="V83" s="4" t="inlineStr">
        <is>
          <t>Não</t>
        </is>
      </c>
      <c r="W83" s="4" t="inlineStr"/>
    </row>
    <row r="84">
      <c r="A84" s="4" t="inlineStr">
        <is>
          <t>BTG Pactual</t>
        </is>
      </c>
      <c r="B84" s="4" t="inlineStr">
        <is>
          <t>Empiricus FoF Super Prev Yield FIM CrPr RL</t>
        </is>
      </c>
      <c r="C84" s="6" t="inlineStr">
        <is>
          <t>55.169.143/0001-13</t>
        </is>
      </c>
      <c r="D84" s="4" t="inlineStr">
        <is>
          <t>BTG PACTUAL GESTÃO E CONSULTORIA DE INVESTIMENTOS LTDA</t>
        </is>
      </c>
      <c r="E84" s="4" t="inlineStr">
        <is>
          <t>12.695.840/0001-03</t>
        </is>
      </c>
      <c r="F84" s="4" t="inlineStr">
        <is>
          <t>BTG PACTUAL SERVICOS FINANCEIROS S.A. DISTRIBUIDOR</t>
        </is>
      </c>
      <c r="G84" s="4" t="inlineStr">
        <is>
          <t>Multimercado</t>
        </is>
      </c>
      <c r="H84" s="4" t="inlineStr">
        <is>
          <t>Alocação</t>
        </is>
      </c>
      <c r="I84" s="7" t="n">
        <v>1000</v>
      </c>
      <c r="J84" s="8" t="n">
        <v>0.3</v>
      </c>
      <c r="K84" s="8" t="n">
        <v>10</v>
      </c>
      <c r="L84" s="4" t="inlineStr">
        <is>
          <t>-</t>
        </is>
      </c>
      <c r="M84" s="5" t="n">
        <v>8</v>
      </c>
      <c r="N84" s="5" t="n">
        <v>10</v>
      </c>
      <c r="O84" s="5" t="n"/>
      <c r="P84" s="4" t="inlineStr">
        <is>
          <t>Curto Prazo</t>
        </is>
      </c>
      <c r="Q84" s="4" t="inlineStr">
        <is>
          <t>Não</t>
        </is>
      </c>
      <c r="R84" s="4" t="inlineStr">
        <is>
          <t>API interna</t>
        </is>
      </c>
      <c r="S84" s="4" t="n">
        <v>1</v>
      </c>
      <c r="T84" s="4" t="inlineStr">
        <is>
          <t>Não</t>
        </is>
      </c>
      <c r="U84" s="4" t="inlineStr">
        <is>
          <t>Sim</t>
        </is>
      </c>
      <c r="V84" s="4" t="inlineStr">
        <is>
          <t>Não</t>
        </is>
      </c>
      <c r="W84" s="4" t="inlineStr"/>
    </row>
    <row r="85">
      <c r="A85" s="4" t="inlineStr">
        <is>
          <t>BTG Pactual</t>
        </is>
      </c>
      <c r="B85" s="4" t="inlineStr">
        <is>
          <t>Empiricus FoF Superprevidencia Acoes Icatu FIA RL</t>
        </is>
      </c>
      <c r="C85" s="6" t="inlineStr">
        <is>
          <t>35.844.969/0001-23</t>
        </is>
      </c>
      <c r="D85" s="4" t="inlineStr">
        <is>
          <t>BTG PACTUAL GESTÃO E CONSULTORIA DE INVESTIMENTOS LTDA</t>
        </is>
      </c>
      <c r="E85" s="4" t="inlineStr">
        <is>
          <t>12.695.840/0001-03</t>
        </is>
      </c>
      <c r="F85" s="4" t="inlineStr">
        <is>
          <t>BEM DISTRIBUIDORA DE TITULOS E VALORES MOBILIARIOS</t>
        </is>
      </c>
      <c r="G85" s="4" t="inlineStr">
        <is>
          <t>Multimercado</t>
        </is>
      </c>
      <c r="H85" s="4" t="inlineStr">
        <is>
          <t>Renda Variável</t>
        </is>
      </c>
      <c r="I85" s="7" t="n">
        <v>1000</v>
      </c>
      <c r="J85" s="8" t="n">
        <v>0.75</v>
      </c>
      <c r="K85" s="8" t="n">
        <v>10</v>
      </c>
      <c r="L85" s="4" t="inlineStr">
        <is>
          <t>IBOVESPA</t>
        </is>
      </c>
      <c r="M85" s="5" t="n">
        <v>42</v>
      </c>
      <c r="N85" s="5" t="n">
        <v>43</v>
      </c>
      <c r="O85" s="5" t="n"/>
      <c r="P85" s="4" t="inlineStr">
        <is>
          <t>Longo Prazo</t>
        </is>
      </c>
      <c r="Q85" s="4" t="inlineStr">
        <is>
          <t>Não</t>
        </is>
      </c>
      <c r="R85" s="4" t="inlineStr">
        <is>
          <t>API interna</t>
        </is>
      </c>
      <c r="S85" s="4" t="n">
        <v>1</v>
      </c>
      <c r="T85" s="4" t="inlineStr">
        <is>
          <t>Não</t>
        </is>
      </c>
      <c r="U85" s="4" t="inlineStr">
        <is>
          <t>Sim</t>
        </is>
      </c>
      <c r="V85" s="4" t="inlineStr">
        <is>
          <t>Não</t>
        </is>
      </c>
      <c r="W85" s="4" t="inlineStr"/>
    </row>
    <row r="86">
      <c r="A86" s="4" t="inlineStr">
        <is>
          <t>BTG Pactual</t>
        </is>
      </c>
      <c r="B86" s="4" t="inlineStr">
        <is>
          <t>Empiricus FoF Superprevidencia Arrojado Icatu Prev FIM RL</t>
        </is>
      </c>
      <c r="C86" s="6" t="inlineStr">
        <is>
          <t>33.269.222/0001-63</t>
        </is>
      </c>
      <c r="D86" s="4" t="inlineStr">
        <is>
          <t>BTG PACTUAL GESTÃO E CONSULTORIA DE INVESTIMENTOS LTDA</t>
        </is>
      </c>
      <c r="E86" s="4" t="inlineStr">
        <is>
          <t>12.695.840/0001-03</t>
        </is>
      </c>
      <c r="F86" s="4" t="inlineStr">
        <is>
          <t>BTG PACTUAL SERVICOS FINANCEIROS S.A. DISTRIBUIDOR</t>
        </is>
      </c>
      <c r="G86" s="4" t="inlineStr">
        <is>
          <t>Multimercado</t>
        </is>
      </c>
      <c r="H86" s="4" t="inlineStr">
        <is>
          <t>Renda Variável</t>
        </is>
      </c>
      <c r="I86" s="7" t="n">
        <v>1000</v>
      </c>
      <c r="J86" s="8" t="n">
        <v>0.75</v>
      </c>
      <c r="K86" s="8" t="n"/>
      <c r="L86" s="4" t="inlineStr"/>
      <c r="M86" s="5" t="n">
        <v>5</v>
      </c>
      <c r="N86" s="5" t="n">
        <v>7</v>
      </c>
      <c r="O86" s="5" t="n"/>
      <c r="P86" s="4" t="inlineStr">
        <is>
          <t>Curto Prazo</t>
        </is>
      </c>
      <c r="Q86" s="4" t="inlineStr">
        <is>
          <t>Não</t>
        </is>
      </c>
      <c r="R86" s="4" t="inlineStr">
        <is>
          <t>API interna</t>
        </is>
      </c>
      <c r="S86" s="4" t="n">
        <v>1</v>
      </c>
      <c r="T86" s="4" t="inlineStr">
        <is>
          <t>Não</t>
        </is>
      </c>
      <c r="U86" s="4" t="inlineStr">
        <is>
          <t>Sim</t>
        </is>
      </c>
      <c r="V86" s="4" t="inlineStr">
        <is>
          <t>Não</t>
        </is>
      </c>
      <c r="W86" s="4" t="inlineStr"/>
    </row>
    <row r="87">
      <c r="A87" s="4" t="inlineStr">
        <is>
          <t>BTG Pactual</t>
        </is>
      </c>
      <c r="B87" s="4" t="inlineStr">
        <is>
          <t>Empiricus FoF Superprevidencia Conservador Icatu FIRF Prev RL</t>
        </is>
      </c>
      <c r="C87" s="6" t="inlineStr">
        <is>
          <t>33.884.185/0001-01</t>
        </is>
      </c>
      <c r="D87" s="4" t="inlineStr">
        <is>
          <t>BTG PACTUAL GESTÃO E CONSULTORIA DE INVESTIMENTOS LTDA</t>
        </is>
      </c>
      <c r="E87" s="4" t="inlineStr">
        <is>
          <t>12.695.840/0001-03</t>
        </is>
      </c>
      <c r="F87" s="4" t="inlineStr">
        <is>
          <t>BTG PACTUAL SERVICOS FINANCEIROS S.A. DISTRIBUIDOR</t>
        </is>
      </c>
      <c r="G87" s="4" t="inlineStr">
        <is>
          <t>Renda Fixa</t>
        </is>
      </c>
      <c r="H87" s="4" t="inlineStr">
        <is>
          <t>Renda Fixa</t>
        </is>
      </c>
      <c r="I87" s="7" t="n">
        <v>1000</v>
      </c>
      <c r="J87" s="8" t="n">
        <v>0.3</v>
      </c>
      <c r="K87" s="8" t="n"/>
      <c r="L87" s="4" t="inlineStr"/>
      <c r="M87" s="5" t="n">
        <v>5</v>
      </c>
      <c r="N87" s="5" t="n">
        <v>7</v>
      </c>
      <c r="O87" s="5" t="n"/>
      <c r="P87" s="4" t="inlineStr">
        <is>
          <t>Curto Prazo</t>
        </is>
      </c>
      <c r="Q87" s="4" t="inlineStr">
        <is>
          <t>Não</t>
        </is>
      </c>
      <c r="R87" s="4" t="inlineStr">
        <is>
          <t>API interna</t>
        </is>
      </c>
      <c r="S87" s="4" t="n">
        <v>1</v>
      </c>
      <c r="T87" s="4" t="inlineStr">
        <is>
          <t>Não</t>
        </is>
      </c>
      <c r="U87" s="4" t="inlineStr">
        <is>
          <t>Sim</t>
        </is>
      </c>
      <c r="V87" s="4" t="inlineStr">
        <is>
          <t>Não</t>
        </is>
      </c>
      <c r="W87" s="4" t="inlineStr"/>
    </row>
    <row r="88">
      <c r="A88" s="4" t="inlineStr">
        <is>
          <t>BTG Pactual</t>
        </is>
      </c>
      <c r="B88" s="4" t="inlineStr">
        <is>
          <t>Empiricus FoF Superprevidencia Multimercados Icatu Prev FIM RL</t>
        </is>
      </c>
      <c r="C88" s="6" t="inlineStr">
        <is>
          <t>47.350.604/0001-21</t>
        </is>
      </c>
      <c r="D88" s="4" t="inlineStr">
        <is>
          <t>BTG PACTUAL GESTÃO E CONSULTORIA DE INVESTIMENTOS LTDA</t>
        </is>
      </c>
      <c r="E88" s="4" t="inlineStr">
        <is>
          <t>12.695.840/0001-03</t>
        </is>
      </c>
      <c r="F88" s="4" t="inlineStr">
        <is>
          <t>BTG PACTUAL SERVICOS FINANCEIROS S.A. DISTRIBUIDOR</t>
        </is>
      </c>
      <c r="G88" s="4" t="inlineStr">
        <is>
          <t>Multimercado</t>
        </is>
      </c>
      <c r="H88" s="4" t="inlineStr">
        <is>
          <t>Multimercado</t>
        </is>
      </c>
      <c r="I88" s="7" t="n">
        <v>1000</v>
      </c>
      <c r="J88" s="8" t="n">
        <v>0.75</v>
      </c>
      <c r="K88" s="8" t="n">
        <v>10</v>
      </c>
      <c r="L88" s="4" t="inlineStr">
        <is>
          <t>-</t>
        </is>
      </c>
      <c r="M88" s="5" t="n">
        <v>5</v>
      </c>
      <c r="N88" s="5" t="n">
        <v>7</v>
      </c>
      <c r="O88" s="5" t="n"/>
      <c r="P88" s="4" t="inlineStr">
        <is>
          <t>Curto Prazo</t>
        </is>
      </c>
      <c r="Q88" s="4" t="inlineStr">
        <is>
          <t>Não</t>
        </is>
      </c>
      <c r="R88" s="4" t="inlineStr">
        <is>
          <t>API interna</t>
        </is>
      </c>
      <c r="S88" s="4" t="n">
        <v>1</v>
      </c>
      <c r="T88" s="4" t="inlineStr">
        <is>
          <t>Não</t>
        </is>
      </c>
      <c r="U88" s="4" t="inlineStr">
        <is>
          <t>Sim</t>
        </is>
      </c>
      <c r="V88" s="4" t="inlineStr">
        <is>
          <t>Não</t>
        </is>
      </c>
      <c r="W88" s="4" t="inlineStr"/>
    </row>
    <row r="89">
      <c r="A89" s="4" t="inlineStr">
        <is>
          <t>BTG Pactual</t>
        </is>
      </c>
      <c r="B89" s="4" t="inlineStr">
        <is>
          <t>Empiricus Global Real Return Prev FIM RL</t>
        </is>
      </c>
      <c r="C89" s="6" t="inlineStr">
        <is>
          <t>44.027.256/0001-68</t>
        </is>
      </c>
      <c r="D89" s="4" t="inlineStr">
        <is>
          <t>BTG PACTUAL ASSET MANAGEMENT S/A DTVM</t>
        </is>
      </c>
      <c r="E89" s="4" t="inlineStr">
        <is>
          <t>29.650.082/0001-00</t>
        </is>
      </c>
      <c r="F89" s="4" t="inlineStr">
        <is>
          <t>BTG PACTUAL SERVICOS FINANCEIROS S.A. DISTRIBUIDOR</t>
        </is>
      </c>
      <c r="G89" s="4" t="inlineStr">
        <is>
          <t>Multimercado</t>
        </is>
      </c>
      <c r="H89" s="4" t="inlineStr">
        <is>
          <t>Multimercado</t>
        </is>
      </c>
      <c r="I89" s="7" t="n">
        <v>1000</v>
      </c>
      <c r="J89" s="8" t="n"/>
      <c r="K89" s="8" t="n"/>
      <c r="L89" s="4" t="inlineStr"/>
      <c r="M89" s="5" t="n">
        <v>7</v>
      </c>
      <c r="N89" s="5" t="n">
        <v>9</v>
      </c>
      <c r="O89" s="5" t="n"/>
      <c r="P89" s="4" t="inlineStr">
        <is>
          <t>Curto Prazo</t>
        </is>
      </c>
      <c r="Q89" s="4" t="inlineStr">
        <is>
          <t>Não</t>
        </is>
      </c>
      <c r="R89" s="4" t="inlineStr">
        <is>
          <t>API interna</t>
        </is>
      </c>
      <c r="S89" s="4" t="n">
        <v>1</v>
      </c>
      <c r="T89" s="4" t="inlineStr">
        <is>
          <t>Não</t>
        </is>
      </c>
      <c r="U89" s="4" t="inlineStr">
        <is>
          <t>Sim</t>
        </is>
      </c>
      <c r="V89" s="4" t="inlineStr">
        <is>
          <t>Não</t>
        </is>
      </c>
      <c r="W89" s="4" t="inlineStr"/>
    </row>
    <row r="90">
      <c r="A90" s="4" t="inlineStr">
        <is>
          <t>BTG Pactual</t>
        </is>
      </c>
      <c r="B90" s="4" t="inlineStr">
        <is>
          <t>Empiricus Icatu Carteira Universa Prev FIM CrPr RL</t>
        </is>
      </c>
      <c r="C90" s="6" t="inlineStr">
        <is>
          <t>36.517.971/0001-50</t>
        </is>
      </c>
      <c r="D90" s="4" t="inlineStr">
        <is>
          <t>BTG PACTUAL ASSET MANAGEMENT S/A DTVM</t>
        </is>
      </c>
      <c r="E90" s="4" t="inlineStr">
        <is>
          <t>29.650.082/0001-00</t>
        </is>
      </c>
      <c r="F90" s="4" t="inlineStr">
        <is>
          <t>BEM DISTRIBUIDORA DE TITULOS E VALORES MOBILIARIOS</t>
        </is>
      </c>
      <c r="G90" s="4" t="inlineStr">
        <is>
          <t>Multimercado</t>
        </is>
      </c>
      <c r="H90" s="4" t="inlineStr">
        <is>
          <t>Multimercado</t>
        </is>
      </c>
      <c r="I90" s="7" t="n">
        <v>1000</v>
      </c>
      <c r="J90" s="8" t="n">
        <v>1.25</v>
      </c>
      <c r="K90" s="8" t="n">
        <v>15</v>
      </c>
      <c r="L90" s="4" t="inlineStr">
        <is>
          <t>CDI</t>
        </is>
      </c>
      <c r="M90" s="5" t="n">
        <v>42</v>
      </c>
      <c r="N90" s="5" t="n">
        <v>43</v>
      </c>
      <c r="O90" s="5" t="n"/>
      <c r="P90" s="4" t="inlineStr">
        <is>
          <t>Longo Prazo</t>
        </is>
      </c>
      <c r="Q90" s="4" t="inlineStr">
        <is>
          <t>Não</t>
        </is>
      </c>
      <c r="R90" s="4" t="inlineStr">
        <is>
          <t>API interna</t>
        </is>
      </c>
      <c r="S90" s="4" t="n">
        <v>1</v>
      </c>
      <c r="T90" s="4" t="inlineStr">
        <is>
          <t>Não</t>
        </is>
      </c>
      <c r="U90" s="4" t="inlineStr">
        <is>
          <t>Sim</t>
        </is>
      </c>
      <c r="V90" s="4" t="inlineStr">
        <is>
          <t>Não</t>
        </is>
      </c>
      <c r="W90" s="4" t="inlineStr"/>
    </row>
    <row r="91">
      <c r="A91" s="4" t="inlineStr">
        <is>
          <t>BTG Pactual</t>
        </is>
      </c>
      <c r="B91" s="4" t="inlineStr">
        <is>
          <t>Empiricus Oportunidades de UMA Vida Prev FIA RL</t>
        </is>
      </c>
      <c r="C91" s="6" t="inlineStr">
        <is>
          <t>44.026.984/0001-55</t>
        </is>
      </c>
      <c r="D91" s="4" t="inlineStr">
        <is>
          <t>BTG PACTUAL ASSET MANAGEMENT S/A DTVM</t>
        </is>
      </c>
      <c r="E91" s="4" t="inlineStr">
        <is>
          <t>29.650.082/0001-00</t>
        </is>
      </c>
      <c r="F91" s="4" t="inlineStr">
        <is>
          <t>BTG PACTUAL SERVICOS FINANCEIROS S.A. DISTRIBUIDOR</t>
        </is>
      </c>
      <c r="G91" s="4" t="inlineStr">
        <is>
          <t>Ações</t>
        </is>
      </c>
      <c r="H91" s="4" t="inlineStr">
        <is>
          <t>Renda Variável</t>
        </is>
      </c>
      <c r="I91" s="7" t="n">
        <v>1000</v>
      </c>
      <c r="J91" s="8" t="n">
        <v>1.4</v>
      </c>
      <c r="K91" s="8" t="n">
        <v>20</v>
      </c>
      <c r="L91" s="4" t="inlineStr">
        <is>
          <t>-</t>
        </is>
      </c>
      <c r="M91" s="5" t="n">
        <v>7</v>
      </c>
      <c r="N91" s="5" t="n">
        <v>9</v>
      </c>
      <c r="O91" s="5" t="n"/>
      <c r="P91" s="4" t="inlineStr">
        <is>
          <t>Renda Variável</t>
        </is>
      </c>
      <c r="Q91" s="4" t="inlineStr">
        <is>
          <t>Não</t>
        </is>
      </c>
      <c r="R91" s="4" t="inlineStr">
        <is>
          <t>API interna</t>
        </is>
      </c>
      <c r="S91" s="4" t="n">
        <v>1</v>
      </c>
      <c r="T91" s="4" t="inlineStr">
        <is>
          <t>Não</t>
        </is>
      </c>
      <c r="U91" s="4" t="inlineStr">
        <is>
          <t>Sim</t>
        </is>
      </c>
      <c r="V91" s="4" t="inlineStr">
        <is>
          <t>Não</t>
        </is>
      </c>
      <c r="W91" s="4" t="inlineStr"/>
    </row>
    <row r="92">
      <c r="A92" s="4" t="inlineStr">
        <is>
          <t>BTG Pactual</t>
        </is>
      </c>
      <c r="B92" s="4" t="inlineStr">
        <is>
          <t>Encore Long Bias BTG Prev 100 Prev FICFIM Access RL</t>
        </is>
      </c>
      <c r="C92" s="6" t="inlineStr">
        <is>
          <t>51.389.615/0001-92</t>
        </is>
      </c>
      <c r="D92" s="4" t="inlineStr">
        <is>
          <t>BTG PACTUAL GESTÃO E CONSULTORIA DE INVESTIMENTOS LTDA</t>
        </is>
      </c>
      <c r="E92" s="4" t="inlineStr">
        <is>
          <t>12.695.840/0001-03</t>
        </is>
      </c>
      <c r="F92" s="4" t="inlineStr">
        <is>
          <t>BTG PACTUAL SERVICOS FINANCEIROS S.A. DISTRIBUIDOR</t>
        </is>
      </c>
      <c r="G92" s="4" t="inlineStr">
        <is>
          <t>Multimercado</t>
        </is>
      </c>
      <c r="H92" s="4" t="inlineStr">
        <is>
          <t>Renda Variável</t>
        </is>
      </c>
      <c r="I92" s="7" t="n">
        <v>1000</v>
      </c>
      <c r="J92" s="8" t="n"/>
      <c r="K92" s="8" t="n"/>
      <c r="L92" s="4" t="inlineStr"/>
      <c r="M92" s="5" t="n">
        <v>20</v>
      </c>
      <c r="N92" s="5" t="n">
        <v>22</v>
      </c>
      <c r="O92" s="5" t="n"/>
      <c r="P92" s="4" t="inlineStr">
        <is>
          <t>Curto Prazo</t>
        </is>
      </c>
      <c r="Q92" s="4" t="inlineStr">
        <is>
          <t>Não</t>
        </is>
      </c>
      <c r="R92" s="4" t="inlineStr">
        <is>
          <t>API interna</t>
        </is>
      </c>
      <c r="S92" s="4" t="n">
        <v>1</v>
      </c>
      <c r="T92" s="4" t="inlineStr">
        <is>
          <t>Não</t>
        </is>
      </c>
      <c r="U92" s="4" t="inlineStr">
        <is>
          <t>Sim</t>
        </is>
      </c>
      <c r="V92" s="4" t="inlineStr">
        <is>
          <t>Não</t>
        </is>
      </c>
      <c r="W92" s="4" t="inlineStr"/>
    </row>
    <row r="93">
      <c r="A93" s="4" t="inlineStr">
        <is>
          <t>BTG Pactual</t>
        </is>
      </c>
      <c r="B93" s="4" t="inlineStr">
        <is>
          <t>Encore Valor Dividendos 100 BP Prev FIC FIA Access</t>
        </is>
      </c>
      <c r="C93" s="6" t="inlineStr">
        <is>
          <t>68.171.753/0001-01</t>
        </is>
      </c>
      <c r="D93" s="4" t="inlineStr">
        <is>
          <t>BTG PACTUAL GESTÃO E CONSULTORIA DE INVESTIMENTOS LTDA</t>
        </is>
      </c>
      <c r="E93" s="4" t="inlineStr">
        <is>
          <t>12.695.840/0001-03</t>
        </is>
      </c>
      <c r="F93" s="4" t="inlineStr">
        <is>
          <t>BTG PACTUAL SERVICOS FINANCEIROS S.A. DISTRIBUIDOR</t>
        </is>
      </c>
      <c r="G93" s="4" t="inlineStr">
        <is>
          <t>Ações</t>
        </is>
      </c>
      <c r="H93" s="4" t="inlineStr">
        <is>
          <t>Renda Variável</t>
        </is>
      </c>
      <c r="I93" s="7" t="n">
        <v>1000</v>
      </c>
      <c r="J93" s="8" t="n">
        <v>2</v>
      </c>
      <c r="K93" s="8" t="n">
        <v>20</v>
      </c>
      <c r="L93" s="4" t="inlineStr">
        <is>
          <t>-</t>
        </is>
      </c>
      <c r="M93" s="5" t="n">
        <v>30</v>
      </c>
      <c r="N93" s="5" t="n">
        <v>32</v>
      </c>
      <c r="O93" s="5" t="n"/>
      <c r="P93" s="4" t="inlineStr">
        <is>
          <t>Renda Variável</t>
        </is>
      </c>
      <c r="Q93" s="4" t="inlineStr">
        <is>
          <t>Não</t>
        </is>
      </c>
      <c r="R93" s="4" t="inlineStr">
        <is>
          <t>API interna</t>
        </is>
      </c>
      <c r="S93" s="4" t="n">
        <v>1</v>
      </c>
      <c r="T93" s="4" t="inlineStr">
        <is>
          <t>Não</t>
        </is>
      </c>
      <c r="U93" s="4" t="inlineStr">
        <is>
          <t>Sim</t>
        </is>
      </c>
      <c r="V93" s="4" t="inlineStr">
        <is>
          <t>Não</t>
        </is>
      </c>
      <c r="W93" s="4" t="inlineStr"/>
    </row>
    <row r="94">
      <c r="A94" s="4" t="inlineStr">
        <is>
          <t>BTG Pactual</t>
        </is>
      </c>
      <c r="B94" s="4" t="inlineStr">
        <is>
          <t>Equitas Prev II Icatu FICFIA RL</t>
        </is>
      </c>
      <c r="C94" s="6" t="inlineStr">
        <is>
          <t>35.354.896/0001-91</t>
        </is>
      </c>
      <c r="D94" s="4" t="inlineStr">
        <is>
          <t>DRYS CAPITAL LTDA</t>
        </is>
      </c>
      <c r="E94" s="4" t="inlineStr">
        <is>
          <t>08.204.817/0001-93</t>
        </is>
      </c>
      <c r="F94" s="4" t="inlineStr">
        <is>
          <t>INTRAG DISTR DE TITULOS EVALORES MOBILIARIOS LTDA</t>
        </is>
      </c>
      <c r="G94" s="4" t="inlineStr">
        <is>
          <t>Ações</t>
        </is>
      </c>
      <c r="H94" s="4" t="inlineStr">
        <is>
          <t>Renda Variável</t>
        </is>
      </c>
      <c r="I94" s="7" t="n">
        <v>5000</v>
      </c>
      <c r="J94" s="8" t="n">
        <v>2</v>
      </c>
      <c r="K94" s="8" t="n">
        <v>20</v>
      </c>
      <c r="L94" s="4" t="inlineStr">
        <is>
          <t>IBOVESPA</t>
        </is>
      </c>
      <c r="M94" s="5" t="n">
        <v>22</v>
      </c>
      <c r="N94" s="5" t="n">
        <v>24</v>
      </c>
      <c r="O94" s="5" t="n"/>
      <c r="P94" s="4" t="inlineStr">
        <is>
          <t>Renda Variável</t>
        </is>
      </c>
      <c r="Q94" s="4" t="inlineStr">
        <is>
          <t>Não</t>
        </is>
      </c>
      <c r="R94" s="4" t="inlineStr">
        <is>
          <t>API interna</t>
        </is>
      </c>
      <c r="S94" s="4" t="n">
        <v>1</v>
      </c>
      <c r="T94" s="4" t="inlineStr">
        <is>
          <t>Não</t>
        </is>
      </c>
      <c r="U94" s="4" t="inlineStr">
        <is>
          <t>Sim</t>
        </is>
      </c>
      <c r="V94" s="4" t="inlineStr">
        <is>
          <t>Não</t>
        </is>
      </c>
      <c r="W94" s="4" t="inlineStr"/>
    </row>
    <row r="95">
      <c r="A95" s="4" t="inlineStr">
        <is>
          <t>BTG Pactual</t>
        </is>
      </c>
      <c r="B95" s="4" t="inlineStr">
        <is>
          <t>Exes Prev FIE FICFIM CrPr RL</t>
        </is>
      </c>
      <c r="C95" s="6" t="inlineStr">
        <is>
          <t>42.730.600/0001-55</t>
        </is>
      </c>
      <c r="D95" s="4" t="inlineStr">
        <is>
          <t>EXES GESTORA DE RECURSOS LTDA.</t>
        </is>
      </c>
      <c r="E95" s="4" t="inlineStr">
        <is>
          <t>31.960.567/0001-33</t>
        </is>
      </c>
      <c r="F95" s="4" t="inlineStr">
        <is>
          <t>BTG PACTUAL SERVICOS FINANCEIROS S.A. DISTRIBUIDOR</t>
        </is>
      </c>
      <c r="G95" s="4" t="inlineStr">
        <is>
          <t>Multimercado</t>
        </is>
      </c>
      <c r="H95" s="4" t="inlineStr">
        <is>
          <t>Renda Fixa</t>
        </is>
      </c>
      <c r="I95" s="7" t="n">
        <v>5000</v>
      </c>
      <c r="J95" s="8" t="n"/>
      <c r="K95" s="8" t="n"/>
      <c r="L95" s="4" t="inlineStr"/>
      <c r="M95" s="5" t="n">
        <v>179</v>
      </c>
      <c r="N95" s="5" t="n">
        <v>180</v>
      </c>
      <c r="O95" s="5" t="n"/>
      <c r="P95" s="4" t="inlineStr">
        <is>
          <t>Curto Prazo</t>
        </is>
      </c>
      <c r="Q95" s="4" t="inlineStr">
        <is>
          <t>Não</t>
        </is>
      </c>
      <c r="R95" s="4" t="inlineStr">
        <is>
          <t>API interna</t>
        </is>
      </c>
      <c r="S95" s="4" t="n">
        <v>1</v>
      </c>
      <c r="T95" s="4" t="inlineStr">
        <is>
          <t>Não</t>
        </is>
      </c>
      <c r="U95" s="4" t="inlineStr">
        <is>
          <t>Sim</t>
        </is>
      </c>
      <c r="V95" s="4" t="inlineStr">
        <is>
          <t>Não</t>
        </is>
      </c>
      <c r="W95" s="4" t="inlineStr"/>
    </row>
    <row r="96">
      <c r="A96" s="4" t="inlineStr">
        <is>
          <t>BTG Pactual</t>
        </is>
      </c>
      <c r="B96" s="4" t="inlineStr">
        <is>
          <t>Exes Prev II FIE FIM CrPr RL</t>
        </is>
      </c>
      <c r="C96" s="6" t="inlineStr">
        <is>
          <t>60.859.486/0001-40</t>
        </is>
      </c>
      <c r="D96" s="4" t="inlineStr">
        <is>
          <t>EXES GESTORA DE RECURSOS LTDA.</t>
        </is>
      </c>
      <c r="E96" s="4" t="inlineStr">
        <is>
          <t>31.960.567/0001-33</t>
        </is>
      </c>
      <c r="F96" s="4" t="inlineStr">
        <is>
          <t>BTG PACTUAL SERVICOS FINANCEIROS S.A. DISTRIBUIDOR</t>
        </is>
      </c>
      <c r="G96" s="4" t="inlineStr">
        <is>
          <t>Multimercado</t>
        </is>
      </c>
      <c r="H96" s="4" t="inlineStr">
        <is>
          <t>Renda Fixa</t>
        </is>
      </c>
      <c r="I96" s="7" t="n">
        <v>1000</v>
      </c>
      <c r="J96" s="8" t="n"/>
      <c r="K96" s="8" t="n"/>
      <c r="L96" s="4" t="inlineStr"/>
      <c r="M96" s="5" t="n">
        <v>9</v>
      </c>
      <c r="N96" s="5" t="n">
        <v>10</v>
      </c>
      <c r="O96" s="5" t="n"/>
      <c r="P96" s="4" t="inlineStr">
        <is>
          <t>Curto Prazo</t>
        </is>
      </c>
      <c r="Q96" s="4" t="inlineStr">
        <is>
          <t>Não</t>
        </is>
      </c>
      <c r="R96" s="4" t="inlineStr">
        <is>
          <t>API interna</t>
        </is>
      </c>
      <c r="S96" s="4" t="n">
        <v>1</v>
      </c>
      <c r="T96" s="4" t="inlineStr">
        <is>
          <t>Não</t>
        </is>
      </c>
      <c r="U96" s="4" t="inlineStr">
        <is>
          <t>Sim</t>
        </is>
      </c>
      <c r="V96" s="4" t="inlineStr">
        <is>
          <t>Não</t>
        </is>
      </c>
      <c r="W96" s="4" t="inlineStr"/>
    </row>
    <row r="97">
      <c r="A97" s="4" t="inlineStr">
        <is>
          <t>BTG Pactual</t>
        </is>
      </c>
      <c r="B97" s="4" t="inlineStr">
        <is>
          <t>Finacap BP Prev 70 FIF MM</t>
        </is>
      </c>
      <c r="C97" s="6" t="inlineStr">
        <is>
          <t>67.671.091/0001-68</t>
        </is>
      </c>
      <c r="D97" s="4" t="inlineStr">
        <is>
          <t>FINACAP INVESTIMENTOS LTDA</t>
        </is>
      </c>
      <c r="E97" s="4" t="inlineStr">
        <is>
          <t>01.294.929/0001-33</t>
        </is>
      </c>
      <c r="F97" s="4" t="inlineStr">
        <is>
          <t>BTG PACTUAL SERVICOS FINANCEIROS S.A. DISTRIBUIDOR</t>
        </is>
      </c>
      <c r="G97" s="4" t="inlineStr">
        <is>
          <t>Multimercado</t>
        </is>
      </c>
      <c r="H97" s="4" t="inlineStr">
        <is>
          <t>Renda Variável</t>
        </is>
      </c>
      <c r="I97" s="7" t="n">
        <v>1000</v>
      </c>
      <c r="J97" s="8" t="n"/>
      <c r="K97" s="8" t="n"/>
      <c r="L97" s="4" t="inlineStr"/>
      <c r="M97" s="5" t="n">
        <v>3</v>
      </c>
      <c r="N97" s="5" t="n">
        <v>6</v>
      </c>
      <c r="O97" s="5" t="n"/>
      <c r="P97" s="4" t="inlineStr">
        <is>
          <t>Longo Prazo</t>
        </is>
      </c>
      <c r="Q97" s="4" t="inlineStr">
        <is>
          <t>Não</t>
        </is>
      </c>
      <c r="R97" s="4" t="inlineStr">
        <is>
          <t>API interna</t>
        </is>
      </c>
      <c r="S97" s="4" t="n">
        <v>1</v>
      </c>
      <c r="T97" s="4" t="inlineStr">
        <is>
          <t>Não</t>
        </is>
      </c>
      <c r="U97" s="4" t="inlineStr">
        <is>
          <t>Sim</t>
        </is>
      </c>
      <c r="V97" s="4" t="inlineStr">
        <is>
          <t>Não</t>
        </is>
      </c>
      <c r="W97" s="4" t="inlineStr"/>
    </row>
    <row r="98">
      <c r="A98" s="4" t="inlineStr">
        <is>
          <t>BTG Pactual</t>
        </is>
      </c>
      <c r="B98" s="4" t="inlineStr">
        <is>
          <t>Forpus 100 Icatu Prev Qual FICFIA RL</t>
        </is>
      </c>
      <c r="C98" s="6" t="inlineStr">
        <is>
          <t>38.281.397/0001-00</t>
        </is>
      </c>
      <c r="D98" s="4" t="inlineStr">
        <is>
          <t>FORPUS CAPITAL GESTÃO DE RECURSOS LTDA.</t>
        </is>
      </c>
      <c r="E98" s="4" t="inlineStr">
        <is>
          <t>21.018.289/0001-46</t>
        </is>
      </c>
      <c r="F98" s="4" t="inlineStr">
        <is>
          <t>BNY MELLON SERVICOS FINANCEIROS DTVM S/A</t>
        </is>
      </c>
      <c r="G98" s="4" t="inlineStr">
        <is>
          <t>Ações</t>
        </is>
      </c>
      <c r="H98" s="4" t="inlineStr">
        <is>
          <t>Renda Variável</t>
        </is>
      </c>
      <c r="I98" s="7" t="n">
        <v>5000</v>
      </c>
      <c r="J98" s="8" t="n">
        <v>2</v>
      </c>
      <c r="K98" s="8" t="n">
        <v>20</v>
      </c>
      <c r="L98" s="4" t="inlineStr">
        <is>
          <t>IMA-B</t>
        </is>
      </c>
      <c r="M98" s="5" t="n">
        <v>8</v>
      </c>
      <c r="N98" s="5" t="n">
        <v>10</v>
      </c>
      <c r="O98" s="5" t="n"/>
      <c r="P98" s="4" t="inlineStr">
        <is>
          <t>Indefinido</t>
        </is>
      </c>
      <c r="Q98" s="4" t="inlineStr">
        <is>
          <t>Não</t>
        </is>
      </c>
      <c r="R98" s="4" t="inlineStr">
        <is>
          <t>API interna</t>
        </is>
      </c>
      <c r="S98" s="4" t="n">
        <v>1</v>
      </c>
      <c r="T98" s="4" t="inlineStr">
        <is>
          <t>Não</t>
        </is>
      </c>
      <c r="U98" s="4" t="inlineStr">
        <is>
          <t>Sim</t>
        </is>
      </c>
      <c r="V98" s="4" t="inlineStr">
        <is>
          <t>Não</t>
        </is>
      </c>
      <c r="W98" s="4" t="inlineStr"/>
    </row>
    <row r="99">
      <c r="A99" s="4" t="inlineStr">
        <is>
          <t>BTG Pactual</t>
        </is>
      </c>
      <c r="B99" s="4" t="inlineStr">
        <is>
          <t>Forpus 70 Prev FIM RL</t>
        </is>
      </c>
      <c r="C99" s="6" t="inlineStr">
        <is>
          <t>34.474.917/0001-40</t>
        </is>
      </c>
      <c r="D99" s="4" t="inlineStr">
        <is>
          <t>FORPUS CAPITAL GESTÃO DE RECURSOS LTDA.</t>
        </is>
      </c>
      <c r="E99" s="4" t="inlineStr">
        <is>
          <t>21.018.289/0001-46</t>
        </is>
      </c>
      <c r="F99" s="4" t="inlineStr">
        <is>
          <t>BNY MELLON SERVICOS FINANCEIROS DTVM S/A</t>
        </is>
      </c>
      <c r="G99" s="4" t="inlineStr">
        <is>
          <t>Multimercado</t>
        </is>
      </c>
      <c r="H99" s="4" t="inlineStr">
        <is>
          <t>Renda Variável</t>
        </is>
      </c>
      <c r="I99" s="7" t="n">
        <v>1000</v>
      </c>
      <c r="J99" s="8" t="n">
        <v>2</v>
      </c>
      <c r="K99" s="8" t="n">
        <v>20</v>
      </c>
      <c r="L99" s="4" t="inlineStr">
        <is>
          <t>CDI</t>
        </is>
      </c>
      <c r="M99" s="5" t="n">
        <v>8</v>
      </c>
      <c r="N99" s="5" t="n">
        <v>10</v>
      </c>
      <c r="O99" s="5" t="n"/>
      <c r="P99" s="4" t="inlineStr">
        <is>
          <t>Longo Prazo</t>
        </is>
      </c>
      <c r="Q99" s="4" t="inlineStr">
        <is>
          <t>Não</t>
        </is>
      </c>
      <c r="R99" s="4" t="inlineStr">
        <is>
          <t>API interna</t>
        </is>
      </c>
      <c r="S99" s="4" t="n">
        <v>1</v>
      </c>
      <c r="T99" s="4" t="inlineStr">
        <is>
          <t>Não</t>
        </is>
      </c>
      <c r="U99" s="4" t="inlineStr">
        <is>
          <t>Sim</t>
        </is>
      </c>
      <c r="V99" s="4" t="inlineStr">
        <is>
          <t>Não</t>
        </is>
      </c>
      <c r="W99" s="4" t="inlineStr"/>
    </row>
    <row r="100">
      <c r="A100" s="4" t="inlineStr">
        <is>
          <t>BTG Pactual</t>
        </is>
      </c>
      <c r="B100" s="4" t="inlineStr">
        <is>
          <t>Genoa Capital Cruise Prev BTG FICFIM RL</t>
        </is>
      </c>
      <c r="C100" s="6" t="inlineStr">
        <is>
          <t>42.535.251/0001-10</t>
        </is>
      </c>
      <c r="D100" s="4" t="inlineStr">
        <is>
          <t>GENOA CAPITAL GESTORA DE RECURSOS LTDA</t>
        </is>
      </c>
      <c r="E100" s="4" t="inlineStr">
        <is>
          <t>34.276.448/0001-54</t>
        </is>
      </c>
      <c r="F100" s="4" t="inlineStr">
        <is>
          <t>INTRAG DISTR DE TITULOS EVALORES MOBILIARIOS LTDA</t>
        </is>
      </c>
      <c r="G100" s="4" t="inlineStr">
        <is>
          <t>Multimercado</t>
        </is>
      </c>
      <c r="H100" s="4" t="inlineStr">
        <is>
          <t>Multimercado</t>
        </is>
      </c>
      <c r="I100" s="7" t="n">
        <v>1000</v>
      </c>
      <c r="J100" s="8" t="n">
        <v>2</v>
      </c>
      <c r="K100" s="8" t="n">
        <v>20</v>
      </c>
      <c r="L100" s="4" t="inlineStr">
        <is>
          <t>CDI</t>
        </is>
      </c>
      <c r="M100" s="5" t="n">
        <v>5</v>
      </c>
      <c r="N100" s="5" t="n">
        <v>7</v>
      </c>
      <c r="O100" s="5" t="n"/>
      <c r="P100" s="4" t="inlineStr">
        <is>
          <t>Longo Prazo</t>
        </is>
      </c>
      <c r="Q100" s="4" t="inlineStr">
        <is>
          <t>Não</t>
        </is>
      </c>
      <c r="R100" s="4" t="inlineStr">
        <is>
          <t>API interna</t>
        </is>
      </c>
      <c r="S100" s="4" t="n">
        <v>1</v>
      </c>
      <c r="T100" s="4" t="inlineStr">
        <is>
          <t>Não</t>
        </is>
      </c>
      <c r="U100" s="4" t="inlineStr">
        <is>
          <t>Sim</t>
        </is>
      </c>
      <c r="V100" s="4" t="inlineStr">
        <is>
          <t>Não</t>
        </is>
      </c>
      <c r="W100" s="4" t="inlineStr"/>
    </row>
    <row r="101">
      <c r="A101" s="4" t="inlineStr">
        <is>
          <t>BTG Pactual</t>
        </is>
      </c>
      <c r="B101" s="4" t="inlineStr">
        <is>
          <t>Genoa Capital Sagres Prev FIF FIC MM Access</t>
        </is>
      </c>
      <c r="C101" s="6" t="inlineStr">
        <is>
          <t>64.810.424/0001-02</t>
        </is>
      </c>
      <c r="D101" s="4" t="inlineStr">
        <is>
          <t>BTG PACTUAL GESTÃO E CONSULTORIA DE INVESTIMENTOS LTDA</t>
        </is>
      </c>
      <c r="E101" s="4" t="inlineStr">
        <is>
          <t>12.695.840/0001-03</t>
        </is>
      </c>
      <c r="F101" s="4" t="inlineStr">
        <is>
          <t>BTG PACTUAL SERVICOS FINANCEIROS S.A. DISTRIBUIDOR</t>
        </is>
      </c>
      <c r="G101" s="4" t="inlineStr">
        <is>
          <t>Multimercado</t>
        </is>
      </c>
      <c r="H101" s="4" t="inlineStr">
        <is>
          <t>Multimercado</t>
        </is>
      </c>
      <c r="I101" s="7" t="n">
        <v>1000</v>
      </c>
      <c r="J101" s="8" t="n">
        <v>2</v>
      </c>
      <c r="K101" s="8" t="n"/>
      <c r="L101" s="4" t="inlineStr"/>
      <c r="M101" s="5" t="n">
        <v>22</v>
      </c>
      <c r="N101" s="5" t="n">
        <v>24</v>
      </c>
      <c r="O101" s="5" t="n"/>
      <c r="P101" s="4" t="inlineStr">
        <is>
          <t>Curto Prazo</t>
        </is>
      </c>
      <c r="Q101" s="4" t="inlineStr">
        <is>
          <t>Não</t>
        </is>
      </c>
      <c r="R101" s="4" t="inlineStr">
        <is>
          <t>API interna</t>
        </is>
      </c>
      <c r="S101" s="4" t="n">
        <v>1</v>
      </c>
      <c r="T101" s="4" t="inlineStr">
        <is>
          <t>Não</t>
        </is>
      </c>
      <c r="U101" s="4" t="inlineStr">
        <is>
          <t>Sim</t>
        </is>
      </c>
      <c r="V101" s="4" t="inlineStr">
        <is>
          <t>Não</t>
        </is>
      </c>
      <c r="W101" s="4" t="inlineStr"/>
    </row>
    <row r="102">
      <c r="A102" s="4" t="inlineStr">
        <is>
          <t>BTG Pactual</t>
        </is>
      </c>
      <c r="B102" s="4" t="inlineStr">
        <is>
          <t>Giant Prev BTG FIE FICFIM RL</t>
        </is>
      </c>
      <c r="C102" s="6" t="inlineStr">
        <is>
          <t>36.327.405/0001-86</t>
        </is>
      </c>
      <c r="D102" s="4" t="inlineStr">
        <is>
          <t>GIANT STEPS CAPITAL INVESTIMENTOS</t>
        </is>
      </c>
      <c r="E102" s="4" t="inlineStr">
        <is>
          <t>17.021.922/0001-88</t>
        </is>
      </c>
      <c r="F102" s="4" t="inlineStr">
        <is>
          <t>BNY MELLON SERVICOS FINANCEIROS DTVM S/A</t>
        </is>
      </c>
      <c r="G102" s="4" t="inlineStr">
        <is>
          <t>Multimercado</t>
        </is>
      </c>
      <c r="H102" s="4" t="inlineStr">
        <is>
          <t>Multimercado</t>
        </is>
      </c>
      <c r="I102" s="7" t="n">
        <v>1</v>
      </c>
      <c r="J102" s="8" t="n">
        <v>1.45</v>
      </c>
      <c r="K102" s="8" t="n">
        <v>20</v>
      </c>
      <c r="L102" s="4" t="inlineStr">
        <is>
          <t>CDI</t>
        </is>
      </c>
      <c r="M102" s="5" t="n">
        <v>7</v>
      </c>
      <c r="N102" s="5" t="n">
        <v>9</v>
      </c>
      <c r="O102" s="5" t="n"/>
      <c r="P102" s="4" t="inlineStr">
        <is>
          <t>Longo Prazo</t>
        </is>
      </c>
      <c r="Q102" s="4" t="inlineStr">
        <is>
          <t>Não</t>
        </is>
      </c>
      <c r="R102" s="4" t="inlineStr">
        <is>
          <t>API interna</t>
        </is>
      </c>
      <c r="S102" s="4" t="n">
        <v>1</v>
      </c>
      <c r="T102" s="4" t="inlineStr">
        <is>
          <t>Não</t>
        </is>
      </c>
      <c r="U102" s="4" t="inlineStr">
        <is>
          <t>Sim</t>
        </is>
      </c>
      <c r="V102" s="4" t="inlineStr">
        <is>
          <t>Não</t>
        </is>
      </c>
      <c r="W102" s="4" t="inlineStr"/>
    </row>
    <row r="103">
      <c r="A103" s="4" t="inlineStr">
        <is>
          <t>BTG Pactual</t>
        </is>
      </c>
      <c r="B103" s="4" t="inlineStr">
        <is>
          <t>Guardian BTG Prev FICFIRF CrPr RL</t>
        </is>
      </c>
      <c r="C103" s="6" t="inlineStr">
        <is>
          <t>61.874.568/0001-26</t>
        </is>
      </c>
      <c r="D103" s="4" t="inlineStr">
        <is>
          <t>GUARDIAN GESTORA LTDA.</t>
        </is>
      </c>
      <c r="E103" s="4" t="inlineStr">
        <is>
          <t>37.414.193/0001-37</t>
        </is>
      </c>
      <c r="F103" s="4" t="inlineStr">
        <is>
          <t>BTG PACTUAL SERVICOS FINANCEIROS S.A. DISTRIBUIDOR</t>
        </is>
      </c>
      <c r="G103" s="4" t="inlineStr">
        <is>
          <t>Renda Fixa</t>
        </is>
      </c>
      <c r="H103" s="4" t="inlineStr">
        <is>
          <t>Renda Fixa</t>
        </is>
      </c>
      <c r="I103" s="7" t="n">
        <v>1000</v>
      </c>
      <c r="J103" s="8" t="n"/>
      <c r="K103" s="8" t="n">
        <v>20</v>
      </c>
      <c r="L103" s="4" t="inlineStr">
        <is>
          <t>-</t>
        </is>
      </c>
      <c r="M103" s="5" t="n">
        <v>6</v>
      </c>
      <c r="N103" s="5" t="n">
        <v>8</v>
      </c>
      <c r="O103" s="5" t="n"/>
      <c r="P103" s="4" t="inlineStr">
        <is>
          <t>Curto Prazo</t>
        </is>
      </c>
      <c r="Q103" s="4" t="inlineStr">
        <is>
          <t>Não</t>
        </is>
      </c>
      <c r="R103" s="4" t="inlineStr">
        <is>
          <t>API interna</t>
        </is>
      </c>
      <c r="S103" s="4" t="n">
        <v>1</v>
      </c>
      <c r="T103" s="4" t="inlineStr">
        <is>
          <t>Não</t>
        </is>
      </c>
      <c r="U103" s="4" t="inlineStr">
        <is>
          <t>Sim</t>
        </is>
      </c>
      <c r="V103" s="4" t="inlineStr">
        <is>
          <t>Não</t>
        </is>
      </c>
      <c r="W103" s="4" t="inlineStr"/>
    </row>
    <row r="104">
      <c r="A104" s="4" t="inlineStr">
        <is>
          <t>BTG Pactual</t>
        </is>
      </c>
      <c r="B104" s="4" t="inlineStr">
        <is>
          <t>Guepardo Icatu Qualificado 100 Prev FIE Tipo 1 FICFIM RL</t>
        </is>
      </c>
      <c r="C104" s="6" t="inlineStr">
        <is>
          <t>45.605.046/0001-72</t>
        </is>
      </c>
      <c r="D104" s="4" t="inlineStr">
        <is>
          <t>GUEPARDO INVESTIMENTOS LTDA</t>
        </is>
      </c>
      <c r="E104" s="4" t="inlineStr">
        <is>
          <t>07.078.144/0001-00</t>
        </is>
      </c>
      <c r="F104" s="4" t="inlineStr">
        <is>
          <t>BTG PACTUAL SERVICOS FINANCEIROS S.A. DISTRIBUIDOR</t>
        </is>
      </c>
      <c r="G104" s="4" t="inlineStr">
        <is>
          <t>Multimercado</t>
        </is>
      </c>
      <c r="H104" s="4" t="inlineStr">
        <is>
          <t>Renda Variável</t>
        </is>
      </c>
      <c r="I104" s="7" t="n">
        <v>5000</v>
      </c>
      <c r="J104" s="8" t="n"/>
      <c r="K104" s="8" t="n"/>
      <c r="L104" s="4" t="inlineStr"/>
      <c r="M104" s="5" t="n">
        <v>21</v>
      </c>
      <c r="N104" s="5" t="n">
        <v>23</v>
      </c>
      <c r="O104" s="5" t="n"/>
      <c r="P104" s="4" t="inlineStr">
        <is>
          <t>Curto Prazo</t>
        </is>
      </c>
      <c r="Q104" s="4" t="inlineStr">
        <is>
          <t>Não</t>
        </is>
      </c>
      <c r="R104" s="4" t="inlineStr">
        <is>
          <t>API interna</t>
        </is>
      </c>
      <c r="S104" s="4" t="n">
        <v>1</v>
      </c>
      <c r="T104" s="4" t="inlineStr">
        <is>
          <t>Não</t>
        </is>
      </c>
      <c r="U104" s="4" t="inlineStr">
        <is>
          <t>Sim</t>
        </is>
      </c>
      <c r="V104" s="4" t="inlineStr">
        <is>
          <t>Não</t>
        </is>
      </c>
      <c r="W104" s="4" t="inlineStr"/>
    </row>
    <row r="105">
      <c r="A105" s="4" t="inlineStr">
        <is>
          <t>BTG Pactual</t>
        </is>
      </c>
      <c r="B105" s="4" t="inlineStr">
        <is>
          <t>HIX Icatu Prev Long Only Qualificado FICFIM 100 RL</t>
        </is>
      </c>
      <c r="C105" s="6" t="inlineStr">
        <is>
          <t>29.800.227/0001-01</t>
        </is>
      </c>
      <c r="D105" s="4" t="inlineStr">
        <is>
          <t>HIX INVESTIMENTOS LTDA</t>
        </is>
      </c>
      <c r="E105" s="4" t="inlineStr">
        <is>
          <t>14.205.023/0001-47</t>
        </is>
      </c>
      <c r="F105" s="4" t="inlineStr">
        <is>
          <t>BNY MELLON SERVICOS FINANCEIROS DTVM S/A</t>
        </is>
      </c>
      <c r="G105" s="4" t="inlineStr">
        <is>
          <t>Multimercado</t>
        </is>
      </c>
      <c r="H105" s="4" t="inlineStr">
        <is>
          <t>Renda Variável</t>
        </is>
      </c>
      <c r="I105" s="7" t="n">
        <v>5000</v>
      </c>
      <c r="J105" s="8" t="n">
        <v>2</v>
      </c>
      <c r="K105" s="8" t="n"/>
      <c r="L105" s="4" t="inlineStr"/>
      <c r="M105" s="5" t="n">
        <v>60</v>
      </c>
      <c r="N105" s="5" t="n">
        <v>63</v>
      </c>
      <c r="O105" s="5" t="n"/>
      <c r="P105" s="4" t="inlineStr">
        <is>
          <t>Não Aplicável</t>
        </is>
      </c>
      <c r="Q105" s="4" t="inlineStr">
        <is>
          <t>Não</t>
        </is>
      </c>
      <c r="R105" s="4" t="inlineStr">
        <is>
          <t>API interna</t>
        </is>
      </c>
      <c r="S105" s="4" t="n">
        <v>1</v>
      </c>
      <c r="T105" s="4" t="inlineStr">
        <is>
          <t>Não</t>
        </is>
      </c>
      <c r="U105" s="4" t="inlineStr">
        <is>
          <t>Sim</t>
        </is>
      </c>
      <c r="V105" s="4" t="inlineStr">
        <is>
          <t>Não</t>
        </is>
      </c>
      <c r="W105" s="4" t="inlineStr"/>
    </row>
    <row r="106">
      <c r="A106" s="4" t="inlineStr">
        <is>
          <t>BTG Pactual</t>
        </is>
      </c>
      <c r="B106" s="4" t="inlineStr">
        <is>
          <t>HIX Prev III Prev FICFIA RL</t>
        </is>
      </c>
      <c r="C106" s="6" t="inlineStr">
        <is>
          <t>43.507.741/0001-76</t>
        </is>
      </c>
      <c r="D106" s="4" t="inlineStr">
        <is>
          <t>HIX INVESTIMENTOS LTDA</t>
        </is>
      </c>
      <c r="E106" s="4" t="inlineStr">
        <is>
          <t>14.205.023/0001-47</t>
        </is>
      </c>
      <c r="F106" s="4" t="inlineStr">
        <is>
          <t>BTG PACTUAL SERVICOS FINANCEIROS S.A. DISTRIBUIDOR</t>
        </is>
      </c>
      <c r="G106" s="4" t="inlineStr">
        <is>
          <t>Ações</t>
        </is>
      </c>
      <c r="H106" s="4" t="inlineStr">
        <is>
          <t>Renda Variável</t>
        </is>
      </c>
      <c r="I106" s="7" t="n">
        <v>1000</v>
      </c>
      <c r="J106" s="8" t="n"/>
      <c r="K106" s="8" t="n">
        <v>20</v>
      </c>
      <c r="L106" s="4" t="inlineStr">
        <is>
          <t>-</t>
        </is>
      </c>
      <c r="M106" s="5" t="n">
        <v>60</v>
      </c>
      <c r="N106" s="5" t="n">
        <v>62</v>
      </c>
      <c r="O106" s="5" t="n"/>
      <c r="P106" s="4" t="inlineStr">
        <is>
          <t>Curto Prazo</t>
        </is>
      </c>
      <c r="Q106" s="4" t="inlineStr">
        <is>
          <t>Não</t>
        </is>
      </c>
      <c r="R106" s="4" t="inlineStr">
        <is>
          <t>API interna</t>
        </is>
      </c>
      <c r="S106" s="4" t="n">
        <v>1</v>
      </c>
      <c r="T106" s="4" t="inlineStr">
        <is>
          <t>Não</t>
        </is>
      </c>
      <c r="U106" s="4" t="inlineStr">
        <is>
          <t>Sim</t>
        </is>
      </c>
      <c r="V106" s="4" t="inlineStr">
        <is>
          <t>Não</t>
        </is>
      </c>
      <c r="W106" s="4" t="inlineStr"/>
    </row>
    <row r="107">
      <c r="A107" s="4" t="inlineStr">
        <is>
          <t>BTG Pactual</t>
        </is>
      </c>
      <c r="B107" s="4" t="inlineStr">
        <is>
          <t>Harbour Endeavour Prev FIM CrPr RL</t>
        </is>
      </c>
      <c r="C107" s="6" t="inlineStr">
        <is>
          <t>55.849.709/0001-58</t>
        </is>
      </c>
      <c r="D107" s="4" t="inlineStr">
        <is>
          <t>HARBOUR CAPITAL ADMINISTRADORA DE CARTEIRAS DE VALORES MOBILIÁRIOS LTDA.</t>
        </is>
      </c>
      <c r="E107" s="4" t="inlineStr">
        <is>
          <t>36.040.900/0001-00</t>
        </is>
      </c>
      <c r="F107" s="4" t="inlineStr">
        <is>
          <t>BTG PACTUAL SERVICOS FINANCEIROS S.A. DISTRIBUIDOR</t>
        </is>
      </c>
      <c r="G107" s="4" t="inlineStr">
        <is>
          <t>Multimercado</t>
        </is>
      </c>
      <c r="H107" s="4" t="inlineStr">
        <is>
          <t>Renda Fixa</t>
        </is>
      </c>
      <c r="I107" s="7" t="n">
        <v>1000</v>
      </c>
      <c r="J107" s="8" t="n"/>
      <c r="K107" s="8" t="n">
        <v>20</v>
      </c>
      <c r="L107" s="4" t="inlineStr">
        <is>
          <t>-</t>
        </is>
      </c>
      <c r="M107" s="5" t="n">
        <v>59</v>
      </c>
      <c r="N107" s="5" t="n">
        <v>60</v>
      </c>
      <c r="O107" s="5" t="n"/>
      <c r="P107" s="4" t="inlineStr">
        <is>
          <t>Curto Prazo</t>
        </is>
      </c>
      <c r="Q107" s="4" t="inlineStr">
        <is>
          <t>Não</t>
        </is>
      </c>
      <c r="R107" s="4" t="inlineStr">
        <is>
          <t>API interna</t>
        </is>
      </c>
      <c r="S107" s="4" t="n">
        <v>1</v>
      </c>
      <c r="T107" s="4" t="inlineStr">
        <is>
          <t>Não</t>
        </is>
      </c>
      <c r="U107" s="4" t="inlineStr">
        <is>
          <t>Sim</t>
        </is>
      </c>
      <c r="V107" s="4" t="inlineStr">
        <is>
          <t>Não</t>
        </is>
      </c>
      <c r="W107" s="4" t="inlineStr"/>
    </row>
    <row r="108">
      <c r="A108" s="4" t="inlineStr">
        <is>
          <t>BTG Pactual</t>
        </is>
      </c>
      <c r="B108" s="4" t="inlineStr">
        <is>
          <t>Hashdex High Sharpe Long Biased Prev FICFIM RL</t>
        </is>
      </c>
      <c r="C108" s="6" t="inlineStr">
        <is>
          <t>57.166.392/0001-80</t>
        </is>
      </c>
      <c r="D108" s="4" t="inlineStr">
        <is>
          <t>HASHDEX GESTORA DE RECURSOS LTDA</t>
        </is>
      </c>
      <c r="E108" s="4" t="inlineStr">
        <is>
          <t>30.056.796/0001-65</t>
        </is>
      </c>
      <c r="F108" s="4" t="inlineStr">
        <is>
          <t>BTG PACTUAL SERVICOS FINANCEIROS S.A. DISTRIBUIDOR</t>
        </is>
      </c>
      <c r="G108" s="4" t="inlineStr">
        <is>
          <t>Multimercado</t>
        </is>
      </c>
      <c r="H108" s="4" t="inlineStr">
        <is>
          <t>Alternativos</t>
        </is>
      </c>
      <c r="I108" s="7" t="n">
        <v>1000</v>
      </c>
      <c r="J108" s="8" t="n">
        <v>2.3</v>
      </c>
      <c r="K108" s="8" t="n"/>
      <c r="L108" s="4" t="inlineStr"/>
      <c r="M108" s="5" t="n">
        <v>5</v>
      </c>
      <c r="N108" s="5" t="n">
        <v>7</v>
      </c>
      <c r="O108" s="5" t="n"/>
      <c r="P108" s="4" t="inlineStr">
        <is>
          <t>Curto Prazo</t>
        </is>
      </c>
      <c r="Q108" s="4" t="inlineStr">
        <is>
          <t>Não</t>
        </is>
      </c>
      <c r="R108" s="4" t="inlineStr">
        <is>
          <t>API interna</t>
        </is>
      </c>
      <c r="S108" s="4" t="n">
        <v>1</v>
      </c>
      <c r="T108" s="4" t="inlineStr">
        <is>
          <t>Não</t>
        </is>
      </c>
      <c r="U108" s="4" t="inlineStr">
        <is>
          <t>Sim</t>
        </is>
      </c>
      <c r="V108" s="4" t="inlineStr">
        <is>
          <t>Não</t>
        </is>
      </c>
      <c r="W108" s="4" t="inlineStr"/>
    </row>
    <row r="109">
      <c r="A109" s="4" t="inlineStr">
        <is>
          <t>BTG Pactual</t>
        </is>
      </c>
      <c r="B109" s="4" t="inlineStr">
        <is>
          <t>IP Prev Icatu Qualificado FICFIM RL</t>
        </is>
      </c>
      <c r="C109" s="6" t="inlineStr">
        <is>
          <t>39.723.078/0001-70</t>
        </is>
      </c>
      <c r="D109" s="4" t="inlineStr">
        <is>
          <t>INVESTIDOR PROFISSIONAL GESTÃO DE RECURSOS LTDA</t>
        </is>
      </c>
      <c r="E109" s="4" t="inlineStr">
        <is>
          <t>32.319.907/0001-04</t>
        </is>
      </c>
      <c r="F109" s="4" t="inlineStr">
        <is>
          <t>BNY MELLON SERVICOS FINANCEIROS DTVM S/A</t>
        </is>
      </c>
      <c r="G109" s="4" t="inlineStr">
        <is>
          <t>Multimercado</t>
        </is>
      </c>
      <c r="H109" s="4" t="inlineStr">
        <is>
          <t>Renda Variável</t>
        </is>
      </c>
      <c r="I109" s="7" t="n">
        <v>5000</v>
      </c>
      <c r="J109" s="8" t="n">
        <v>2</v>
      </c>
      <c r="K109" s="8" t="n">
        <v>20</v>
      </c>
      <c r="L109" s="4" t="inlineStr">
        <is>
          <t>IPCA</t>
        </is>
      </c>
      <c r="M109" s="5" t="n">
        <v>20</v>
      </c>
      <c r="N109" s="5" t="n">
        <v>22</v>
      </c>
      <c r="O109" s="5" t="n"/>
      <c r="P109" s="4" t="inlineStr">
        <is>
          <t>Não Aplicável</t>
        </is>
      </c>
      <c r="Q109" s="4" t="inlineStr">
        <is>
          <t>Não</t>
        </is>
      </c>
      <c r="R109" s="4" t="inlineStr">
        <is>
          <t>API interna</t>
        </is>
      </c>
      <c r="S109" s="4" t="n">
        <v>1</v>
      </c>
      <c r="T109" s="4" t="inlineStr">
        <is>
          <t>Não</t>
        </is>
      </c>
      <c r="U109" s="4" t="inlineStr">
        <is>
          <t>Sim</t>
        </is>
      </c>
      <c r="V109" s="4" t="inlineStr">
        <is>
          <t>Não</t>
        </is>
      </c>
      <c r="W109" s="4" t="inlineStr"/>
    </row>
    <row r="110">
      <c r="A110" s="4" t="inlineStr">
        <is>
          <t>BTG Pactual</t>
        </is>
      </c>
      <c r="B110" s="4" t="inlineStr">
        <is>
          <t>Ibiuna Credit Prev FICFIM Access CrPr RL</t>
        </is>
      </c>
      <c r="C110" s="6" t="inlineStr">
        <is>
          <t>44.672.703/0001-31</t>
        </is>
      </c>
      <c r="D110" s="4" t="inlineStr">
        <is>
          <t>BTG PACTUAL GESTÃO E CONSULTORIA DE INVESTIMENTOS LTDA</t>
        </is>
      </c>
      <c r="E110" s="4" t="inlineStr">
        <is>
          <t>12.695.840/0001-03</t>
        </is>
      </c>
      <c r="F110" s="4" t="inlineStr">
        <is>
          <t>BTG PACTUAL SERVICOS FINANCEIROS S.A. DISTRIBUIDOR</t>
        </is>
      </c>
      <c r="G110" s="4" t="inlineStr">
        <is>
          <t>Multimercado</t>
        </is>
      </c>
      <c r="H110" s="4" t="inlineStr">
        <is>
          <t>Renda Fixa</t>
        </is>
      </c>
      <c r="I110" s="7" t="n">
        <v>1000</v>
      </c>
      <c r="J110" s="8" t="n">
        <v>0.8</v>
      </c>
      <c r="K110" s="8" t="n"/>
      <c r="L110" s="4" t="inlineStr"/>
      <c r="M110" s="5" t="n">
        <v>30</v>
      </c>
      <c r="N110" s="5" t="n">
        <v>31</v>
      </c>
      <c r="O110" s="5" t="n"/>
      <c r="P110" s="4" t="inlineStr">
        <is>
          <t>Curto Prazo</t>
        </is>
      </c>
      <c r="Q110" s="4" t="inlineStr">
        <is>
          <t>Não</t>
        </is>
      </c>
      <c r="R110" s="4" t="inlineStr">
        <is>
          <t>API interna</t>
        </is>
      </c>
      <c r="S110" s="4" t="n">
        <v>1</v>
      </c>
      <c r="T110" s="4" t="inlineStr">
        <is>
          <t>Não</t>
        </is>
      </c>
      <c r="U110" s="4" t="inlineStr">
        <is>
          <t>Sim</t>
        </is>
      </c>
      <c r="V110" s="4" t="inlineStr">
        <is>
          <t>Não</t>
        </is>
      </c>
      <c r="W110" s="4" t="inlineStr"/>
    </row>
    <row r="111">
      <c r="A111" s="4" t="inlineStr">
        <is>
          <t>BTG Pactual</t>
        </is>
      </c>
      <c r="B111" s="4" t="inlineStr">
        <is>
          <t>Ibiuna ST Prev FICFIM Access CrPr RL</t>
        </is>
      </c>
      <c r="C111" s="6" t="inlineStr">
        <is>
          <t>44.672.717/0001-55</t>
        </is>
      </c>
      <c r="D111" s="4" t="inlineStr">
        <is>
          <t>BTG PACTUAL GESTÃO E CONSULTORIA DE INVESTIMENTOS LTDA</t>
        </is>
      </c>
      <c r="E111" s="4" t="inlineStr">
        <is>
          <t>12.695.840/0001-03</t>
        </is>
      </c>
      <c r="F111" s="4" t="inlineStr">
        <is>
          <t>BTG PACTUAL SERVICOS FINANCEIROS S.A. DISTRIBUIDOR</t>
        </is>
      </c>
      <c r="G111" s="4" t="inlineStr">
        <is>
          <t>Multimercado</t>
        </is>
      </c>
      <c r="H111" s="4" t="inlineStr">
        <is>
          <t>Multimercado</t>
        </is>
      </c>
      <c r="I111" s="7" t="n">
        <v>1000</v>
      </c>
      <c r="J111" s="8" t="n">
        <v>2</v>
      </c>
      <c r="K111" s="8" t="n"/>
      <c r="L111" s="4" t="inlineStr"/>
      <c r="M111" s="5" t="n">
        <v>30</v>
      </c>
      <c r="N111" s="5" t="n">
        <v>31</v>
      </c>
      <c r="O111" s="5" t="n"/>
      <c r="P111" s="4" t="inlineStr">
        <is>
          <t>Curto Prazo</t>
        </is>
      </c>
      <c r="Q111" s="4" t="inlineStr">
        <is>
          <t>Não</t>
        </is>
      </c>
      <c r="R111" s="4" t="inlineStr">
        <is>
          <t>API interna</t>
        </is>
      </c>
      <c r="S111" s="4" t="n">
        <v>1</v>
      </c>
      <c r="T111" s="4" t="inlineStr">
        <is>
          <t>Não</t>
        </is>
      </c>
      <c r="U111" s="4" t="inlineStr">
        <is>
          <t>Sim</t>
        </is>
      </c>
      <c r="V111" s="4" t="inlineStr">
        <is>
          <t>Não</t>
        </is>
      </c>
      <c r="W111" s="4" t="inlineStr"/>
    </row>
    <row r="112">
      <c r="A112" s="4" t="inlineStr">
        <is>
          <t>BTG Pactual</t>
        </is>
      </c>
      <c r="B112" s="4" t="inlineStr">
        <is>
          <t>Icatu Kadima FIE Prev FICFIM RL</t>
        </is>
      </c>
      <c r="C112" s="6" t="inlineStr">
        <is>
          <t>15.862.867/0001-23</t>
        </is>
      </c>
      <c r="D112" s="4" t="inlineStr">
        <is>
          <t>KADIMA GESTAO DE INVESTIMENTOS LTDA</t>
        </is>
      </c>
      <c r="E112" s="4" t="inlineStr">
        <is>
          <t>08.792.073/0001-75</t>
        </is>
      </c>
      <c r="F112" s="4" t="inlineStr">
        <is>
          <t>BNY MELLON SERVICOS FINANCEIROS DTVM S/A</t>
        </is>
      </c>
      <c r="G112" s="4" t="inlineStr">
        <is>
          <t>Multimercado</t>
        </is>
      </c>
      <c r="H112" s="4" t="inlineStr">
        <is>
          <t>Multimercado</t>
        </is>
      </c>
      <c r="I112" s="7" t="n">
        <v>1500</v>
      </c>
      <c r="J112" s="8" t="n">
        <v>2</v>
      </c>
      <c r="K112" s="8" t="n"/>
      <c r="L112" s="4" t="inlineStr"/>
      <c r="M112" s="5" t="n">
        <v>2</v>
      </c>
      <c r="N112" s="5" t="n">
        <v>3</v>
      </c>
      <c r="O112" s="5" t="n"/>
      <c r="P112" s="4" t="inlineStr">
        <is>
          <t>Longo Prazo</t>
        </is>
      </c>
      <c r="Q112" s="4" t="inlineStr">
        <is>
          <t>Não</t>
        </is>
      </c>
      <c r="R112" s="4" t="inlineStr">
        <is>
          <t>API interna</t>
        </is>
      </c>
      <c r="S112" s="4" t="n">
        <v>1</v>
      </c>
      <c r="T112" s="4" t="inlineStr">
        <is>
          <t>Não</t>
        </is>
      </c>
      <c r="U112" s="4" t="inlineStr">
        <is>
          <t>Sim</t>
        </is>
      </c>
      <c r="V112" s="4" t="inlineStr">
        <is>
          <t>Não</t>
        </is>
      </c>
      <c r="W112" s="4" t="inlineStr"/>
    </row>
    <row r="113">
      <c r="A113" s="4" t="inlineStr">
        <is>
          <t>BTG Pactual</t>
        </is>
      </c>
      <c r="B113" s="4" t="inlineStr">
        <is>
          <t>Icatu SEG Duration FIRF RL</t>
        </is>
      </c>
      <c r="C113" s="6" t="inlineStr">
        <is>
          <t>04.511.286/0001-20</t>
        </is>
      </c>
      <c r="D113" s="4" t="inlineStr">
        <is>
          <t>ICATU VANGUARDA GESTÃO DE RECURSOS LTDA</t>
        </is>
      </c>
      <c r="E113" s="4" t="inlineStr">
        <is>
          <t>68.622.174/0001-20</t>
        </is>
      </c>
      <c r="F113" s="4" t="inlineStr">
        <is>
          <t>BEM DISTRIBUIDORA DE TITULOS E VALORES MOBILIARIOS</t>
        </is>
      </c>
      <c r="G113" s="4" t="inlineStr">
        <is>
          <t>Renda Fixa</t>
        </is>
      </c>
      <c r="H113" s="4" t="inlineStr">
        <is>
          <t>Renda Fixa</t>
        </is>
      </c>
      <c r="I113" s="7" t="n">
        <v>1000</v>
      </c>
      <c r="J113" s="8" t="n">
        <v>1.5</v>
      </c>
      <c r="K113" s="8" t="n"/>
      <c r="L113" s="4" t="inlineStr"/>
      <c r="M113" s="5" t="n">
        <v>1</v>
      </c>
      <c r="N113" s="5" t="n">
        <v>2</v>
      </c>
      <c r="O113" s="5" t="n"/>
      <c r="P113" s="4" t="inlineStr">
        <is>
          <t>Isento</t>
        </is>
      </c>
      <c r="Q113" s="4" t="inlineStr">
        <is>
          <t>Não</t>
        </is>
      </c>
      <c r="R113" s="4" t="inlineStr">
        <is>
          <t>API interna</t>
        </is>
      </c>
      <c r="S113" s="4" t="n">
        <v>1</v>
      </c>
      <c r="T113" s="4" t="inlineStr">
        <is>
          <t>Não</t>
        </is>
      </c>
      <c r="U113" s="4" t="inlineStr">
        <is>
          <t>Sim</t>
        </is>
      </c>
      <c r="V113" s="4" t="inlineStr">
        <is>
          <t>Não</t>
        </is>
      </c>
      <c r="W113" s="4" t="inlineStr"/>
    </row>
    <row r="114">
      <c r="A114" s="4" t="inlineStr">
        <is>
          <t>BTG Pactual</t>
        </is>
      </c>
      <c r="B114" s="4" t="inlineStr">
        <is>
          <t>Icatu SEG Global Equity Income 10 FIM Prev RL</t>
        </is>
      </c>
      <c r="C114" s="6" t="inlineStr">
        <is>
          <t>28.557.951/0001-85</t>
        </is>
      </c>
      <c r="D114" s="4" t="inlineStr">
        <is>
          <t>ICATU VANGUARDA GESTÃO DE RECURSOS LTDA</t>
        </is>
      </c>
      <c r="E114" s="4" t="inlineStr">
        <is>
          <t>68.622.174/0001-20</t>
        </is>
      </c>
      <c r="F114" s="4" t="inlineStr">
        <is>
          <t>BEM DISTRIBUIDORA DE TITULOS E VALORES MOBILIARIOS</t>
        </is>
      </c>
      <c r="G114" s="4" t="inlineStr">
        <is>
          <t>Multimercado</t>
        </is>
      </c>
      <c r="H114" s="4" t="inlineStr">
        <is>
          <t>Multimercado</t>
        </is>
      </c>
      <c r="I114" s="7" t="n">
        <v>1000</v>
      </c>
      <c r="J114" s="8" t="n">
        <v>0.88</v>
      </c>
      <c r="K114" s="8" t="n"/>
      <c r="L114" s="4" t="inlineStr"/>
      <c r="M114" s="5" t="n">
        <v>2</v>
      </c>
      <c r="N114" s="5" t="n">
        <v>3</v>
      </c>
      <c r="O114" s="5" t="n"/>
      <c r="P114" s="4" t="inlineStr">
        <is>
          <t>Longo Prazo</t>
        </is>
      </c>
      <c r="Q114" s="4" t="inlineStr">
        <is>
          <t>Não</t>
        </is>
      </c>
      <c r="R114" s="4" t="inlineStr">
        <is>
          <t>API interna</t>
        </is>
      </c>
      <c r="S114" s="4" t="n">
        <v>1</v>
      </c>
      <c r="T114" s="4" t="inlineStr">
        <is>
          <t>Não</t>
        </is>
      </c>
      <c r="U114" s="4" t="inlineStr">
        <is>
          <t>Sim</t>
        </is>
      </c>
      <c r="V114" s="4" t="inlineStr">
        <is>
          <t>Não</t>
        </is>
      </c>
      <c r="W114" s="4" t="inlineStr"/>
    </row>
    <row r="115">
      <c r="A115" s="4" t="inlineStr">
        <is>
          <t>BTG Pactual</t>
        </is>
      </c>
      <c r="B115" s="4" t="inlineStr">
        <is>
          <t>Icatu SEG Vanguarda FICFIRF Plus Prev RL</t>
        </is>
      </c>
      <c r="C115" s="6" t="inlineStr">
        <is>
          <t>04.223.291/0001-38</t>
        </is>
      </c>
      <c r="D115" s="4" t="inlineStr">
        <is>
          <t>ICATU VANGUARDA GESTÃO DE RECURSOS LTDA</t>
        </is>
      </c>
      <c r="E115" s="4" t="inlineStr">
        <is>
          <t>68.622.174/0001-20</t>
        </is>
      </c>
      <c r="F115" s="4" t="inlineStr">
        <is>
          <t>BEM DISTRIBUIDORA DE TITULOS E VALORES MOBILIARIOS</t>
        </is>
      </c>
      <c r="G115" s="4" t="inlineStr">
        <is>
          <t>Renda Fixa</t>
        </is>
      </c>
      <c r="H115" s="4" t="inlineStr">
        <is>
          <t>Renda Fixa</t>
        </is>
      </c>
      <c r="I115" s="7" t="n">
        <v>3000</v>
      </c>
      <c r="J115" s="8" t="n">
        <v>0.45</v>
      </c>
      <c r="K115" s="8" t="n"/>
      <c r="L115" s="4" t="inlineStr"/>
      <c r="M115" s="5" t="n">
        <v>1</v>
      </c>
      <c r="N115" s="5" t="n">
        <v>2</v>
      </c>
      <c r="O115" s="5" t="n"/>
      <c r="P115" s="4" t="inlineStr">
        <is>
          <t>Longo Prazo</t>
        </is>
      </c>
      <c r="Q115" s="4" t="inlineStr">
        <is>
          <t>Não</t>
        </is>
      </c>
      <c r="R115" s="4" t="inlineStr">
        <is>
          <t>API interna</t>
        </is>
      </c>
      <c r="S115" s="4" t="n">
        <v>1</v>
      </c>
      <c r="T115" s="4" t="inlineStr">
        <is>
          <t>Não</t>
        </is>
      </c>
      <c r="U115" s="4" t="inlineStr">
        <is>
          <t>Sim</t>
        </is>
      </c>
      <c r="V115" s="4" t="inlineStr">
        <is>
          <t>Não</t>
        </is>
      </c>
      <c r="W115" s="4" t="inlineStr"/>
    </row>
    <row r="116">
      <c r="A116" s="4" t="inlineStr">
        <is>
          <t>BTG Pactual</t>
        </is>
      </c>
      <c r="B116" s="4" t="inlineStr">
        <is>
          <t>Icatu SEG Western Asset Prev FIM RL</t>
        </is>
      </c>
      <c r="C116" s="6" t="inlineStr">
        <is>
          <t>21.818.801/0001-39</t>
        </is>
      </c>
      <c r="D116" s="4" t="inlineStr">
        <is>
          <t>Franklin Templeton Brasil Ltda.</t>
        </is>
      </c>
      <c r="E116" s="4" t="inlineStr">
        <is>
          <t>07.437.241/0001-41</t>
        </is>
      </c>
      <c r="F116" s="4" t="inlineStr">
        <is>
          <t>BEM DISTRIBUIDORA DE TITULOS E VALORES MOBILIARIOS</t>
        </is>
      </c>
      <c r="G116" s="4" t="inlineStr">
        <is>
          <t>Multimercado</t>
        </is>
      </c>
      <c r="H116" s="4" t="inlineStr">
        <is>
          <t>Renda Fixa</t>
        </is>
      </c>
      <c r="I116" s="7" t="n">
        <v>1500</v>
      </c>
      <c r="J116" s="8" t="n">
        <v>1.5</v>
      </c>
      <c r="K116" s="8" t="n"/>
      <c r="L116" s="4" t="inlineStr"/>
      <c r="M116" s="5" t="n">
        <v>2</v>
      </c>
      <c r="N116" s="5" t="n">
        <v>3</v>
      </c>
      <c r="O116" s="5" t="n"/>
      <c r="P116" s="4" t="inlineStr">
        <is>
          <t>Não Aplicável</t>
        </is>
      </c>
      <c r="Q116" s="4" t="inlineStr">
        <is>
          <t>Não</t>
        </is>
      </c>
      <c r="R116" s="4" t="inlineStr">
        <is>
          <t>API interna</t>
        </is>
      </c>
      <c r="S116" s="4" t="n">
        <v>1</v>
      </c>
      <c r="T116" s="4" t="inlineStr">
        <is>
          <t>Não</t>
        </is>
      </c>
      <c r="U116" s="4" t="inlineStr">
        <is>
          <t>Sim</t>
        </is>
      </c>
      <c r="V116" s="4" t="inlineStr">
        <is>
          <t>Não</t>
        </is>
      </c>
      <c r="W116" s="4" t="inlineStr"/>
    </row>
    <row r="117">
      <c r="A117" s="4" t="inlineStr">
        <is>
          <t>BTG Pactual</t>
        </is>
      </c>
      <c r="B117" s="4" t="inlineStr">
        <is>
          <t>Icatu Vanguarda Absoluto Plus Qualificado FIRF Prev CrPr RL</t>
        </is>
      </c>
      <c r="C117" s="6" t="inlineStr">
        <is>
          <t>45.444.101/0001-90</t>
        </is>
      </c>
      <c r="D117" s="4" t="inlineStr">
        <is>
          <t>ICATU VANGUARDA GESTÃO DE RECURSOS LTDA</t>
        </is>
      </c>
      <c r="E117" s="4" t="inlineStr">
        <is>
          <t>68.622.174/0001-20</t>
        </is>
      </c>
      <c r="F117" s="4" t="inlineStr">
        <is>
          <t>BEM DISTRIBUIDORA DE TITULOS E VALORES MOBILIARIOS</t>
        </is>
      </c>
      <c r="G117" s="4" t="inlineStr">
        <is>
          <t>Renda Fixa</t>
        </is>
      </c>
      <c r="H117" s="4" t="inlineStr">
        <is>
          <t>Renda Fixa</t>
        </is>
      </c>
      <c r="I117" s="7" t="n">
        <v>5000</v>
      </c>
      <c r="J117" s="8" t="n">
        <v>0.73</v>
      </c>
      <c r="K117" s="8" t="n">
        <v>20</v>
      </c>
      <c r="L117" s="4" t="inlineStr">
        <is>
          <t>CDI</t>
        </is>
      </c>
      <c r="M117" s="5" t="n">
        <v>20</v>
      </c>
      <c r="N117" s="5" t="n">
        <v>21</v>
      </c>
      <c r="O117" s="5" t="n"/>
      <c r="P117" s="4" t="inlineStr">
        <is>
          <t>Não Aplicável</t>
        </is>
      </c>
      <c r="Q117" s="4" t="inlineStr">
        <is>
          <t>Não</t>
        </is>
      </c>
      <c r="R117" s="4" t="inlineStr">
        <is>
          <t>API interna</t>
        </is>
      </c>
      <c r="S117" s="4" t="n">
        <v>1</v>
      </c>
      <c r="T117" s="4" t="inlineStr">
        <is>
          <t>Não</t>
        </is>
      </c>
      <c r="U117" s="4" t="inlineStr">
        <is>
          <t>Sim</t>
        </is>
      </c>
      <c r="V117" s="4" t="inlineStr">
        <is>
          <t>Não</t>
        </is>
      </c>
      <c r="W117" s="4" t="inlineStr"/>
    </row>
    <row r="118">
      <c r="A118" s="4" t="inlineStr">
        <is>
          <t>BTG Pactual</t>
        </is>
      </c>
      <c r="B118" s="4" t="inlineStr">
        <is>
          <t>Icatu Vanguarda BP Dinâmico CDI PREV FIM</t>
        </is>
      </c>
      <c r="C118" s="6" t="inlineStr">
        <is>
          <t>64.717.139/0001-33</t>
        </is>
      </c>
      <c r="D118" s="4" t="inlineStr">
        <is>
          <t>ICATU VANGUARDA GESTÃO DE RECURSOS LTDA</t>
        </is>
      </c>
      <c r="E118" s="4" t="inlineStr">
        <is>
          <t>68.622.174/0001-20</t>
        </is>
      </c>
      <c r="F118" s="4" t="inlineStr">
        <is>
          <t>BTG PACTUAL SERVICOS FINANCEIROS S.A. DISTRIBUIDOR</t>
        </is>
      </c>
      <c r="G118" s="4" t="inlineStr">
        <is>
          <t>Multimercado</t>
        </is>
      </c>
      <c r="H118" s="4" t="inlineStr">
        <is>
          <t>Renda Fixa</t>
        </is>
      </c>
      <c r="I118" s="7" t="n">
        <v>1000</v>
      </c>
      <c r="J118" s="8" t="n"/>
      <c r="K118" s="8" t="n">
        <v>20</v>
      </c>
      <c r="L118" s="4" t="inlineStr">
        <is>
          <t>-</t>
        </is>
      </c>
      <c r="M118" s="5" t="n">
        <v>8</v>
      </c>
      <c r="N118" s="5" t="n">
        <v>10</v>
      </c>
      <c r="O118" s="5" t="n"/>
      <c r="P118" s="4" t="inlineStr">
        <is>
          <t>Longo Prazo</t>
        </is>
      </c>
      <c r="Q118" s="4" t="inlineStr">
        <is>
          <t>Não</t>
        </is>
      </c>
      <c r="R118" s="4" t="inlineStr">
        <is>
          <t>API interna</t>
        </is>
      </c>
      <c r="S118" s="4" t="n">
        <v>1</v>
      </c>
      <c r="T118" s="4" t="inlineStr">
        <is>
          <t>Não</t>
        </is>
      </c>
      <c r="U118" s="4" t="inlineStr">
        <is>
          <t>Sim</t>
        </is>
      </c>
      <c r="V118" s="4" t="inlineStr">
        <is>
          <t>Não</t>
        </is>
      </c>
      <c r="W118" s="4" t="inlineStr"/>
    </row>
    <row r="119">
      <c r="A119" s="4" t="inlineStr">
        <is>
          <t>BTG Pactual</t>
        </is>
      </c>
      <c r="B119" s="4" t="inlineStr">
        <is>
          <t>Icatu Vanguarda Credito Global Prev FICFIM CrPr RL</t>
        </is>
      </c>
      <c r="C119" s="6" t="inlineStr">
        <is>
          <t>36.352.241/0001-47</t>
        </is>
      </c>
      <c r="D119" s="4" t="inlineStr">
        <is>
          <t>ICATU VANGUARDA GESTÃO DE RECURSOS LTDA</t>
        </is>
      </c>
      <c r="E119" s="4" t="inlineStr">
        <is>
          <t>68.622.174/0001-20</t>
        </is>
      </c>
      <c r="F119" s="4" t="inlineStr">
        <is>
          <t>BNY MELLON SERVICOS FINANCEIROS DTVM S/A</t>
        </is>
      </c>
      <c r="G119" s="4" t="inlineStr">
        <is>
          <t>Multimercado</t>
        </is>
      </c>
      <c r="H119" s="4" t="inlineStr">
        <is>
          <t>Renda Fixa</t>
        </is>
      </c>
      <c r="I119" s="7" t="n">
        <v>5000</v>
      </c>
      <c r="J119" s="8" t="n">
        <v>0.9</v>
      </c>
      <c r="K119" s="8" t="n"/>
      <c r="L119" s="4" t="inlineStr"/>
      <c r="M119" s="5" t="n">
        <v>22</v>
      </c>
      <c r="N119" s="5" t="n">
        <v>23</v>
      </c>
      <c r="O119" s="5" t="n"/>
      <c r="P119" s="4" t="inlineStr">
        <is>
          <t>Longo Prazo</t>
        </is>
      </c>
      <c r="Q119" s="4" t="inlineStr">
        <is>
          <t>Não</t>
        </is>
      </c>
      <c r="R119" s="4" t="inlineStr">
        <is>
          <t>API interna</t>
        </is>
      </c>
      <c r="S119" s="4" t="n">
        <v>1</v>
      </c>
      <c r="T119" s="4" t="inlineStr">
        <is>
          <t>Não</t>
        </is>
      </c>
      <c r="U119" s="4" t="inlineStr">
        <is>
          <t>Sim</t>
        </is>
      </c>
      <c r="V119" s="4" t="inlineStr">
        <is>
          <t>Não</t>
        </is>
      </c>
      <c r="W119" s="4" t="inlineStr"/>
    </row>
    <row r="120">
      <c r="A120" s="4" t="inlineStr">
        <is>
          <t>BTG Pactual</t>
        </is>
      </c>
      <c r="B120" s="4" t="inlineStr">
        <is>
          <t>Icatu Vanguarda FICFIRF Inflacao Curta Prev RL</t>
        </is>
      </c>
      <c r="C120" s="6" t="inlineStr">
        <is>
          <t>12.823.627/0001-21</t>
        </is>
      </c>
      <c r="D120" s="4" t="inlineStr">
        <is>
          <t>ICATU VANGUARDA GESTÃO DE RECURSOS LTDA</t>
        </is>
      </c>
      <c r="E120" s="4" t="inlineStr">
        <is>
          <t>68.622.174/0001-20</t>
        </is>
      </c>
      <c r="F120" s="4" t="inlineStr">
        <is>
          <t>BEM DISTRIBUIDORA DE TITULOS E VALORES MOBILIARIOS</t>
        </is>
      </c>
      <c r="G120" s="4" t="inlineStr">
        <is>
          <t>Renda Fixa</t>
        </is>
      </c>
      <c r="H120" s="4" t="inlineStr">
        <is>
          <t>Renda Fixa</t>
        </is>
      </c>
      <c r="I120" s="7" t="n">
        <v>1000</v>
      </c>
      <c r="J120" s="8" t="n">
        <v>0.75</v>
      </c>
      <c r="K120" s="8" t="n"/>
      <c r="L120" s="4" t="inlineStr"/>
      <c r="M120" s="5" t="n">
        <v>0</v>
      </c>
      <c r="N120" s="5" t="n">
        <v>1</v>
      </c>
      <c r="O120" s="5" t="n"/>
      <c r="P120" s="4" t="inlineStr">
        <is>
          <t>Não Aplicável</t>
        </is>
      </c>
      <c r="Q120" s="4" t="inlineStr">
        <is>
          <t>Não</t>
        </is>
      </c>
      <c r="R120" s="4" t="inlineStr">
        <is>
          <t>API interna</t>
        </is>
      </c>
      <c r="S120" s="4" t="n">
        <v>1</v>
      </c>
      <c r="T120" s="4" t="inlineStr">
        <is>
          <t>Não</t>
        </is>
      </c>
      <c r="U120" s="4" t="inlineStr">
        <is>
          <t>Sim</t>
        </is>
      </c>
      <c r="V120" s="4" t="inlineStr">
        <is>
          <t>Não</t>
        </is>
      </c>
      <c r="W120" s="4" t="inlineStr"/>
    </row>
    <row r="121">
      <c r="A121" s="4" t="inlineStr">
        <is>
          <t>BTG Pactual</t>
        </is>
      </c>
      <c r="B121" s="4" t="inlineStr">
        <is>
          <t>Icatu Vanguarda FICFIRF Inflacao Longa Prev RL</t>
        </is>
      </c>
      <c r="C121" s="6" t="inlineStr">
        <is>
          <t>04.228.716/0001-00</t>
        </is>
      </c>
      <c r="D121" s="4" t="inlineStr">
        <is>
          <t>ICATU VANGUARDA GESTÃO DE RECURSOS LTDA</t>
        </is>
      </c>
      <c r="E121" s="4" t="inlineStr">
        <is>
          <t>68.622.174/0001-20</t>
        </is>
      </c>
      <c r="F121" s="4" t="inlineStr">
        <is>
          <t>BEM DISTRIBUIDORA DE TITULOS E VALORES MOBILIARIOS</t>
        </is>
      </c>
      <c r="G121" s="4" t="inlineStr">
        <is>
          <t>Renda Fixa</t>
        </is>
      </c>
      <c r="H121" s="4" t="inlineStr">
        <is>
          <t>Renda Fixa</t>
        </is>
      </c>
      <c r="I121" s="7" t="n">
        <v>1000</v>
      </c>
      <c r="J121" s="8" t="n">
        <v>1.5</v>
      </c>
      <c r="K121" s="8" t="n"/>
      <c r="L121" s="4" t="inlineStr"/>
      <c r="M121" s="5" t="n">
        <v>0</v>
      </c>
      <c r="N121" s="5" t="n">
        <v>1</v>
      </c>
      <c r="O121" s="5" t="n"/>
      <c r="P121" s="4" t="inlineStr">
        <is>
          <t>Não Aplicável</t>
        </is>
      </c>
      <c r="Q121" s="4" t="inlineStr">
        <is>
          <t>Não</t>
        </is>
      </c>
      <c r="R121" s="4" t="inlineStr">
        <is>
          <t>API interna</t>
        </is>
      </c>
      <c r="S121" s="4" t="n">
        <v>1</v>
      </c>
      <c r="T121" s="4" t="inlineStr">
        <is>
          <t>Não</t>
        </is>
      </c>
      <c r="U121" s="4" t="inlineStr">
        <is>
          <t>Sim</t>
        </is>
      </c>
      <c r="V121" s="4" t="inlineStr">
        <is>
          <t>Não</t>
        </is>
      </c>
      <c r="W121" s="4" t="inlineStr"/>
    </row>
    <row r="122">
      <c r="A122" s="4" t="inlineStr">
        <is>
          <t>BTG Pactual</t>
        </is>
      </c>
      <c r="B122" s="4" t="inlineStr">
        <is>
          <t>Icatu Vanguarda Hedge FIM Prev RL</t>
        </is>
      </c>
      <c r="C122" s="6" t="inlineStr">
        <is>
          <t>28.557.920/0001-24</t>
        </is>
      </c>
      <c r="D122" s="4" t="inlineStr">
        <is>
          <t>ICATU VANGUARDA GESTÃO DE RECURSOS LTDA</t>
        </is>
      </c>
      <c r="E122" s="4" t="inlineStr">
        <is>
          <t>68.622.174/0001-20</t>
        </is>
      </c>
      <c r="F122" s="4" t="inlineStr">
        <is>
          <t>BEM DISTRIBUIDORA DE TITULOS E VALORES MOBILIARIOS</t>
        </is>
      </c>
      <c r="G122" s="4" t="inlineStr">
        <is>
          <t>Multimercado</t>
        </is>
      </c>
      <c r="H122" s="4" t="inlineStr">
        <is>
          <t>Multimercado</t>
        </is>
      </c>
      <c r="I122" s="7" t="n">
        <v>3000</v>
      </c>
      <c r="J122" s="8" t="n">
        <v>0.75</v>
      </c>
      <c r="K122" s="8" t="n"/>
      <c r="L122" s="4" t="inlineStr"/>
      <c r="M122" s="5" t="n">
        <v>0</v>
      </c>
      <c r="N122" s="5" t="n">
        <v>1</v>
      </c>
      <c r="O122" s="5" t="n"/>
      <c r="P122" s="4" t="inlineStr">
        <is>
          <t>Longo Prazo</t>
        </is>
      </c>
      <c r="Q122" s="4" t="inlineStr">
        <is>
          <t>Não</t>
        </is>
      </c>
      <c r="R122" s="4" t="inlineStr">
        <is>
          <t>API interna</t>
        </is>
      </c>
      <c r="S122" s="4" t="n">
        <v>1</v>
      </c>
      <c r="T122" s="4" t="inlineStr">
        <is>
          <t>Não</t>
        </is>
      </c>
      <c r="U122" s="4" t="inlineStr">
        <is>
          <t>Sim</t>
        </is>
      </c>
      <c r="V122" s="4" t="inlineStr">
        <is>
          <t>Não</t>
        </is>
      </c>
      <c r="W122" s="4" t="inlineStr"/>
    </row>
    <row r="123">
      <c r="A123" s="4" t="inlineStr">
        <is>
          <t>BTG Pactual</t>
        </is>
      </c>
      <c r="B123" s="4" t="inlineStr">
        <is>
          <t>Icatu Vanguarda Igarate Prev BP FICFIM CrPr RL</t>
        </is>
      </c>
      <c r="C123" s="6" t="inlineStr">
        <is>
          <t>57.205.240/0001-40</t>
        </is>
      </c>
      <c r="D123" s="4" t="inlineStr">
        <is>
          <t>ICATU VANGUARDA GESTÃO DE RECURSOS LTDA</t>
        </is>
      </c>
      <c r="E123" s="4" t="inlineStr">
        <is>
          <t>68.622.174/0001-20</t>
        </is>
      </c>
      <c r="F123" s="4" t="inlineStr">
        <is>
          <t>BTG PACTUAL SERVICOS FINANCEIROS S.A. DISTRIBUIDOR</t>
        </is>
      </c>
      <c r="G123" s="4" t="inlineStr">
        <is>
          <t>Multimercado</t>
        </is>
      </c>
      <c r="H123" s="4" t="inlineStr">
        <is>
          <t>Renda Variável</t>
        </is>
      </c>
      <c r="I123" s="7" t="n">
        <v>0</v>
      </c>
      <c r="J123" s="8" t="n">
        <v>2</v>
      </c>
      <c r="K123" s="8" t="n"/>
      <c r="L123" s="4" t="inlineStr"/>
      <c r="M123" s="5" t="n">
        <v>8</v>
      </c>
      <c r="N123" s="5" t="n">
        <v>10</v>
      </c>
      <c r="O123" s="5" t="n"/>
      <c r="P123" s="4" t="inlineStr">
        <is>
          <t>Curto Prazo</t>
        </is>
      </c>
      <c r="Q123" s="4" t="inlineStr">
        <is>
          <t>Não</t>
        </is>
      </c>
      <c r="R123" s="4" t="inlineStr">
        <is>
          <t>API interna</t>
        </is>
      </c>
      <c r="S123" s="4" t="n">
        <v>1</v>
      </c>
      <c r="T123" s="4" t="inlineStr">
        <is>
          <t>Não</t>
        </is>
      </c>
      <c r="U123" s="4" t="inlineStr">
        <is>
          <t>Sim</t>
        </is>
      </c>
      <c r="V123" s="4" t="inlineStr">
        <is>
          <t>Não</t>
        </is>
      </c>
      <c r="W123" s="4" t="inlineStr"/>
    </row>
    <row r="124">
      <c r="A124" s="4" t="inlineStr">
        <is>
          <t>BTG Pactual</t>
        </is>
      </c>
      <c r="B124" s="4" t="inlineStr">
        <is>
          <t>Icatu Vanguarda LB Prev FICFIM RL</t>
        </is>
      </c>
      <c r="C124" s="6" t="inlineStr">
        <is>
          <t>27.328.750/0001-43</t>
        </is>
      </c>
      <c r="D124" s="4" t="inlineStr">
        <is>
          <t>ICATU SEGUROS S/A</t>
        </is>
      </c>
      <c r="E124" s="4" t="inlineStr">
        <is>
          <t>42.283.770/0001-39</t>
        </is>
      </c>
      <c r="F124" s="4" t="inlineStr">
        <is>
          <t>BEM DISTRIBUIDORA DE TITULOS E VALORES MOBILIARIOS</t>
        </is>
      </c>
      <c r="G124" s="4" t="inlineStr">
        <is>
          <t>Multimercado</t>
        </is>
      </c>
      <c r="H124" s="4" t="inlineStr">
        <is>
          <t>Renda Variável</t>
        </is>
      </c>
      <c r="I124" s="7" t="n">
        <v>1500</v>
      </c>
      <c r="J124" s="8" t="n">
        <v>2</v>
      </c>
      <c r="K124" s="8" t="n"/>
      <c r="L124" s="4" t="inlineStr"/>
      <c r="M124" s="5" t="n">
        <v>1</v>
      </c>
      <c r="N124" s="5" t="n">
        <v>3</v>
      </c>
      <c r="O124" s="5" t="n"/>
      <c r="P124" s="4" t="inlineStr">
        <is>
          <t>Longo Prazo</t>
        </is>
      </c>
      <c r="Q124" s="4" t="inlineStr">
        <is>
          <t>Não</t>
        </is>
      </c>
      <c r="R124" s="4" t="inlineStr">
        <is>
          <t>API interna</t>
        </is>
      </c>
      <c r="S124" s="4" t="n">
        <v>1</v>
      </c>
      <c r="T124" s="4" t="inlineStr">
        <is>
          <t>Não</t>
        </is>
      </c>
      <c r="U124" s="4" t="inlineStr">
        <is>
          <t>Sim</t>
        </is>
      </c>
      <c r="V124" s="4" t="inlineStr">
        <is>
          <t>Não</t>
        </is>
      </c>
      <c r="W124" s="4" t="inlineStr"/>
    </row>
    <row r="125">
      <c r="A125" s="4" t="inlineStr">
        <is>
          <t>BTG Pactual</t>
        </is>
      </c>
      <c r="B125" s="4" t="inlineStr">
        <is>
          <t>Icatu Vanguarda LB Qualificado FIE I Prev FICFIM de FIM CrPr RL</t>
        </is>
      </c>
      <c r="C125" s="6" t="inlineStr">
        <is>
          <t>37.821.575/0001-85</t>
        </is>
      </c>
      <c r="D125" s="4" t="inlineStr">
        <is>
          <t>ICATU SEGUROS S/A</t>
        </is>
      </c>
      <c r="E125" s="4" t="inlineStr">
        <is>
          <t>42.283.770/0001-39</t>
        </is>
      </c>
      <c r="F125" s="4" t="inlineStr">
        <is>
          <t>BEM DISTRIBUIDORA DE TITULOS E VALORES MOBILIARIOS</t>
        </is>
      </c>
      <c r="G125" s="4" t="inlineStr">
        <is>
          <t>Multimercado</t>
        </is>
      </c>
      <c r="H125" s="4" t="inlineStr">
        <is>
          <t>Renda Variável</t>
        </is>
      </c>
      <c r="I125" s="7" t="n">
        <v>5000</v>
      </c>
      <c r="J125" s="8" t="n">
        <v>2</v>
      </c>
      <c r="K125" s="8" t="n"/>
      <c r="L125" s="4" t="inlineStr"/>
      <c r="M125" s="5" t="n">
        <v>22</v>
      </c>
      <c r="N125" s="5" t="n">
        <v>24</v>
      </c>
      <c r="O125" s="5" t="n"/>
      <c r="P125" s="4" t="inlineStr">
        <is>
          <t>Longo Prazo</t>
        </is>
      </c>
      <c r="Q125" s="4" t="inlineStr">
        <is>
          <t>Não</t>
        </is>
      </c>
      <c r="R125" s="4" t="inlineStr">
        <is>
          <t>API interna</t>
        </is>
      </c>
      <c r="S125" s="4" t="n">
        <v>1</v>
      </c>
      <c r="T125" s="4" t="inlineStr">
        <is>
          <t>Não</t>
        </is>
      </c>
      <c r="U125" s="4" t="inlineStr">
        <is>
          <t>Sim</t>
        </is>
      </c>
      <c r="V125" s="4" t="inlineStr">
        <is>
          <t>Não</t>
        </is>
      </c>
      <c r="W125" s="4" t="inlineStr"/>
    </row>
    <row r="126">
      <c r="A126" s="4" t="inlineStr">
        <is>
          <t>BTG Pactual</t>
        </is>
      </c>
      <c r="B126" s="4" t="inlineStr">
        <is>
          <t>Icatu Vanguarda Minha Aposentadoria 2030 FIM Prev RL</t>
        </is>
      </c>
      <c r="C126" s="6" t="inlineStr">
        <is>
          <t>07.190.746/0001-54</t>
        </is>
      </c>
      <c r="D126" s="4" t="inlineStr">
        <is>
          <t>ICATU VANGUARDA GESTÃO DE RECURSOS LTDA</t>
        </is>
      </c>
      <c r="E126" s="4" t="inlineStr">
        <is>
          <t>68.622.174/0001-20</t>
        </is>
      </c>
      <c r="F126" s="4" t="inlineStr">
        <is>
          <t>BEM DISTRIBUIDORA DE TITULOS E VALORES MOBILIARIOS</t>
        </is>
      </c>
      <c r="G126" s="4" t="inlineStr">
        <is>
          <t>Multimercado</t>
        </is>
      </c>
      <c r="H126" s="4" t="inlineStr">
        <is>
          <t>Alocação</t>
        </is>
      </c>
      <c r="I126" s="7" t="n">
        <v>1000</v>
      </c>
      <c r="J126" s="8" t="n">
        <v>0.78</v>
      </c>
      <c r="K126" s="8" t="n"/>
      <c r="L126" s="4" t="inlineStr"/>
      <c r="M126" s="5" t="n">
        <v>1</v>
      </c>
      <c r="N126" s="5" t="n">
        <v>2</v>
      </c>
      <c r="O126" s="5" t="n"/>
      <c r="P126" s="4" t="inlineStr">
        <is>
          <t>Longo Prazo</t>
        </is>
      </c>
      <c r="Q126" s="4" t="inlineStr">
        <is>
          <t>Não</t>
        </is>
      </c>
      <c r="R126" s="4" t="inlineStr">
        <is>
          <t>API interna</t>
        </is>
      </c>
      <c r="S126" s="4" t="n">
        <v>1</v>
      </c>
      <c r="T126" s="4" t="inlineStr">
        <is>
          <t>Não</t>
        </is>
      </c>
      <c r="U126" s="4" t="inlineStr">
        <is>
          <t>Sim</t>
        </is>
      </c>
      <c r="V126" s="4" t="inlineStr">
        <is>
          <t>Não</t>
        </is>
      </c>
      <c r="W126" s="4" t="inlineStr"/>
    </row>
    <row r="127">
      <c r="A127" s="4" t="inlineStr">
        <is>
          <t>BTG Pactual</t>
        </is>
      </c>
      <c r="B127" s="4" t="inlineStr">
        <is>
          <t>Icatu Vanguarda Minha Aposentadoria 2040 FIM Prev RL</t>
        </is>
      </c>
      <c r="C127" s="6" t="inlineStr">
        <is>
          <t>07.190.735/0001-74</t>
        </is>
      </c>
      <c r="D127" s="4" t="inlineStr">
        <is>
          <t>ICATU VANGUARDA GESTÃO DE RECURSOS LTDA</t>
        </is>
      </c>
      <c r="E127" s="4" t="inlineStr">
        <is>
          <t>68.622.174/0001-20</t>
        </is>
      </c>
      <c r="F127" s="4" t="inlineStr">
        <is>
          <t>BEM DISTRIBUIDORA DE TITULOS E VALORES MOBILIARIOS</t>
        </is>
      </c>
      <c r="G127" s="4" t="inlineStr">
        <is>
          <t>Multimercado</t>
        </is>
      </c>
      <c r="H127" s="4" t="inlineStr">
        <is>
          <t>Alocação</t>
        </is>
      </c>
      <c r="I127" s="7" t="n">
        <v>1000</v>
      </c>
      <c r="J127" s="8" t="n">
        <v>0.98</v>
      </c>
      <c r="K127" s="8" t="n"/>
      <c r="L127" s="4" t="inlineStr"/>
      <c r="M127" s="5" t="n">
        <v>1</v>
      </c>
      <c r="N127" s="5" t="n">
        <v>2</v>
      </c>
      <c r="O127" s="5" t="n"/>
      <c r="P127" s="4" t="inlineStr">
        <is>
          <t>Longo Prazo</t>
        </is>
      </c>
      <c r="Q127" s="4" t="inlineStr">
        <is>
          <t>Não</t>
        </is>
      </c>
      <c r="R127" s="4" t="inlineStr">
        <is>
          <t>API interna</t>
        </is>
      </c>
      <c r="S127" s="4" t="n">
        <v>1</v>
      </c>
      <c r="T127" s="4" t="inlineStr">
        <is>
          <t>Não</t>
        </is>
      </c>
      <c r="U127" s="4" t="inlineStr">
        <is>
          <t>Sim</t>
        </is>
      </c>
      <c r="V127" s="4" t="inlineStr">
        <is>
          <t>Não</t>
        </is>
      </c>
      <c r="W127" s="4" t="inlineStr"/>
    </row>
    <row r="128">
      <c r="A128" s="4" t="inlineStr">
        <is>
          <t>BTG Pactual</t>
        </is>
      </c>
      <c r="B128" s="4" t="inlineStr">
        <is>
          <t>Icatu Vanguarda Minha Aposentadoria 2050 FICFIM Prev RL</t>
        </is>
      </c>
      <c r="C128" s="6" t="inlineStr">
        <is>
          <t>35.636.610/0001-60</t>
        </is>
      </c>
      <c r="D128" s="4" t="inlineStr">
        <is>
          <t>ICATU VANGUARDA GESTÃO DE RECURSOS LTDA</t>
        </is>
      </c>
      <c r="E128" s="4" t="inlineStr">
        <is>
          <t>68.622.174/0001-20</t>
        </is>
      </c>
      <c r="F128" s="4" t="inlineStr">
        <is>
          <t>BEM DISTRIBUIDORA DE TITULOS E VALORES MOBILIARIOS</t>
        </is>
      </c>
      <c r="G128" s="4" t="inlineStr">
        <is>
          <t>Multimercado</t>
        </is>
      </c>
      <c r="H128" s="4" t="inlineStr">
        <is>
          <t>Alocação</t>
        </is>
      </c>
      <c r="I128" s="7" t="n">
        <v>1000</v>
      </c>
      <c r="J128" s="8" t="n">
        <v>1.2</v>
      </c>
      <c r="K128" s="8" t="n"/>
      <c r="L128" s="4" t="inlineStr"/>
      <c r="M128" s="5" t="n">
        <v>5</v>
      </c>
      <c r="N128" s="5" t="n">
        <v>7</v>
      </c>
      <c r="O128" s="5" t="n"/>
      <c r="P128" s="4" t="inlineStr">
        <is>
          <t>Isento</t>
        </is>
      </c>
      <c r="Q128" s="4" t="inlineStr">
        <is>
          <t>Não</t>
        </is>
      </c>
      <c r="R128" s="4" t="inlineStr">
        <is>
          <t>API interna</t>
        </is>
      </c>
      <c r="S128" s="4" t="n">
        <v>1</v>
      </c>
      <c r="T128" s="4" t="inlineStr">
        <is>
          <t>Não</t>
        </is>
      </c>
      <c r="U128" s="4" t="inlineStr">
        <is>
          <t>Sim</t>
        </is>
      </c>
      <c r="V128" s="4" t="inlineStr">
        <is>
          <t>Não</t>
        </is>
      </c>
      <c r="W128" s="4" t="inlineStr"/>
    </row>
    <row r="129">
      <c r="A129" s="4" t="inlineStr">
        <is>
          <t>BTG Pactual</t>
        </is>
      </c>
      <c r="B129" s="4" t="inlineStr">
        <is>
          <t>Icatu Vanguarda POS Fixado FIRF Prev RL</t>
        </is>
      </c>
      <c r="C129" s="6" t="inlineStr">
        <is>
          <t>33.520.901/0001-63</t>
        </is>
      </c>
      <c r="D129" s="4" t="inlineStr">
        <is>
          <t>ICATU VANGUARDA GESTÃO DE RECURSOS LTDA</t>
        </is>
      </c>
      <c r="E129" s="4" t="inlineStr">
        <is>
          <t>68.622.174/0001-20</t>
        </is>
      </c>
      <c r="F129" s="4" t="inlineStr">
        <is>
          <t>BEM DISTRIBUIDORA DE TITULOS E VALORES MOBILIARIOS</t>
        </is>
      </c>
      <c r="G129" s="4" t="inlineStr">
        <is>
          <t>Renda Fixa</t>
        </is>
      </c>
      <c r="H129" s="4" t="inlineStr">
        <is>
          <t>Renda Fixa</t>
        </is>
      </c>
      <c r="I129" s="7" t="n">
        <v>30000</v>
      </c>
      <c r="J129" s="8" t="n">
        <v>0.35</v>
      </c>
      <c r="K129" s="8" t="n"/>
      <c r="L129" s="4" t="inlineStr"/>
      <c r="M129" s="5" t="n">
        <v>0</v>
      </c>
      <c r="N129" s="5" t="n">
        <v>1</v>
      </c>
      <c r="O129" s="5" t="n"/>
      <c r="P129" s="4" t="inlineStr">
        <is>
          <t>Longo Prazo</t>
        </is>
      </c>
      <c r="Q129" s="4" t="inlineStr">
        <is>
          <t>Não</t>
        </is>
      </c>
      <c r="R129" s="4" t="inlineStr">
        <is>
          <t>API interna</t>
        </is>
      </c>
      <c r="S129" s="4" t="n">
        <v>1</v>
      </c>
      <c r="T129" s="4" t="inlineStr">
        <is>
          <t>Não</t>
        </is>
      </c>
      <c r="U129" s="4" t="inlineStr">
        <is>
          <t>Sim</t>
        </is>
      </c>
      <c r="V129" s="4" t="inlineStr">
        <is>
          <t>Não</t>
        </is>
      </c>
      <c r="W129" s="4" t="inlineStr"/>
    </row>
    <row r="130">
      <c r="A130" s="4" t="inlineStr">
        <is>
          <t>BTG Pactual</t>
        </is>
      </c>
      <c r="B130" s="4" t="inlineStr">
        <is>
          <t>Icatu Verde Master Prev 60 Qualificado FICFIM RL</t>
        </is>
      </c>
      <c r="C130" s="6" t="inlineStr">
        <is>
          <t>59.134.727/0001-04</t>
        </is>
      </c>
      <c r="D130" s="4" t="inlineStr">
        <is>
          <t>VERDE ASSET MANAGEMENT S.A.</t>
        </is>
      </c>
      <c r="E130" s="4" t="inlineStr">
        <is>
          <t>19.749.539/0001-76</t>
        </is>
      </c>
      <c r="F130" s="4" t="inlineStr">
        <is>
          <t>INTRAG DISTR DE TITULOS EVALORES MOBILIARIOS LTDA</t>
        </is>
      </c>
      <c r="G130" s="4" t="inlineStr">
        <is>
          <t>Multimercado</t>
        </is>
      </c>
      <c r="H130" s="4" t="inlineStr">
        <is>
          <t>Outros</t>
        </is>
      </c>
      <c r="I130" s="7" t="n">
        <v>5000</v>
      </c>
      <c r="J130" s="8" t="n"/>
      <c r="K130" s="8" t="n"/>
      <c r="L130" s="4" t="inlineStr"/>
      <c r="M130" s="5" t="n">
        <v>44</v>
      </c>
      <c r="N130" s="5" t="n">
        <v>46</v>
      </c>
      <c r="O130" s="5" t="n"/>
      <c r="P130" s="4" t="inlineStr">
        <is>
          <t>Longo Prazo</t>
        </is>
      </c>
      <c r="Q130" s="4" t="inlineStr">
        <is>
          <t>Não</t>
        </is>
      </c>
      <c r="R130" s="4" t="inlineStr">
        <is>
          <t>API interna</t>
        </is>
      </c>
      <c r="S130" s="4" t="n">
        <v>1</v>
      </c>
      <c r="T130" s="4" t="inlineStr">
        <is>
          <t>Não</t>
        </is>
      </c>
      <c r="U130" s="4" t="inlineStr">
        <is>
          <t>Sim</t>
        </is>
      </c>
      <c r="V130" s="4" t="inlineStr">
        <is>
          <t>Não</t>
        </is>
      </c>
      <c r="W130" s="4" t="inlineStr"/>
    </row>
    <row r="131">
      <c r="A131" s="4" t="inlineStr">
        <is>
          <t>BTG Pactual</t>
        </is>
      </c>
      <c r="B131" s="4" t="inlineStr">
        <is>
          <t>Indie 100 Icatu Prev FICFIM RL</t>
        </is>
      </c>
      <c r="C131" s="6" t="inlineStr">
        <is>
          <t>35.844.884/0001-45</t>
        </is>
      </c>
      <c r="D131" s="4" t="inlineStr">
        <is>
          <t>INDIE CAPITAL INVESTIMENTOS LTDA.</t>
        </is>
      </c>
      <c r="E131" s="4" t="inlineStr">
        <is>
          <t>14.359.791/0001-55</t>
        </is>
      </c>
      <c r="F131" s="4" t="inlineStr">
        <is>
          <t>BEM DISTRIBUIDORA DE TITULOS E VALORES MOBILIARIOS</t>
        </is>
      </c>
      <c r="G131" s="4" t="inlineStr">
        <is>
          <t>Multimercado</t>
        </is>
      </c>
      <c r="H131" s="4" t="inlineStr">
        <is>
          <t>Renda Variável</t>
        </is>
      </c>
      <c r="I131" s="7" t="n">
        <v>5000</v>
      </c>
      <c r="J131" s="8" t="n">
        <v>2</v>
      </c>
      <c r="K131" s="8" t="n">
        <v>20</v>
      </c>
      <c r="L131" s="4" t="inlineStr">
        <is>
          <t>CDI</t>
        </is>
      </c>
      <c r="M131" s="5" t="n">
        <v>30</v>
      </c>
      <c r="N131" s="5" t="n">
        <v>32</v>
      </c>
      <c r="O131" s="5" t="n"/>
      <c r="P131" s="4" t="inlineStr">
        <is>
          <t>Longo Prazo</t>
        </is>
      </c>
      <c r="Q131" s="4" t="inlineStr">
        <is>
          <t>Não</t>
        </is>
      </c>
      <c r="R131" s="4" t="inlineStr">
        <is>
          <t>API interna</t>
        </is>
      </c>
      <c r="S131" s="4" t="n">
        <v>1</v>
      </c>
      <c r="T131" s="4" t="inlineStr">
        <is>
          <t>Não</t>
        </is>
      </c>
      <c r="U131" s="4" t="inlineStr">
        <is>
          <t>Sim</t>
        </is>
      </c>
      <c r="V131" s="4" t="inlineStr">
        <is>
          <t>Não</t>
        </is>
      </c>
      <c r="W131" s="4" t="inlineStr"/>
    </row>
    <row r="132">
      <c r="A132" s="4" t="inlineStr">
        <is>
          <t>BTG Pactual</t>
        </is>
      </c>
      <c r="B132" s="4" t="inlineStr">
        <is>
          <t>Indie 70 Icatu Prev FIM RL</t>
        </is>
      </c>
      <c r="C132" s="6" t="inlineStr">
        <is>
          <t>29.732.967/0001-40</t>
        </is>
      </c>
      <c r="D132" s="4" t="inlineStr">
        <is>
          <t>INDIE CAPITAL INVESTIMENTOS LTDA.</t>
        </is>
      </c>
      <c r="E132" s="4" t="inlineStr">
        <is>
          <t>14.359.791/0001-55</t>
        </is>
      </c>
      <c r="F132" s="4" t="inlineStr">
        <is>
          <t>BEM DISTRIBUIDORA DE TITULOS E VALORES MOBILIARIOS</t>
        </is>
      </c>
      <c r="G132" s="4" t="inlineStr">
        <is>
          <t>Multimercado</t>
        </is>
      </c>
      <c r="H132" s="4" t="inlineStr">
        <is>
          <t>Renda Variável</t>
        </is>
      </c>
      <c r="I132" s="7" t="n">
        <v>1500</v>
      </c>
      <c r="J132" s="8" t="n">
        <v>1.75</v>
      </c>
      <c r="K132" s="8" t="n"/>
      <c r="L132" s="4" t="inlineStr"/>
      <c r="M132" s="5" t="n">
        <v>7</v>
      </c>
      <c r="N132" s="5" t="n">
        <v>9</v>
      </c>
      <c r="O132" s="5" t="n"/>
      <c r="P132" s="4" t="inlineStr">
        <is>
          <t>Não Aplicável</t>
        </is>
      </c>
      <c r="Q132" s="4" t="inlineStr">
        <is>
          <t>Não</t>
        </is>
      </c>
      <c r="R132" s="4" t="inlineStr">
        <is>
          <t>API interna</t>
        </is>
      </c>
      <c r="S132" s="4" t="n">
        <v>1</v>
      </c>
      <c r="T132" s="4" t="inlineStr">
        <is>
          <t>Não</t>
        </is>
      </c>
      <c r="U132" s="4" t="inlineStr">
        <is>
          <t>Sim</t>
        </is>
      </c>
      <c r="V132" s="4" t="inlineStr">
        <is>
          <t>Não</t>
        </is>
      </c>
      <c r="W132" s="4" t="inlineStr"/>
    </row>
    <row r="133">
      <c r="A133" s="4" t="inlineStr">
        <is>
          <t>BTG Pactual</t>
        </is>
      </c>
      <c r="B133" s="4" t="inlineStr">
        <is>
          <t>Investo Prev Global FIM RL</t>
        </is>
      </c>
      <c r="C133" s="6" t="inlineStr">
        <is>
          <t>61.928.582/0001-65</t>
        </is>
      </c>
      <c r="D133" s="4" t="inlineStr">
        <is>
          <t>INVESTO GESTÃO DE RECURSOS LTDA.</t>
        </is>
      </c>
      <c r="E133" s="4" t="inlineStr">
        <is>
          <t>37.788.647/0001-30</t>
        </is>
      </c>
      <c r="F133" s="4" t="inlineStr">
        <is>
          <t>BTG PACTUAL SERVICOS FINANCEIROS S.A. DISTRIBUIDOR</t>
        </is>
      </c>
      <c r="G133" s="4" t="inlineStr">
        <is>
          <t>Multimercado</t>
        </is>
      </c>
      <c r="H133" s="4" t="inlineStr">
        <is>
          <t>Multimercado</t>
        </is>
      </c>
      <c r="I133" s="7" t="n">
        <v>1000</v>
      </c>
      <c r="J133" s="8" t="n"/>
      <c r="K133" s="8" t="n"/>
      <c r="L133" s="4" t="inlineStr"/>
      <c r="M133" s="5" t="n">
        <v>3</v>
      </c>
      <c r="N133" s="5" t="n">
        <v>5</v>
      </c>
      <c r="O133" s="5" t="n"/>
      <c r="P133" s="4" t="inlineStr">
        <is>
          <t>Curto Prazo</t>
        </is>
      </c>
      <c r="Q133" s="4" t="inlineStr">
        <is>
          <t>Não</t>
        </is>
      </c>
      <c r="R133" s="4" t="inlineStr">
        <is>
          <t>API interna</t>
        </is>
      </c>
      <c r="S133" s="4" t="n">
        <v>1</v>
      </c>
      <c r="T133" s="4" t="inlineStr">
        <is>
          <t>Não</t>
        </is>
      </c>
      <c r="U133" s="4" t="inlineStr">
        <is>
          <t>Sim</t>
        </is>
      </c>
      <c r="V133" s="4" t="inlineStr">
        <is>
          <t>Não</t>
        </is>
      </c>
      <c r="W133" s="4" t="inlineStr"/>
    </row>
    <row r="134">
      <c r="A134" s="4" t="inlineStr">
        <is>
          <t>BTG Pactual</t>
        </is>
      </c>
      <c r="B134" s="4" t="inlineStr">
        <is>
          <t>Itau Flex Prev Vertice Janeiro FICFIM de FI MM Access RL</t>
        </is>
      </c>
      <c r="C134" s="6" t="inlineStr">
        <is>
          <t>51.102.626/0001-40</t>
        </is>
      </c>
      <c r="D134" s="4" t="inlineStr">
        <is>
          <t>BTG PACTUAL GESTÃO E CONSULTORIA DE INVESTIMENTOS LTDA</t>
        </is>
      </c>
      <c r="E134" s="4" t="inlineStr">
        <is>
          <t>12.695.840/0001-03</t>
        </is>
      </c>
      <c r="F134" s="4" t="inlineStr">
        <is>
          <t>BTG PACTUAL SERVICOS FINANCEIROS S.A. DISTRIBUIDOR</t>
        </is>
      </c>
      <c r="G134" s="4" t="inlineStr">
        <is>
          <t>Multimercado</t>
        </is>
      </c>
      <c r="H134" s="4" t="inlineStr">
        <is>
          <t>Multimercado</t>
        </is>
      </c>
      <c r="I134" s="7" t="n">
        <v>1000</v>
      </c>
      <c r="J134" s="8" t="n">
        <v>2</v>
      </c>
      <c r="K134" s="8" t="n"/>
      <c r="L134" s="4" t="inlineStr"/>
      <c r="M134" s="5" t="n">
        <v>21</v>
      </c>
      <c r="N134" s="5" t="n">
        <v>22</v>
      </c>
      <c r="O134" s="5" t="n"/>
      <c r="P134" s="4" t="inlineStr">
        <is>
          <t>Curto Prazo</t>
        </is>
      </c>
      <c r="Q134" s="4" t="inlineStr">
        <is>
          <t>Sim</t>
        </is>
      </c>
      <c r="R134" s="4" t="inlineStr">
        <is>
          <t>API interna</t>
        </is>
      </c>
      <c r="S134" s="4" t="n">
        <v>1</v>
      </c>
      <c r="T134" s="4" t="inlineStr">
        <is>
          <t>Não</t>
        </is>
      </c>
      <c r="U134" s="4" t="inlineStr">
        <is>
          <t>Sim</t>
        </is>
      </c>
      <c r="V134" s="4" t="inlineStr">
        <is>
          <t>Não</t>
        </is>
      </c>
      <c r="W134" s="4" t="inlineStr"/>
    </row>
    <row r="135">
      <c r="A135" s="4" t="inlineStr">
        <is>
          <t>BTG Pactual</t>
        </is>
      </c>
      <c r="B135" s="4" t="inlineStr">
        <is>
          <t>Itau Flexprev Vertice Optimus Titan Prev FICFIM Access CrPr RL</t>
        </is>
      </c>
      <c r="C135" s="6" t="inlineStr">
        <is>
          <t>44.803.603/0001-05</t>
        </is>
      </c>
      <c r="D135" s="4" t="inlineStr">
        <is>
          <t>BTG PACTUAL GESTÃO E CONSULTORIA DE INVESTIMENTOS LTDA</t>
        </is>
      </c>
      <c r="E135" s="4" t="inlineStr">
        <is>
          <t>12.695.840/0001-03</t>
        </is>
      </c>
      <c r="F135" s="4" t="inlineStr">
        <is>
          <t>BTG PACTUAL SERVICOS FINANCEIROS S.A. DISTRIBUIDOR</t>
        </is>
      </c>
      <c r="G135" s="4" t="inlineStr">
        <is>
          <t>Multimercado</t>
        </is>
      </c>
      <c r="H135" s="4" t="inlineStr">
        <is>
          <t>Multimercado</t>
        </is>
      </c>
      <c r="I135" s="7" t="n">
        <v>1000</v>
      </c>
      <c r="J135" s="8" t="n">
        <v>2</v>
      </c>
      <c r="K135" s="8" t="n"/>
      <c r="L135" s="4" t="inlineStr"/>
      <c r="M135" s="5" t="n">
        <v>21</v>
      </c>
      <c r="N135" s="5" t="n">
        <v>22</v>
      </c>
      <c r="O135" s="5" t="n"/>
      <c r="P135" s="4" t="inlineStr">
        <is>
          <t>Curto Prazo</t>
        </is>
      </c>
      <c r="Q135" s="4" t="inlineStr">
        <is>
          <t>Não</t>
        </is>
      </c>
      <c r="R135" s="4" t="inlineStr">
        <is>
          <t>API interna</t>
        </is>
      </c>
      <c r="S135" s="4" t="n">
        <v>1</v>
      </c>
      <c r="T135" s="4" t="inlineStr">
        <is>
          <t>Não</t>
        </is>
      </c>
      <c r="U135" s="4" t="inlineStr">
        <is>
          <t>Sim</t>
        </is>
      </c>
      <c r="V135" s="4" t="inlineStr">
        <is>
          <t>Não</t>
        </is>
      </c>
      <c r="W135" s="4" t="inlineStr"/>
    </row>
    <row r="136">
      <c r="A136" s="4" t="inlineStr">
        <is>
          <t>BTG Pactual</t>
        </is>
      </c>
      <c r="B136" s="4" t="inlineStr">
        <is>
          <t>Itau Global Dinamico Prev BP Dist. Fundo RL</t>
        </is>
      </c>
      <c r="C136" s="6" t="inlineStr">
        <is>
          <t>50.235.964/0001-97</t>
        </is>
      </c>
      <c r="D136" s="4" t="inlineStr">
        <is>
          <t>ITAU UNIBANCO ASSET MANAGEMENT LTDA.</t>
        </is>
      </c>
      <c r="E136" s="4" t="inlineStr">
        <is>
          <t>40.430.971/0001-96</t>
        </is>
      </c>
      <c r="F136" s="4" t="inlineStr">
        <is>
          <t>BTG PACTUAL SERVICOS FINANCEIROS S.A. DISTRIBUIDOR</t>
        </is>
      </c>
      <c r="G136" s="4" t="inlineStr">
        <is>
          <t>Renda Fixa</t>
        </is>
      </c>
      <c r="H136" s="4" t="inlineStr">
        <is>
          <t>Renda Fixa</t>
        </is>
      </c>
      <c r="I136" s="7" t="n">
        <v>1000</v>
      </c>
      <c r="J136" s="8" t="n"/>
      <c r="K136" s="8" t="n">
        <v>20</v>
      </c>
      <c r="L136" s="4" t="inlineStr">
        <is>
          <t>-</t>
        </is>
      </c>
      <c r="M136" s="5" t="n">
        <v>0</v>
      </c>
      <c r="N136" s="5" t="n">
        <v>1</v>
      </c>
      <c r="O136" s="5" t="n"/>
      <c r="P136" s="4" t="inlineStr">
        <is>
          <t>Curto Prazo</t>
        </is>
      </c>
      <c r="Q136" s="4" t="inlineStr">
        <is>
          <t>Não</t>
        </is>
      </c>
      <c r="R136" s="4" t="inlineStr">
        <is>
          <t>API interna</t>
        </is>
      </c>
      <c r="S136" s="4" t="n">
        <v>1</v>
      </c>
      <c r="T136" s="4" t="inlineStr">
        <is>
          <t>Não</t>
        </is>
      </c>
      <c r="U136" s="4" t="inlineStr">
        <is>
          <t>Sim</t>
        </is>
      </c>
      <c r="V136" s="4" t="inlineStr">
        <is>
          <t>Não</t>
        </is>
      </c>
      <c r="W136" s="4" t="inlineStr"/>
    </row>
    <row r="137">
      <c r="A137" s="4" t="inlineStr">
        <is>
          <t>BTG Pactual</t>
        </is>
      </c>
      <c r="B137" s="4" t="inlineStr">
        <is>
          <t>Itau High Yield Prev P Dist. BP Prev Fundo CrPr RL</t>
        </is>
      </c>
      <c r="C137" s="6" t="inlineStr">
        <is>
          <t>42.827.330/0001-03</t>
        </is>
      </c>
      <c r="D137" s="4" t="inlineStr">
        <is>
          <t>ITAU UNIBANCO ASSET MANAGEMENT LTDA.</t>
        </is>
      </c>
      <c r="E137" s="4" t="inlineStr">
        <is>
          <t>40.430.971/0001-96</t>
        </is>
      </c>
      <c r="F137" s="4" t="inlineStr">
        <is>
          <t>BTG PACTUAL SERVICOS FINANCEIROS S.A. DISTRIBUIDOR</t>
        </is>
      </c>
      <c r="G137" s="4" t="inlineStr">
        <is>
          <t>Renda Fixa</t>
        </is>
      </c>
      <c r="H137" s="4" t="inlineStr">
        <is>
          <t>Renda Fixa</t>
        </is>
      </c>
      <c r="I137" s="7" t="n">
        <v>1000</v>
      </c>
      <c r="J137" s="8" t="n"/>
      <c r="K137" s="8" t="n"/>
      <c r="L137" s="4" t="inlineStr"/>
      <c r="M137" s="5" t="n">
        <v>2</v>
      </c>
      <c r="N137" s="5" t="n">
        <v>3</v>
      </c>
      <c r="O137" s="5" t="n"/>
      <c r="P137" s="4" t="inlineStr">
        <is>
          <t>Curto Prazo</t>
        </is>
      </c>
      <c r="Q137" s="4" t="inlineStr">
        <is>
          <t>Não</t>
        </is>
      </c>
      <c r="R137" s="4" t="inlineStr">
        <is>
          <t>API interna</t>
        </is>
      </c>
      <c r="S137" s="4" t="n">
        <v>1</v>
      </c>
      <c r="T137" s="4" t="inlineStr">
        <is>
          <t>Não</t>
        </is>
      </c>
      <c r="U137" s="4" t="inlineStr">
        <is>
          <t>Sim</t>
        </is>
      </c>
      <c r="V137" s="4" t="inlineStr">
        <is>
          <t>Não</t>
        </is>
      </c>
      <c r="W137" s="4" t="inlineStr"/>
    </row>
    <row r="138">
      <c r="A138" s="4" t="inlineStr">
        <is>
          <t>BTG Pactual</t>
        </is>
      </c>
      <c r="B138" s="4" t="inlineStr">
        <is>
          <t>Itau Macro Opportunities Mult Prev Dist. BTG FICFIM RL</t>
        </is>
      </c>
      <c r="C138" s="6" t="inlineStr">
        <is>
          <t>31.820.618/0001-21</t>
        </is>
      </c>
      <c r="D138" s="4" t="inlineStr">
        <is>
          <t>ITAU UNIBANCO ASSET MANAGEMENT LTDA.</t>
        </is>
      </c>
      <c r="E138" s="4" t="inlineStr">
        <is>
          <t>40.430.971/0001-96</t>
        </is>
      </c>
      <c r="F138" s="4" t="inlineStr">
        <is>
          <t>INTRAG DISTR DE TITULOS EVALORES MOBILIARIOS LTDA</t>
        </is>
      </c>
      <c r="G138" s="4" t="inlineStr">
        <is>
          <t>Multimercado</t>
        </is>
      </c>
      <c r="H138" s="4" t="inlineStr">
        <is>
          <t>Multimercado</t>
        </is>
      </c>
      <c r="I138" s="7" t="n">
        <v>0</v>
      </c>
      <c r="J138" s="8" t="n">
        <v>2</v>
      </c>
      <c r="K138" s="8" t="n">
        <v>20</v>
      </c>
      <c r="L138" s="4" t="inlineStr">
        <is>
          <t>CDI</t>
        </is>
      </c>
      <c r="M138" s="5" t="n">
        <v>21</v>
      </c>
      <c r="N138" s="5" t="n">
        <v>22</v>
      </c>
      <c r="O138" s="5" t="n"/>
      <c r="P138" s="4" t="inlineStr">
        <is>
          <t>Longo Prazo</t>
        </is>
      </c>
      <c r="Q138" s="4" t="inlineStr">
        <is>
          <t>Sim</t>
        </is>
      </c>
      <c r="R138" s="4" t="inlineStr">
        <is>
          <t>API interna</t>
        </is>
      </c>
      <c r="S138" s="4" t="n">
        <v>1</v>
      </c>
      <c r="T138" s="4" t="inlineStr">
        <is>
          <t>Não</t>
        </is>
      </c>
      <c r="U138" s="4" t="inlineStr">
        <is>
          <t>Sim</t>
        </is>
      </c>
      <c r="V138" s="4" t="inlineStr">
        <is>
          <t>Não</t>
        </is>
      </c>
      <c r="W138" s="4" t="inlineStr"/>
    </row>
    <row r="139">
      <c r="A139" s="4" t="inlineStr">
        <is>
          <t>BTG Pactual</t>
        </is>
      </c>
      <c r="B139" s="4" t="inlineStr">
        <is>
          <t>Itau Optimus Prev BTG Dist. FICFIRF LP RL</t>
        </is>
      </c>
      <c r="C139" s="6" t="inlineStr">
        <is>
          <t>30.419.083/0001-19</t>
        </is>
      </c>
      <c r="D139" s="4" t="inlineStr">
        <is>
          <t>ITAU UNIBANCO ASSET MANAGEMENT LTDA.</t>
        </is>
      </c>
      <c r="E139" s="4" t="inlineStr">
        <is>
          <t>40.430.971/0001-96</t>
        </is>
      </c>
      <c r="F139" s="4" t="inlineStr">
        <is>
          <t>INTRAG DISTR DE TITULOS EVALORES MOBILIARIOS LTDA</t>
        </is>
      </c>
      <c r="G139" s="4" t="inlineStr">
        <is>
          <t>Renda Fixa</t>
        </is>
      </c>
      <c r="H139" s="4" t="inlineStr">
        <is>
          <t>Renda Fixa</t>
        </is>
      </c>
      <c r="I139" s="7" t="n">
        <v>1000</v>
      </c>
      <c r="J139" s="8" t="n">
        <v>0.9</v>
      </c>
      <c r="K139" s="8" t="n">
        <v>20</v>
      </c>
      <c r="L139" s="4" t="inlineStr">
        <is>
          <t>CDI</t>
        </is>
      </c>
      <c r="M139" s="5" t="n">
        <v>0</v>
      </c>
      <c r="N139" s="5" t="n">
        <v>1</v>
      </c>
      <c r="O139" s="5" t="n"/>
      <c r="P139" s="4" t="inlineStr">
        <is>
          <t>Longo Prazo</t>
        </is>
      </c>
      <c r="Q139" s="4" t="inlineStr">
        <is>
          <t>Não</t>
        </is>
      </c>
      <c r="R139" s="4" t="inlineStr">
        <is>
          <t>API interna</t>
        </is>
      </c>
      <c r="S139" s="4" t="n">
        <v>1</v>
      </c>
      <c r="T139" s="4" t="inlineStr">
        <is>
          <t>Não</t>
        </is>
      </c>
      <c r="U139" s="4" t="inlineStr">
        <is>
          <t>Sim</t>
        </is>
      </c>
      <c r="V139" s="4" t="inlineStr">
        <is>
          <t>Não</t>
        </is>
      </c>
      <c r="W139" s="4" t="inlineStr"/>
    </row>
    <row r="140">
      <c r="A140" s="4" t="inlineStr">
        <is>
          <t>BTG Pactual</t>
        </is>
      </c>
      <c r="B140" s="4" t="inlineStr">
        <is>
          <t>Itau Sinfonia Prev FICFIM Access CrPr RL</t>
        </is>
      </c>
      <c r="C140" s="6" t="inlineStr">
        <is>
          <t>54.304.929/0001-33</t>
        </is>
      </c>
      <c r="D140" s="4" t="inlineStr">
        <is>
          <t>BTG PACTUAL GESTÃO E CONSULTORIA DE INVESTIMENTOS LTDA</t>
        </is>
      </c>
      <c r="E140" s="4" t="inlineStr">
        <is>
          <t>12.695.840/0001-03</t>
        </is>
      </c>
      <c r="F140" s="4" t="inlineStr">
        <is>
          <t>BTG PACTUAL SERVICOS FINANCEIROS S.A. DISTRIBUIDOR</t>
        </is>
      </c>
      <c r="G140" s="4" t="inlineStr">
        <is>
          <t>Multimercado</t>
        </is>
      </c>
      <c r="H140" s="4" t="inlineStr">
        <is>
          <t>Renda Fixa</t>
        </is>
      </c>
      <c r="I140" s="7" t="n">
        <v>1000</v>
      </c>
      <c r="J140" s="8" t="n">
        <v>0.64</v>
      </c>
      <c r="K140" s="8" t="n"/>
      <c r="L140" s="4" t="inlineStr"/>
      <c r="M140" s="5" t="n">
        <v>9</v>
      </c>
      <c r="N140" s="5" t="n">
        <v>10</v>
      </c>
      <c r="O140" s="5" t="n"/>
      <c r="P140" s="4" t="inlineStr">
        <is>
          <t>Curto Prazo</t>
        </is>
      </c>
      <c r="Q140" s="4" t="inlineStr">
        <is>
          <t>Não</t>
        </is>
      </c>
      <c r="R140" s="4" t="inlineStr">
        <is>
          <t>API interna</t>
        </is>
      </c>
      <c r="S140" s="4" t="n">
        <v>1</v>
      </c>
      <c r="T140" s="4" t="inlineStr">
        <is>
          <t>Não</t>
        </is>
      </c>
      <c r="U140" s="4" t="inlineStr">
        <is>
          <t>Sim</t>
        </is>
      </c>
      <c r="V140" s="4" t="inlineStr">
        <is>
          <t>Não</t>
        </is>
      </c>
      <c r="W140" s="4" t="inlineStr"/>
    </row>
    <row r="141">
      <c r="A141" s="4" t="inlineStr">
        <is>
          <t>BTG Pactual</t>
        </is>
      </c>
      <c r="B141" s="4" t="inlineStr">
        <is>
          <t>Itau Vertice Janeiro Prev FIF FIC FIRF Access</t>
        </is>
      </c>
      <c r="C141" s="6" t="inlineStr">
        <is>
          <t>54.254.287/0001-05</t>
        </is>
      </c>
      <c r="D141" s="4" t="inlineStr">
        <is>
          <t>BTG PACTUAL GESTÃO E CONSULTORIA DE INVESTIMENTOS LTDA</t>
        </is>
      </c>
      <c r="E141" s="4" t="inlineStr">
        <is>
          <t>12.695.840/0001-03</t>
        </is>
      </c>
      <c r="F141" s="4" t="inlineStr">
        <is>
          <t>BTG PACTUAL SERVICOS FINANCEIROS S.A. DISTRIBUIDOR</t>
        </is>
      </c>
      <c r="G141" s="4" t="inlineStr">
        <is>
          <t>Renda Fixa</t>
        </is>
      </c>
      <c r="H141" s="4" t="inlineStr">
        <is>
          <t>Renda Fixa</t>
        </is>
      </c>
      <c r="I141" s="7" t="n">
        <v>0</v>
      </c>
      <c r="J141" s="8" t="n">
        <v>0.9</v>
      </c>
      <c r="K141" s="8" t="n"/>
      <c r="L141" s="4" t="inlineStr"/>
      <c r="M141" s="5" t="n">
        <v>0</v>
      </c>
      <c r="N141" s="5" t="n">
        <v>1</v>
      </c>
      <c r="O141" s="5" t="n"/>
      <c r="P141" s="4" t="inlineStr">
        <is>
          <t>Curto Prazo</t>
        </is>
      </c>
      <c r="Q141" s="4" t="inlineStr">
        <is>
          <t>Sim</t>
        </is>
      </c>
      <c r="R141" s="4" t="inlineStr">
        <is>
          <t>API interna</t>
        </is>
      </c>
      <c r="S141" s="4" t="n">
        <v>1</v>
      </c>
      <c r="T141" s="4" t="inlineStr">
        <is>
          <t>Não</t>
        </is>
      </c>
      <c r="U141" s="4" t="inlineStr">
        <is>
          <t>Sim</t>
        </is>
      </c>
      <c r="V141" s="4" t="inlineStr">
        <is>
          <t>Não</t>
        </is>
      </c>
      <c r="W141" s="4" t="inlineStr"/>
    </row>
    <row r="142">
      <c r="A142" s="4" t="inlineStr">
        <is>
          <t>BTG Pactual</t>
        </is>
      </c>
      <c r="B142" s="4" t="inlineStr">
        <is>
          <t>Itaú Dual Advanced Prev FIF FIC MM Access</t>
        </is>
      </c>
      <c r="C142" s="6" t="inlineStr">
        <is>
          <t>68.134.799/0001-42</t>
        </is>
      </c>
      <c r="D142" s="4" t="inlineStr">
        <is>
          <t>BTG PACTUAL GESTÃO E CONSULTORIA DE INVESTIMENTOS LTDA</t>
        </is>
      </c>
      <c r="E142" s="4" t="inlineStr">
        <is>
          <t>12.695.840/0001-03</t>
        </is>
      </c>
      <c r="F142" s="4" t="inlineStr">
        <is>
          <t>BTG PACTUAL SERVICOS FINANCEIROS S.A. DISTRIBUIDOR</t>
        </is>
      </c>
      <c r="G142" s="4" t="inlineStr">
        <is>
          <t>Multimercado</t>
        </is>
      </c>
      <c r="H142" s="4" t="inlineStr">
        <is>
          <t>Renda Fixa</t>
        </is>
      </c>
      <c r="I142" s="7" t="n">
        <v>1000</v>
      </c>
      <c r="J142" s="8" t="n">
        <v>0.7000000000000001</v>
      </c>
      <c r="K142" s="8" t="n"/>
      <c r="L142" s="4" t="inlineStr"/>
      <c r="M142" s="5" t="n">
        <v>10</v>
      </c>
      <c r="N142" s="5" t="n">
        <v>12</v>
      </c>
      <c r="O142" s="5" t="n"/>
      <c r="P142" s="4" t="inlineStr">
        <is>
          <t>Longo Prazo</t>
        </is>
      </c>
      <c r="Q142" s="4" t="inlineStr">
        <is>
          <t>Sim</t>
        </is>
      </c>
      <c r="R142" s="4" t="inlineStr">
        <is>
          <t>API interna</t>
        </is>
      </c>
      <c r="S142" s="4" t="n">
        <v>1</v>
      </c>
      <c r="T142" s="4" t="inlineStr">
        <is>
          <t>Não</t>
        </is>
      </c>
      <c r="U142" s="4" t="inlineStr">
        <is>
          <t>Sim</t>
        </is>
      </c>
      <c r="V142" s="4" t="inlineStr">
        <is>
          <t>Não</t>
        </is>
      </c>
      <c r="W142" s="4" t="inlineStr"/>
    </row>
    <row r="143">
      <c r="A143" s="4" t="inlineStr">
        <is>
          <t>BTG Pactual</t>
        </is>
      </c>
      <c r="B143" s="4" t="inlineStr">
        <is>
          <t>JGP BP Cred Prev Ipca FICFIRF LP CrPr RL</t>
        </is>
      </c>
      <c r="C143" s="6" t="inlineStr">
        <is>
          <t>44.643.217/0001-95</t>
        </is>
      </c>
      <c r="D143" s="4" t="inlineStr">
        <is>
          <t>LETO ASSET MANAGEMENT LTDA</t>
        </is>
      </c>
      <c r="E143" s="4" t="inlineStr">
        <is>
          <t>13.189.882/0001-27</t>
        </is>
      </c>
      <c r="F143" s="4" t="inlineStr">
        <is>
          <t>BNY MELLON SERVICOS FINANCEIROS DTVM S/A</t>
        </is>
      </c>
      <c r="G143" s="4" t="inlineStr">
        <is>
          <t>Renda Fixa</t>
        </is>
      </c>
      <c r="H143" s="4" t="inlineStr">
        <is>
          <t>Renda Fixa</t>
        </is>
      </c>
      <c r="I143" s="7" t="n">
        <v>1000</v>
      </c>
      <c r="J143" s="8" t="n">
        <v>1.2</v>
      </c>
      <c r="K143" s="8" t="n"/>
      <c r="L143" s="4" t="inlineStr"/>
      <c r="M143" s="5" t="n">
        <v>5</v>
      </c>
      <c r="N143" s="5" t="n">
        <v>7</v>
      </c>
      <c r="O143" s="5" t="n"/>
      <c r="P143" s="4" t="inlineStr">
        <is>
          <t>Longo Prazo</t>
        </is>
      </c>
      <c r="Q143" s="4" t="inlineStr">
        <is>
          <t>Não</t>
        </is>
      </c>
      <c r="R143" s="4" t="inlineStr">
        <is>
          <t>API interna</t>
        </is>
      </c>
      <c r="S143" s="4" t="n">
        <v>1</v>
      </c>
      <c r="T143" s="4" t="inlineStr">
        <is>
          <t>Não</t>
        </is>
      </c>
      <c r="U143" s="4" t="inlineStr">
        <is>
          <t>Sim</t>
        </is>
      </c>
      <c r="V143" s="4" t="inlineStr">
        <is>
          <t>Não</t>
        </is>
      </c>
      <c r="W143" s="4" t="inlineStr"/>
    </row>
    <row r="144">
      <c r="A144" s="4" t="inlineStr">
        <is>
          <t>BTG Pactual</t>
        </is>
      </c>
      <c r="B144" s="4" t="inlineStr">
        <is>
          <t>JGP BP Prev FICFIM CrPr RL</t>
        </is>
      </c>
      <c r="C144" s="6" t="inlineStr">
        <is>
          <t>38.075.290/0001-05</t>
        </is>
      </c>
      <c r="D144" s="4" t="inlineStr">
        <is>
          <t>JGP GESTÃO DE RECURSOS LTDA</t>
        </is>
      </c>
      <c r="E144" s="4" t="inlineStr">
        <is>
          <t>02.312.792/0001-65</t>
        </is>
      </c>
      <c r="F144" s="4" t="inlineStr">
        <is>
          <t>SUL AMERICA INVESTIMENTOS DISTRIBUIDORA DE TITULOS</t>
        </is>
      </c>
      <c r="G144" s="4" t="inlineStr">
        <is>
          <t>Multimercado</t>
        </is>
      </c>
      <c r="H144" s="4" t="inlineStr">
        <is>
          <t>Multimercado</t>
        </is>
      </c>
      <c r="I144" s="7" t="n">
        <v>1000</v>
      </c>
      <c r="J144" s="8" t="n">
        <v>2</v>
      </c>
      <c r="K144" s="8" t="n"/>
      <c r="L144" s="4" t="inlineStr"/>
      <c r="M144" s="5" t="n">
        <v>1</v>
      </c>
      <c r="N144" s="5" t="n">
        <v>3</v>
      </c>
      <c r="O144" s="5" t="n"/>
      <c r="P144" s="4" t="inlineStr">
        <is>
          <t>Longo Prazo</t>
        </is>
      </c>
      <c r="Q144" s="4" t="inlineStr">
        <is>
          <t>Não</t>
        </is>
      </c>
      <c r="R144" s="4" t="inlineStr">
        <is>
          <t>API interna</t>
        </is>
      </c>
      <c r="S144" s="4" t="n">
        <v>1</v>
      </c>
      <c r="T144" s="4" t="inlineStr">
        <is>
          <t>Não</t>
        </is>
      </c>
      <c r="U144" s="4" t="inlineStr">
        <is>
          <t>Sim</t>
        </is>
      </c>
      <c r="V144" s="4" t="inlineStr">
        <is>
          <t>Não</t>
        </is>
      </c>
      <c r="W144" s="4" t="inlineStr"/>
    </row>
    <row r="145">
      <c r="A145" s="4" t="inlineStr">
        <is>
          <t>BTG Pactual</t>
        </is>
      </c>
      <c r="B145" s="4" t="inlineStr">
        <is>
          <t>Jubarte Migration FIE Prev FIM RL</t>
        </is>
      </c>
      <c r="C145" s="6" t="inlineStr">
        <is>
          <t>60.314.455/0001-03</t>
        </is>
      </c>
      <c r="D145" s="4" t="inlineStr">
        <is>
          <t>JUBARTE STRATEGIC CAPITAL LTDA.</t>
        </is>
      </c>
      <c r="E145" s="4" t="inlineStr">
        <is>
          <t>50.184.375/0001-27</t>
        </is>
      </c>
      <c r="F145" s="4" t="inlineStr">
        <is>
          <t>BTG PACTUAL SERVICOS FINANCEIROS S.A. DISTRIBUIDOR</t>
        </is>
      </c>
      <c r="G145" s="4" t="inlineStr">
        <is>
          <t>Multimercado</t>
        </is>
      </c>
      <c r="H145" s="4" t="inlineStr">
        <is>
          <t>Multimercado</t>
        </is>
      </c>
      <c r="I145" s="7" t="n">
        <v>1000</v>
      </c>
      <c r="J145" s="8" t="n">
        <v>1.8</v>
      </c>
      <c r="K145" s="8" t="n">
        <v>20</v>
      </c>
      <c r="L145" s="4" t="inlineStr">
        <is>
          <t>-</t>
        </is>
      </c>
      <c r="M145" s="5" t="n">
        <v>30</v>
      </c>
      <c r="N145" s="5" t="n">
        <v>31</v>
      </c>
      <c r="O145" s="5" t="n"/>
      <c r="P145" s="4" t="inlineStr">
        <is>
          <t>Curto Prazo</t>
        </is>
      </c>
      <c r="Q145" s="4" t="inlineStr">
        <is>
          <t>Não</t>
        </is>
      </c>
      <c r="R145" s="4" t="inlineStr">
        <is>
          <t>API interna</t>
        </is>
      </c>
      <c r="S145" s="4" t="n">
        <v>1</v>
      </c>
      <c r="T145" s="4" t="inlineStr">
        <is>
          <t>Não</t>
        </is>
      </c>
      <c r="U145" s="4" t="inlineStr">
        <is>
          <t>Sim</t>
        </is>
      </c>
      <c r="V145" s="4" t="inlineStr">
        <is>
          <t>Não</t>
        </is>
      </c>
      <c r="W145" s="4" t="inlineStr"/>
    </row>
    <row r="146">
      <c r="A146" s="4" t="inlineStr">
        <is>
          <t>BTG Pactual</t>
        </is>
      </c>
      <c r="B146" s="4" t="inlineStr">
        <is>
          <t>Kadima Imab Prev FICFIM Access RL</t>
        </is>
      </c>
      <c r="C146" s="6" t="inlineStr">
        <is>
          <t>54.174.638/0001-78</t>
        </is>
      </c>
      <c r="D146" s="4" t="inlineStr">
        <is>
          <t>BTG PACTUAL GESTÃO E CONSULTORIA DE INVESTIMENTOS LTDA</t>
        </is>
      </c>
      <c r="E146" s="4" t="inlineStr">
        <is>
          <t>12.695.840/0001-03</t>
        </is>
      </c>
      <c r="F146" s="4" t="inlineStr">
        <is>
          <t>BTG PACTUAL SERVICOS FINANCEIROS S.A. DISTRIBUIDOR</t>
        </is>
      </c>
      <c r="G146" s="4" t="inlineStr">
        <is>
          <t>Multimercado</t>
        </is>
      </c>
      <c r="H146" s="4" t="inlineStr">
        <is>
          <t>Renda Fixa</t>
        </is>
      </c>
      <c r="I146" s="7" t="n">
        <v>0</v>
      </c>
      <c r="J146" s="8" t="n"/>
      <c r="K146" s="8" t="n"/>
      <c r="L146" s="4" t="inlineStr"/>
      <c r="M146" s="5" t="n">
        <v>5</v>
      </c>
      <c r="N146" s="5" t="n">
        <v>6</v>
      </c>
      <c r="O146" s="5" t="n"/>
      <c r="P146" s="4" t="inlineStr">
        <is>
          <t>Curto Prazo</t>
        </is>
      </c>
      <c r="Q146" s="4" t="inlineStr">
        <is>
          <t>Não</t>
        </is>
      </c>
      <c r="R146" s="4" t="inlineStr">
        <is>
          <t>API interna</t>
        </is>
      </c>
      <c r="S146" s="4" t="n">
        <v>1</v>
      </c>
      <c r="T146" s="4" t="inlineStr">
        <is>
          <t>Não</t>
        </is>
      </c>
      <c r="U146" s="4" t="inlineStr">
        <is>
          <t>Sim</t>
        </is>
      </c>
      <c r="V146" s="4" t="inlineStr">
        <is>
          <t>Não</t>
        </is>
      </c>
      <c r="W146" s="4" t="inlineStr"/>
    </row>
    <row r="147">
      <c r="A147" s="4" t="inlineStr">
        <is>
          <t>BTG Pactual</t>
        </is>
      </c>
      <c r="B147" s="4" t="inlineStr">
        <is>
          <t>Kadima Long Short Prev FICFIM RL</t>
        </is>
      </c>
      <c r="C147" s="6" t="inlineStr">
        <is>
          <t>35.020.129/0001-46</t>
        </is>
      </c>
      <c r="D147" s="4" t="inlineStr">
        <is>
          <t>KADIMA GESTAO DE INVESTIMENTOS LTDA</t>
        </is>
      </c>
      <c r="E147" s="4" t="inlineStr">
        <is>
          <t>08.792.073/0001-75</t>
        </is>
      </c>
      <c r="F147" s="4" t="inlineStr">
        <is>
          <t>BTG PACTUAL SERVICOS FINANCEIROS S.A. DISTRIBUIDOR</t>
        </is>
      </c>
      <c r="G147" s="4" t="inlineStr">
        <is>
          <t>Multimercado</t>
        </is>
      </c>
      <c r="H147" s="4" t="inlineStr">
        <is>
          <t>Renda Variável</t>
        </is>
      </c>
      <c r="I147" s="7" t="n">
        <v>1000</v>
      </c>
      <c r="J147" s="8" t="n"/>
      <c r="K147" s="8" t="n"/>
      <c r="L147" s="4" t="inlineStr"/>
      <c r="M147" s="5" t="n">
        <v>5</v>
      </c>
      <c r="N147" s="5" t="n">
        <v>7</v>
      </c>
      <c r="O147" s="5" t="n"/>
      <c r="P147" s="4" t="inlineStr">
        <is>
          <t>Curto Prazo</t>
        </is>
      </c>
      <c r="Q147" s="4" t="inlineStr">
        <is>
          <t>Não</t>
        </is>
      </c>
      <c r="R147" s="4" t="inlineStr">
        <is>
          <t>API interna</t>
        </is>
      </c>
      <c r="S147" s="4" t="n">
        <v>1</v>
      </c>
      <c r="T147" s="4" t="inlineStr">
        <is>
          <t>Não</t>
        </is>
      </c>
      <c r="U147" s="4" t="inlineStr">
        <is>
          <t>Sim</t>
        </is>
      </c>
      <c r="V147" s="4" t="inlineStr">
        <is>
          <t>Não</t>
        </is>
      </c>
      <c r="W147" s="4" t="inlineStr"/>
    </row>
    <row r="148">
      <c r="A148" s="4" t="inlineStr">
        <is>
          <t>BTG Pactual</t>
        </is>
      </c>
      <c r="B148" s="4" t="inlineStr">
        <is>
          <t>Kapitalo K10 Global BP Prev FICFIM CrPr RL</t>
        </is>
      </c>
      <c r="C148" s="6" t="inlineStr">
        <is>
          <t>41.498.482/0001-39</t>
        </is>
      </c>
      <c r="D148" s="4" t="inlineStr">
        <is>
          <t>BTG PACTUAL GESTÃO E CONSULTORIA DE INVESTIMENTOS LTDA</t>
        </is>
      </c>
      <c r="E148" s="4" t="inlineStr">
        <is>
          <t>12.695.840/0001-03</t>
        </is>
      </c>
      <c r="F148" s="4" t="inlineStr">
        <is>
          <t>BTG PACTUAL SERVICOS FINANCEIROS S.A. DISTRIBUIDOR</t>
        </is>
      </c>
      <c r="G148" s="4" t="inlineStr">
        <is>
          <t>Multimercado</t>
        </is>
      </c>
      <c r="H148" s="4" t="inlineStr">
        <is>
          <t>Multimercado</t>
        </is>
      </c>
      <c r="I148" s="7" t="n">
        <v>0</v>
      </c>
      <c r="J148" s="8" t="n">
        <v>0.75</v>
      </c>
      <c r="K148" s="8" t="n"/>
      <c r="L148" s="4" t="inlineStr"/>
      <c r="M148" s="5" t="n">
        <v>7</v>
      </c>
      <c r="N148" s="5" t="n">
        <v>9</v>
      </c>
      <c r="O148" s="5" t="n"/>
      <c r="P148" s="4" t="inlineStr">
        <is>
          <t>Curto Prazo</t>
        </is>
      </c>
      <c r="Q148" s="4" t="inlineStr">
        <is>
          <t>Não</t>
        </is>
      </c>
      <c r="R148" s="4" t="inlineStr">
        <is>
          <t>API interna</t>
        </is>
      </c>
      <c r="S148" s="4" t="n">
        <v>1</v>
      </c>
      <c r="T148" s="4" t="inlineStr">
        <is>
          <t>Não</t>
        </is>
      </c>
      <c r="U148" s="4" t="inlineStr">
        <is>
          <t>Sim</t>
        </is>
      </c>
      <c r="V148" s="4" t="inlineStr">
        <is>
          <t>Não</t>
        </is>
      </c>
      <c r="W148" s="4" t="inlineStr"/>
    </row>
    <row r="149">
      <c r="A149" s="4" t="inlineStr">
        <is>
          <t>BTG Pactual</t>
        </is>
      </c>
      <c r="B149" s="4" t="inlineStr">
        <is>
          <t>Kapitalo Kappa BP Qualificado Prev FICFIM RL</t>
        </is>
      </c>
      <c r="C149" s="6" t="inlineStr">
        <is>
          <t>41.745.725/0001-96</t>
        </is>
      </c>
      <c r="D149" s="4" t="inlineStr">
        <is>
          <t>BTG PACTUAL GESTÃO E CONSULTORIA DE INVESTIMENTOS LTDA</t>
        </is>
      </c>
      <c r="E149" s="4" t="inlineStr">
        <is>
          <t>12.695.840/0001-03</t>
        </is>
      </c>
      <c r="F149" s="4" t="inlineStr">
        <is>
          <t>BTG PACTUAL SERVICOS FINANCEIROS S.A. DISTRIBUIDOR</t>
        </is>
      </c>
      <c r="G149" s="4" t="inlineStr">
        <is>
          <t>Multimercado</t>
        </is>
      </c>
      <c r="H149" s="4" t="inlineStr">
        <is>
          <t>Multimercado</t>
        </is>
      </c>
      <c r="I149" s="7" t="n">
        <v>0</v>
      </c>
      <c r="J149" s="8" t="n">
        <v>0.75</v>
      </c>
      <c r="K149" s="8" t="n"/>
      <c r="L149" s="4" t="inlineStr"/>
      <c r="M149" s="5" t="n">
        <v>22</v>
      </c>
      <c r="N149" s="5" t="n">
        <v>24</v>
      </c>
      <c r="O149" s="5" t="n"/>
      <c r="P149" s="4" t="inlineStr">
        <is>
          <t>Curto Prazo</t>
        </is>
      </c>
      <c r="Q149" s="4" t="inlineStr">
        <is>
          <t>Não</t>
        </is>
      </c>
      <c r="R149" s="4" t="inlineStr">
        <is>
          <t>API interna</t>
        </is>
      </c>
      <c r="S149" s="4" t="n">
        <v>1</v>
      </c>
      <c r="T149" s="4" t="inlineStr">
        <is>
          <t>Não</t>
        </is>
      </c>
      <c r="U149" s="4" t="inlineStr">
        <is>
          <t>Sim</t>
        </is>
      </c>
      <c r="V149" s="4" t="inlineStr">
        <is>
          <t>Não</t>
        </is>
      </c>
      <c r="W149" s="4" t="inlineStr"/>
    </row>
    <row r="150">
      <c r="A150" s="4" t="inlineStr">
        <is>
          <t>BTG Pactual</t>
        </is>
      </c>
      <c r="B150" s="4" t="inlineStr">
        <is>
          <t>Kapitalo Zeta Prev FICFIM Access RL</t>
        </is>
      </c>
      <c r="C150" s="6" t="inlineStr">
        <is>
          <t>55.136.698/0001-69</t>
        </is>
      </c>
      <c r="D150" s="4" t="inlineStr">
        <is>
          <t>BTG PACTUAL GESTÃO E CONSULTORIA DE INVESTIMENTOS LTDA</t>
        </is>
      </c>
      <c r="E150" s="4" t="inlineStr">
        <is>
          <t>12.695.840/0001-03</t>
        </is>
      </c>
      <c r="F150" s="4" t="inlineStr">
        <is>
          <t>BTG PACTUAL SERVICOS FINANCEIROS S.A. DISTRIBUIDOR</t>
        </is>
      </c>
      <c r="G150" s="4" t="inlineStr">
        <is>
          <t>Multimercado</t>
        </is>
      </c>
      <c r="H150" s="4" t="inlineStr">
        <is>
          <t>Multimercado</t>
        </is>
      </c>
      <c r="I150" s="7" t="n">
        <v>0</v>
      </c>
      <c r="J150" s="8" t="n">
        <v>2</v>
      </c>
      <c r="K150" s="8" t="n">
        <v>20</v>
      </c>
      <c r="L150" s="4" t="inlineStr">
        <is>
          <t>-</t>
        </is>
      </c>
      <c r="M150" s="5" t="n">
        <v>44</v>
      </c>
      <c r="N150" s="5" t="n">
        <v>46</v>
      </c>
      <c r="O150" s="5" t="n"/>
      <c r="P150" s="4" t="inlineStr">
        <is>
          <t>Curto Prazo</t>
        </is>
      </c>
      <c r="Q150" s="4" t="inlineStr">
        <is>
          <t>Não</t>
        </is>
      </c>
      <c r="R150" s="4" t="inlineStr">
        <is>
          <t>API interna</t>
        </is>
      </c>
      <c r="S150" s="4" t="n">
        <v>1</v>
      </c>
      <c r="T150" s="4" t="inlineStr">
        <is>
          <t>Não</t>
        </is>
      </c>
      <c r="U150" s="4" t="inlineStr">
        <is>
          <t>Sim</t>
        </is>
      </c>
      <c r="V150" s="4" t="inlineStr">
        <is>
          <t>Não</t>
        </is>
      </c>
      <c r="W150" s="4" t="inlineStr"/>
    </row>
    <row r="151">
      <c r="A151" s="4" t="inlineStr">
        <is>
          <t>BTG Pactual</t>
        </is>
      </c>
      <c r="B151" s="4" t="inlineStr">
        <is>
          <t>Kinea Alpes Prev BTG Prev FICFIRF CrPr RL</t>
        </is>
      </c>
      <c r="C151" s="6" t="inlineStr">
        <is>
          <t>55.019.754/0001-85</t>
        </is>
      </c>
      <c r="D151" s="4" t="inlineStr">
        <is>
          <t>BTG PACTUAL GESTÃO E CONSULTORIA DE INVESTIMENTOS LTDA</t>
        </is>
      </c>
      <c r="E151" s="4" t="inlineStr">
        <is>
          <t>12.695.840/0001-03</t>
        </is>
      </c>
      <c r="F151" s="4" t="inlineStr">
        <is>
          <t>BTG PACTUAL SERVICOS FINANCEIROS S.A. DISTRIBUIDOR</t>
        </is>
      </c>
      <c r="G151" s="4" t="inlineStr">
        <is>
          <t>Renda Fixa</t>
        </is>
      </c>
      <c r="H151" s="4" t="inlineStr">
        <is>
          <t>Renda Fixa</t>
        </is>
      </c>
      <c r="I151" s="7" t="n">
        <v>1000</v>
      </c>
      <c r="J151" s="8" t="n">
        <v>1</v>
      </c>
      <c r="K151" s="8" t="n"/>
      <c r="L151" s="4" t="inlineStr"/>
      <c r="M151" s="5" t="n">
        <v>8</v>
      </c>
      <c r="N151" s="5" t="n">
        <v>9</v>
      </c>
      <c r="O151" s="5" t="n"/>
      <c r="P151" s="4" t="inlineStr">
        <is>
          <t>Curto Prazo</t>
        </is>
      </c>
      <c r="Q151" s="4" t="inlineStr">
        <is>
          <t>Não</t>
        </is>
      </c>
      <c r="R151" s="4" t="inlineStr">
        <is>
          <t>API interna</t>
        </is>
      </c>
      <c r="S151" s="4" t="n">
        <v>1</v>
      </c>
      <c r="T151" s="4" t="inlineStr">
        <is>
          <t>Não</t>
        </is>
      </c>
      <c r="U151" s="4" t="inlineStr">
        <is>
          <t>Sim</t>
        </is>
      </c>
      <c r="V151" s="4" t="inlineStr">
        <is>
          <t>Não</t>
        </is>
      </c>
      <c r="W151" s="4" t="inlineStr"/>
    </row>
    <row r="152">
      <c r="A152" s="4" t="inlineStr">
        <is>
          <t>BTG Pactual</t>
        </is>
      </c>
      <c r="B152" s="4" t="inlineStr">
        <is>
          <t>Kinea Dakar BP Prev FIRF</t>
        </is>
      </c>
      <c r="C152" s="6" t="inlineStr">
        <is>
          <t>52.856.535/0001-62</t>
        </is>
      </c>
      <c r="D152" s="4" t="inlineStr">
        <is>
          <t>BTG PACTUAL GESTÃO E CONSULTORIA DE INVESTIMENTOS LTDA</t>
        </is>
      </c>
      <c r="E152" s="4" t="inlineStr">
        <is>
          <t>12.695.840/0001-03</t>
        </is>
      </c>
      <c r="F152" s="4" t="inlineStr">
        <is>
          <t>BTG PACTUAL SERVICOS FINANCEIROS S.A. DISTRIBUIDOR</t>
        </is>
      </c>
      <c r="G152" s="4" t="inlineStr">
        <is>
          <t>Renda Fixa</t>
        </is>
      </c>
      <c r="H152" s="4" t="inlineStr">
        <is>
          <t>Renda Fixa</t>
        </is>
      </c>
      <c r="I152" s="7" t="n">
        <v>1000</v>
      </c>
      <c r="J152" s="8" t="n">
        <v>0.9</v>
      </c>
      <c r="K152" s="8" t="n"/>
      <c r="L152" s="4" t="inlineStr"/>
      <c r="M152" s="5" t="n">
        <v>0</v>
      </c>
      <c r="N152" s="5" t="n">
        <v>1</v>
      </c>
      <c r="O152" s="5" t="n"/>
      <c r="P152" s="4" t="inlineStr">
        <is>
          <t>Curto Prazo</t>
        </is>
      </c>
      <c r="Q152" s="4" t="inlineStr">
        <is>
          <t>Não</t>
        </is>
      </c>
      <c r="R152" s="4" t="inlineStr">
        <is>
          <t>API interna</t>
        </is>
      </c>
      <c r="S152" s="4" t="n">
        <v>1</v>
      </c>
      <c r="T152" s="4" t="inlineStr">
        <is>
          <t>Não</t>
        </is>
      </c>
      <c r="U152" s="4" t="inlineStr">
        <is>
          <t>Sim</t>
        </is>
      </c>
      <c r="V152" s="4" t="inlineStr">
        <is>
          <t>Não</t>
        </is>
      </c>
      <c r="W152" s="4" t="inlineStr"/>
    </row>
    <row r="153">
      <c r="A153" s="4" t="inlineStr">
        <is>
          <t>BTG Pactual</t>
        </is>
      </c>
      <c r="B153" s="4" t="inlineStr">
        <is>
          <t>Kinea Prev Apolo BTG FICFIM RL</t>
        </is>
      </c>
      <c r="C153" s="6" t="inlineStr">
        <is>
          <t>59.719.333/0001-18</t>
        </is>
      </c>
      <c r="D153" s="4" t="inlineStr">
        <is>
          <t>KINEA INVESTIMENTOS LTDA.</t>
        </is>
      </c>
      <c r="E153" s="4" t="inlineStr">
        <is>
          <t>08.604.187/0001-44</t>
        </is>
      </c>
      <c r="F153" s="4" t="inlineStr">
        <is>
          <t>INTRAG DISTR DE TITULOS EVALORES MOBILIARIOS LTDA</t>
        </is>
      </c>
      <c r="G153" s="4" t="inlineStr">
        <is>
          <t>Multimercado</t>
        </is>
      </c>
      <c r="H153" s="4" t="inlineStr">
        <is>
          <t>Multimercado</t>
        </is>
      </c>
      <c r="I153" s="7" t="n">
        <v>1000</v>
      </c>
      <c r="J153" s="8" t="n">
        <v>0.8</v>
      </c>
      <c r="K153" s="8" t="n">
        <v>25</v>
      </c>
      <c r="L153" s="4" t="inlineStr">
        <is>
          <t>-</t>
        </is>
      </c>
      <c r="M153" s="5" t="n">
        <v>0</v>
      </c>
      <c r="N153" s="5" t="n">
        <v>1</v>
      </c>
      <c r="O153" s="5" t="n"/>
      <c r="P153" s="4" t="inlineStr">
        <is>
          <t>Longo Prazo</t>
        </is>
      </c>
      <c r="Q153" s="4" t="inlineStr">
        <is>
          <t>Não</t>
        </is>
      </c>
      <c r="R153" s="4" t="inlineStr">
        <is>
          <t>API interna</t>
        </is>
      </c>
      <c r="S153" s="4" t="n">
        <v>1</v>
      </c>
      <c r="T153" s="4" t="inlineStr">
        <is>
          <t>Não</t>
        </is>
      </c>
      <c r="U153" s="4" t="inlineStr">
        <is>
          <t>Sim</t>
        </is>
      </c>
      <c r="V153" s="4" t="inlineStr">
        <is>
          <t>Não</t>
        </is>
      </c>
      <c r="W153" s="4" t="inlineStr"/>
    </row>
    <row r="154">
      <c r="A154" s="4" t="inlineStr">
        <is>
          <t>BTG Pactual</t>
        </is>
      </c>
      <c r="B154" s="4" t="inlineStr">
        <is>
          <t>Kinea Prev Atlas BTG Pactual FICFIM RL</t>
        </is>
      </c>
      <c r="C154" s="6" t="inlineStr">
        <is>
          <t>37.728.756/0001-61</t>
        </is>
      </c>
      <c r="D154" s="4" t="inlineStr">
        <is>
          <t>BTG PACTUAL GESTÃO E CONSULTORIA DE INVESTIMENTOS LTDA</t>
        </is>
      </c>
      <c r="E154" s="4" t="inlineStr">
        <is>
          <t>12.695.840/0001-03</t>
        </is>
      </c>
      <c r="F154" s="4" t="inlineStr">
        <is>
          <t>BTG PACTUAL SERVICOS FINANCEIROS S.A. DISTRIBUIDOR</t>
        </is>
      </c>
      <c r="G154" s="4" t="inlineStr">
        <is>
          <t>Multimercado</t>
        </is>
      </c>
      <c r="H154" s="4" t="inlineStr">
        <is>
          <t>Multimercado</t>
        </is>
      </c>
      <c r="I154" s="7" t="n">
        <v>1000</v>
      </c>
      <c r="J154" s="8" t="n">
        <v>2</v>
      </c>
      <c r="K154" s="8" t="n">
        <v>17</v>
      </c>
      <c r="L154" s="4" t="inlineStr">
        <is>
          <t>CDI</t>
        </is>
      </c>
      <c r="M154" s="5" t="n">
        <v>20</v>
      </c>
      <c r="N154" s="5" t="n">
        <v>21</v>
      </c>
      <c r="O154" s="5" t="n"/>
      <c r="P154" s="4" t="inlineStr">
        <is>
          <t>Curto Prazo</t>
        </is>
      </c>
      <c r="Q154" s="4" t="inlineStr">
        <is>
          <t>Não</t>
        </is>
      </c>
      <c r="R154" s="4" t="inlineStr">
        <is>
          <t>API interna</t>
        </is>
      </c>
      <c r="S154" s="4" t="n">
        <v>1</v>
      </c>
      <c r="T154" s="4" t="inlineStr">
        <is>
          <t>Não</t>
        </is>
      </c>
      <c r="U154" s="4" t="inlineStr">
        <is>
          <t>Sim</t>
        </is>
      </c>
      <c r="V154" s="4" t="inlineStr">
        <is>
          <t>Não</t>
        </is>
      </c>
      <c r="W154" s="4" t="inlineStr"/>
    </row>
    <row r="155">
      <c r="A155" s="4" t="inlineStr">
        <is>
          <t>BTG Pactual</t>
        </is>
      </c>
      <c r="B155" s="4" t="inlineStr">
        <is>
          <t>Kinea Prev Ipca Dinamico II BTG Pactual FIRF RL</t>
        </is>
      </c>
      <c r="C155" s="6" t="inlineStr">
        <is>
          <t>44.983.621/0001-08</t>
        </is>
      </c>
      <c r="D155" s="4" t="inlineStr">
        <is>
          <t>BTG PACTUAL GESTÃO E CONSULTORIA DE INVESTIMENTOS LTDA</t>
        </is>
      </c>
      <c r="E155" s="4" t="inlineStr">
        <is>
          <t>12.695.840/0001-03</t>
        </is>
      </c>
      <c r="F155" s="4" t="inlineStr">
        <is>
          <t>BTG PACTUAL SERVICOS FINANCEIROS S.A. DISTRIBUIDOR</t>
        </is>
      </c>
      <c r="G155" s="4" t="inlineStr">
        <is>
          <t>Renda Fixa</t>
        </is>
      </c>
      <c r="H155" s="4" t="inlineStr">
        <is>
          <t>Renda Fixa</t>
        </is>
      </c>
      <c r="I155" s="7" t="n">
        <v>1000</v>
      </c>
      <c r="J155" s="8" t="n">
        <v>1</v>
      </c>
      <c r="K155" s="8" t="n"/>
      <c r="L155" s="4" t="inlineStr"/>
      <c r="M155" s="5" t="n">
        <v>0</v>
      </c>
      <c r="N155" s="5" t="n">
        <v>1</v>
      </c>
      <c r="O155" s="5" t="n"/>
      <c r="P155" s="4" t="inlineStr">
        <is>
          <t>Curto Prazo</t>
        </is>
      </c>
      <c r="Q155" s="4" t="inlineStr">
        <is>
          <t>Não</t>
        </is>
      </c>
      <c r="R155" s="4" t="inlineStr">
        <is>
          <t>API interna</t>
        </is>
      </c>
      <c r="S155" s="4" t="n">
        <v>1</v>
      </c>
      <c r="T155" s="4" t="inlineStr">
        <is>
          <t>Não</t>
        </is>
      </c>
      <c r="U155" s="4" t="inlineStr">
        <is>
          <t>Sim</t>
        </is>
      </c>
      <c r="V155" s="4" t="inlineStr">
        <is>
          <t>Não</t>
        </is>
      </c>
      <c r="W155" s="4" t="inlineStr"/>
    </row>
    <row r="156">
      <c r="A156" s="4" t="inlineStr">
        <is>
          <t>BTG Pactual</t>
        </is>
      </c>
      <c r="B156" s="4" t="inlineStr">
        <is>
          <t>Kinea Prev XTR II Planos Icatu FICFIM RL</t>
        </is>
      </c>
      <c r="C156" s="6" t="inlineStr">
        <is>
          <t>34.143.959/0001-06</t>
        </is>
      </c>
      <c r="D156" s="4" t="inlineStr">
        <is>
          <t>KINEA INVESTIMENTOS LTDA.</t>
        </is>
      </c>
      <c r="E156" s="4" t="inlineStr">
        <is>
          <t>08.604.187/0001-44</t>
        </is>
      </c>
      <c r="F156" s="4" t="inlineStr">
        <is>
          <t>INTRAG DISTR DE TITULOS EVALORES MOBILIARIOS LTDA</t>
        </is>
      </c>
      <c r="G156" s="4" t="inlineStr">
        <is>
          <t>Multimercado</t>
        </is>
      </c>
      <c r="H156" s="4" t="inlineStr">
        <is>
          <t>Multimercado</t>
        </is>
      </c>
      <c r="I156" s="7" t="n">
        <v>3000</v>
      </c>
      <c r="J156" s="8" t="n">
        <v>1.5</v>
      </c>
      <c r="K156" s="8" t="n">
        <v>20</v>
      </c>
      <c r="L156" s="4" t="inlineStr">
        <is>
          <t>CDI</t>
        </is>
      </c>
      <c r="M156" s="5" t="n">
        <v>0</v>
      </c>
      <c r="N156" s="5" t="n">
        <v>1</v>
      </c>
      <c r="O156" s="5" t="n"/>
      <c r="P156" s="4" t="inlineStr">
        <is>
          <t>Longo Prazo</t>
        </is>
      </c>
      <c r="Q156" s="4" t="inlineStr">
        <is>
          <t>Não</t>
        </is>
      </c>
      <c r="R156" s="4" t="inlineStr">
        <is>
          <t>API interna</t>
        </is>
      </c>
      <c r="S156" s="4" t="n">
        <v>1</v>
      </c>
      <c r="T156" s="4" t="inlineStr">
        <is>
          <t>Não</t>
        </is>
      </c>
      <c r="U156" s="4" t="inlineStr">
        <is>
          <t>Sim</t>
        </is>
      </c>
      <c r="V156" s="4" t="inlineStr">
        <is>
          <t>Não</t>
        </is>
      </c>
      <c r="W156" s="4" t="inlineStr"/>
    </row>
    <row r="157">
      <c r="A157" s="4" t="inlineStr">
        <is>
          <t>BTG Pactual</t>
        </is>
      </c>
      <c r="B157" s="4" t="inlineStr">
        <is>
          <t>Kinea Prev Zeus BTG FICFIM RL</t>
        </is>
      </c>
      <c r="C157" s="6" t="inlineStr">
        <is>
          <t>58.739.330/0001-83</t>
        </is>
      </c>
      <c r="D157" s="4" t="inlineStr">
        <is>
          <t>KINEA INVESTIMENTOS LTDA.</t>
        </is>
      </c>
      <c r="E157" s="4" t="inlineStr">
        <is>
          <t>08.604.187/0001-44</t>
        </is>
      </c>
      <c r="F157" s="4" t="inlineStr">
        <is>
          <t>INTRAG DISTR DE TITULOS EVALORES MOBILIARIOS LTDA</t>
        </is>
      </c>
      <c r="G157" s="4" t="inlineStr">
        <is>
          <t>Multimercado</t>
        </is>
      </c>
      <c r="H157" s="4" t="inlineStr">
        <is>
          <t>Outros</t>
        </is>
      </c>
      <c r="I157" s="7" t="n">
        <v>1000</v>
      </c>
      <c r="J157" s="8" t="n">
        <v>2</v>
      </c>
      <c r="K157" s="8" t="n">
        <v>17</v>
      </c>
      <c r="L157" s="4" t="inlineStr">
        <is>
          <t>-</t>
        </is>
      </c>
      <c r="M157" s="5" t="n">
        <v>42</v>
      </c>
      <c r="N157" s="5" t="n">
        <v>43</v>
      </c>
      <c r="O157" s="5" t="n"/>
      <c r="P157" s="4" t="inlineStr">
        <is>
          <t>Longo Prazo</t>
        </is>
      </c>
      <c r="Q157" s="4" t="inlineStr">
        <is>
          <t>Não</t>
        </is>
      </c>
      <c r="R157" s="4" t="inlineStr">
        <is>
          <t>API interna</t>
        </is>
      </c>
      <c r="S157" s="4" t="n">
        <v>1</v>
      </c>
      <c r="T157" s="4" t="inlineStr">
        <is>
          <t>Não</t>
        </is>
      </c>
      <c r="U157" s="4" t="inlineStr">
        <is>
          <t>Sim</t>
        </is>
      </c>
      <c r="V157" s="4" t="inlineStr">
        <is>
          <t>Não</t>
        </is>
      </c>
      <c r="W157" s="4" t="inlineStr"/>
    </row>
    <row r="158">
      <c r="A158" s="4" t="inlineStr">
        <is>
          <t>BTG Pactual</t>
        </is>
      </c>
      <c r="B158" s="4" t="inlineStr">
        <is>
          <t>Leblon 100 Icatu Prev FIM RL</t>
        </is>
      </c>
      <c r="C158" s="6" t="inlineStr">
        <is>
          <t>35.314.803/0001-03</t>
        </is>
      </c>
      <c r="D158" s="4" t="inlineStr">
        <is>
          <t>LEBLON EQUITIES GESTAO DE RECURSOS LTDA</t>
        </is>
      </c>
      <c r="E158" s="4" t="inlineStr">
        <is>
          <t>10.240.925/0001-63</t>
        </is>
      </c>
      <c r="F158" s="4" t="inlineStr">
        <is>
          <t>BNY MELLON SERVICOS FINANCEIROS DTVM S/A</t>
        </is>
      </c>
      <c r="G158" s="4" t="inlineStr">
        <is>
          <t>Multimercado</t>
        </is>
      </c>
      <c r="H158" s="4" t="inlineStr">
        <is>
          <t>Renda Variável</t>
        </is>
      </c>
      <c r="I158" s="7" t="n">
        <v>5000</v>
      </c>
      <c r="J158" s="8" t="n">
        <v>2</v>
      </c>
      <c r="K158" s="8" t="n">
        <v>15</v>
      </c>
      <c r="L158" s="4" t="inlineStr">
        <is>
          <t>IMA-B5</t>
        </is>
      </c>
      <c r="M158" s="5" t="n">
        <v>28</v>
      </c>
      <c r="N158" s="5" t="n">
        <v>30</v>
      </c>
      <c r="O158" s="5" t="n"/>
      <c r="P158" s="4" t="inlineStr">
        <is>
          <t>Longo Prazo</t>
        </is>
      </c>
      <c r="Q158" s="4" t="inlineStr">
        <is>
          <t>Não</t>
        </is>
      </c>
      <c r="R158" s="4" t="inlineStr">
        <is>
          <t>API interna</t>
        </is>
      </c>
      <c r="S158" s="4" t="n">
        <v>1</v>
      </c>
      <c r="T158" s="4" t="inlineStr">
        <is>
          <t>Não</t>
        </is>
      </c>
      <c r="U158" s="4" t="inlineStr">
        <is>
          <t>Sim</t>
        </is>
      </c>
      <c r="V158" s="4" t="inlineStr">
        <is>
          <t>Não</t>
        </is>
      </c>
      <c r="W158" s="4" t="inlineStr"/>
    </row>
    <row r="159">
      <c r="A159" s="4" t="inlineStr">
        <is>
          <t>BTG Pactual</t>
        </is>
      </c>
      <c r="B159" s="4" t="inlineStr">
        <is>
          <t>Leblon Icatu Prev FIM RL</t>
        </is>
      </c>
      <c r="C159" s="6" t="inlineStr">
        <is>
          <t>11.098.129/0001-09</t>
        </is>
      </c>
      <c r="D159" s="4" t="inlineStr">
        <is>
          <t>LEBLON EQUITIES GESTAO DE RECURSOS LTDA</t>
        </is>
      </c>
      <c r="E159" s="4" t="inlineStr">
        <is>
          <t>10.240.925/0001-63</t>
        </is>
      </c>
      <c r="F159" s="4" t="inlineStr">
        <is>
          <t>BNY MELLON SERVICOS FINANCEIROS DTVM S/A</t>
        </is>
      </c>
      <c r="G159" s="4" t="inlineStr">
        <is>
          <t>Multimercado</t>
        </is>
      </c>
      <c r="H159" s="4" t="inlineStr">
        <is>
          <t>Renda Variável</t>
        </is>
      </c>
      <c r="I159" s="7" t="n">
        <v>1000</v>
      </c>
      <c r="J159" s="8" t="n">
        <v>2</v>
      </c>
      <c r="K159" s="8" t="n"/>
      <c r="L159" s="4" t="inlineStr"/>
      <c r="M159" s="5" t="n">
        <v>1</v>
      </c>
      <c r="N159" s="5" t="n">
        <v>5</v>
      </c>
      <c r="O159" s="5" t="n"/>
      <c r="P159" s="4" t="inlineStr">
        <is>
          <t>Curto Prazo</t>
        </is>
      </c>
      <c r="Q159" s="4" t="inlineStr">
        <is>
          <t>Não</t>
        </is>
      </c>
      <c r="R159" s="4" t="inlineStr">
        <is>
          <t>API interna</t>
        </is>
      </c>
      <c r="S159" s="4" t="n">
        <v>1</v>
      </c>
      <c r="T159" s="4" t="inlineStr">
        <is>
          <t>Não</t>
        </is>
      </c>
      <c r="U159" s="4" t="inlineStr">
        <is>
          <t>Sim</t>
        </is>
      </c>
      <c r="V159" s="4" t="inlineStr">
        <is>
          <t>Não</t>
        </is>
      </c>
      <c r="W159" s="4" t="inlineStr"/>
    </row>
    <row r="160">
      <c r="A160" s="4" t="inlineStr">
        <is>
          <t>BTG Pactual</t>
        </is>
      </c>
      <c r="B160" s="4" t="inlineStr">
        <is>
          <t>Legacy Capital BS Prev FICFIM RL</t>
        </is>
      </c>
      <c r="C160" s="6" t="inlineStr">
        <is>
          <t>37.829.233/0001-01</t>
        </is>
      </c>
      <c r="D160" s="4" t="inlineStr">
        <is>
          <t>LEGACY CAPITAL GESTORA DE RECURSOS LTDA.</t>
        </is>
      </c>
      <c r="E160" s="4" t="inlineStr">
        <is>
          <t>28.674.641/0001-40</t>
        </is>
      </c>
      <c r="F160" s="4" t="inlineStr">
        <is>
          <t>BTG PACTUAL SERVICOS FINANCEIROS S.A. DISTRIBUIDOR</t>
        </is>
      </c>
      <c r="G160" s="4" t="inlineStr">
        <is>
          <t>Multimercado</t>
        </is>
      </c>
      <c r="H160" s="4" t="inlineStr">
        <is>
          <t>Multimercado</t>
        </is>
      </c>
      <c r="I160" s="7" t="n">
        <v>1000</v>
      </c>
      <c r="J160" s="8" t="n">
        <v>1.95</v>
      </c>
      <c r="K160" s="8" t="n">
        <v>20</v>
      </c>
      <c r="L160" s="4" t="inlineStr">
        <is>
          <t>CDI</t>
        </is>
      </c>
      <c r="M160" s="5" t="n">
        <v>3</v>
      </c>
      <c r="N160" s="5" t="n">
        <v>4</v>
      </c>
      <c r="O160" s="5" t="n"/>
      <c r="P160" s="4" t="inlineStr">
        <is>
          <t>Curto Prazo</t>
        </is>
      </c>
      <c r="Q160" s="4" t="inlineStr">
        <is>
          <t>Não</t>
        </is>
      </c>
      <c r="R160" s="4" t="inlineStr">
        <is>
          <t>API interna</t>
        </is>
      </c>
      <c r="S160" s="4" t="n">
        <v>1</v>
      </c>
      <c r="T160" s="4" t="inlineStr">
        <is>
          <t>Não</t>
        </is>
      </c>
      <c r="U160" s="4" t="inlineStr">
        <is>
          <t>Sim</t>
        </is>
      </c>
      <c r="V160" s="4" t="inlineStr">
        <is>
          <t>Não</t>
        </is>
      </c>
      <c r="W160" s="4" t="inlineStr"/>
    </row>
    <row r="161">
      <c r="A161" s="4" t="inlineStr">
        <is>
          <t>BTG Pactual</t>
        </is>
      </c>
      <c r="B161" s="4" t="inlineStr">
        <is>
          <t>M8 Capital Prev FICFIRF CrPr RL</t>
        </is>
      </c>
      <c r="C161" s="6" t="inlineStr">
        <is>
          <t>47.350.581/0001-55</t>
        </is>
      </c>
      <c r="D161" s="4" t="inlineStr">
        <is>
          <t>M8 PARTNERS GESTORA DE RECURSOS LTDA.</t>
        </is>
      </c>
      <c r="E161" s="4" t="inlineStr">
        <is>
          <t>18.038.439/0001-79</t>
        </is>
      </c>
      <c r="F161" s="4" t="inlineStr">
        <is>
          <t>BTG PACTUAL SERVICOS FINANCEIROS S.A. DISTRIBUIDOR</t>
        </is>
      </c>
      <c r="G161" s="4" t="inlineStr">
        <is>
          <t>Renda Fixa</t>
        </is>
      </c>
      <c r="H161" s="4" t="inlineStr">
        <is>
          <t>Renda Fixa</t>
        </is>
      </c>
      <c r="I161" s="7" t="n">
        <v>1000</v>
      </c>
      <c r="J161" s="8" t="n"/>
      <c r="K161" s="8" t="n">
        <v>10</v>
      </c>
      <c r="L161" s="4" t="inlineStr">
        <is>
          <t>CDI</t>
        </is>
      </c>
      <c r="M161" s="5" t="n">
        <v>7</v>
      </c>
      <c r="N161" s="5" t="n">
        <v>9</v>
      </c>
      <c r="O161" s="5" t="n"/>
      <c r="P161" s="4" t="inlineStr">
        <is>
          <t>Curto Prazo</t>
        </is>
      </c>
      <c r="Q161" s="4" t="inlineStr">
        <is>
          <t>Não</t>
        </is>
      </c>
      <c r="R161" s="4" t="inlineStr">
        <is>
          <t>API interna</t>
        </is>
      </c>
      <c r="S161" s="4" t="n">
        <v>1</v>
      </c>
      <c r="T161" s="4" t="inlineStr">
        <is>
          <t>Não</t>
        </is>
      </c>
      <c r="U161" s="4" t="inlineStr">
        <is>
          <t>Sim</t>
        </is>
      </c>
      <c r="V161" s="4" t="inlineStr">
        <is>
          <t>Não</t>
        </is>
      </c>
      <c r="W161" s="4" t="inlineStr"/>
    </row>
    <row r="162">
      <c r="A162" s="4" t="inlineStr">
        <is>
          <t>BTG Pactual</t>
        </is>
      </c>
      <c r="B162" s="4" t="inlineStr">
        <is>
          <t>MAG Prev BP FIRF CrPr RL</t>
        </is>
      </c>
      <c r="C162" s="6" t="inlineStr">
        <is>
          <t>41.579.176/0001-27</t>
        </is>
      </c>
      <c r="D162" s="4" t="inlineStr">
        <is>
          <t>MONGERAL AEGON INVESTIMENTOS LTDA</t>
        </is>
      </c>
      <c r="E162" s="4" t="inlineStr">
        <is>
          <t>16.500.294/0001-50</t>
        </is>
      </c>
      <c r="F162" s="4" t="inlineStr">
        <is>
          <t>BNY MELLON SERVICOS FINANCEIROS DTVM S/A</t>
        </is>
      </c>
      <c r="G162" s="4" t="inlineStr">
        <is>
          <t>Renda Fixa</t>
        </is>
      </c>
      <c r="H162" s="4" t="inlineStr">
        <is>
          <t>Renda Fixa</t>
        </is>
      </c>
      <c r="I162" s="7" t="n">
        <v>1000</v>
      </c>
      <c r="J162" s="8" t="n">
        <v>0.8</v>
      </c>
      <c r="K162" s="8" t="n"/>
      <c r="L162" s="4" t="inlineStr"/>
      <c r="M162" s="5" t="n">
        <v>1</v>
      </c>
      <c r="N162" s="5" t="n">
        <v>2</v>
      </c>
      <c r="O162" s="5" t="n"/>
      <c r="P162" s="4" t="inlineStr">
        <is>
          <t>Longo Prazo</t>
        </is>
      </c>
      <c r="Q162" s="4" t="inlineStr">
        <is>
          <t>Não</t>
        </is>
      </c>
      <c r="R162" s="4" t="inlineStr">
        <is>
          <t>API interna</t>
        </is>
      </c>
      <c r="S162" s="4" t="n">
        <v>1</v>
      </c>
      <c r="T162" s="4" t="inlineStr">
        <is>
          <t>Não</t>
        </is>
      </c>
      <c r="U162" s="4" t="inlineStr">
        <is>
          <t>Sim</t>
        </is>
      </c>
      <c r="V162" s="4" t="inlineStr">
        <is>
          <t>Não</t>
        </is>
      </c>
      <c r="W162" s="4" t="inlineStr"/>
    </row>
    <row r="163">
      <c r="A163" s="4" t="inlineStr">
        <is>
          <t>BTG Pactual</t>
        </is>
      </c>
      <c r="B163" s="4" t="inlineStr">
        <is>
          <t>MAG Prev Cash FICFIRF Access RL</t>
        </is>
      </c>
      <c r="C163" s="6" t="inlineStr">
        <is>
          <t>51.168.372/0001-62</t>
        </is>
      </c>
      <c r="D163" s="4" t="inlineStr">
        <is>
          <t>BTG PACTUAL GESTÃO E CONSULTORIA DE INVESTIMENTOS LTDA</t>
        </is>
      </c>
      <c r="E163" s="4" t="inlineStr">
        <is>
          <t>12.695.840/0001-03</t>
        </is>
      </c>
      <c r="F163" s="4" t="inlineStr">
        <is>
          <t>BTG PACTUAL SERVICOS FINANCEIROS S.A. DISTRIBUIDOR</t>
        </is>
      </c>
      <c r="G163" s="4" t="inlineStr">
        <is>
          <t>Renda Fixa</t>
        </is>
      </c>
      <c r="H163" s="4" t="inlineStr">
        <is>
          <t>Renda Fixa</t>
        </is>
      </c>
      <c r="I163" s="7" t="n">
        <v>1000</v>
      </c>
      <c r="J163" s="8" t="n">
        <v>0.8</v>
      </c>
      <c r="K163" s="8" t="n"/>
      <c r="L163" s="4" t="inlineStr"/>
      <c r="M163" s="5" t="n">
        <v>0</v>
      </c>
      <c r="N163" s="5" t="n">
        <v>1</v>
      </c>
      <c r="O163" s="5" t="n"/>
      <c r="P163" s="4" t="inlineStr">
        <is>
          <t>Longo Prazo</t>
        </is>
      </c>
      <c r="Q163" s="4" t="inlineStr">
        <is>
          <t>Não</t>
        </is>
      </c>
      <c r="R163" s="4" t="inlineStr">
        <is>
          <t>API interna</t>
        </is>
      </c>
      <c r="S163" s="4" t="n">
        <v>1</v>
      </c>
      <c r="T163" s="4" t="inlineStr">
        <is>
          <t>Não</t>
        </is>
      </c>
      <c r="U163" s="4" t="inlineStr">
        <is>
          <t>Sim</t>
        </is>
      </c>
      <c r="V163" s="4" t="inlineStr">
        <is>
          <t>Não</t>
        </is>
      </c>
      <c r="W163" s="4" t="inlineStr"/>
    </row>
    <row r="164">
      <c r="A164" s="4" t="inlineStr">
        <is>
          <t>BTG Pactual</t>
        </is>
      </c>
      <c r="B164" s="4" t="inlineStr">
        <is>
          <t>Meraki Prev Brabus FICFIA RL</t>
        </is>
      </c>
      <c r="C164" s="6" t="inlineStr">
        <is>
          <t>55.575.058/0001-55</t>
        </is>
      </c>
      <c r="D164" s="4" t="inlineStr">
        <is>
          <t>MERAKI CAPITAL GESTÃO DE RECURSOS LTDA.</t>
        </is>
      </c>
      <c r="E164" s="4" t="inlineStr">
        <is>
          <t>38.710.359/0001-25</t>
        </is>
      </c>
      <c r="F164" s="4" t="inlineStr">
        <is>
          <t>BTG PACTUAL SERVICOS FINANCEIROS S.A. DISTRIBUIDOR</t>
        </is>
      </c>
      <c r="G164" s="4" t="inlineStr">
        <is>
          <t>Ações</t>
        </is>
      </c>
      <c r="H164" s="4" t="inlineStr">
        <is>
          <t>Renda Variável</t>
        </is>
      </c>
      <c r="I164" s="7" t="n">
        <v>1000</v>
      </c>
      <c r="J164" s="8" t="n"/>
      <c r="K164" s="8" t="n">
        <v>20</v>
      </c>
      <c r="L164" s="4" t="inlineStr">
        <is>
          <t>IBOVESPA</t>
        </is>
      </c>
      <c r="M164" s="5" t="n">
        <v>30</v>
      </c>
      <c r="N164" s="5" t="n">
        <v>32</v>
      </c>
      <c r="O164" s="5" t="n"/>
      <c r="P164" s="4" t="inlineStr">
        <is>
          <t>Renda Variável</t>
        </is>
      </c>
      <c r="Q164" s="4" t="inlineStr">
        <is>
          <t>Não</t>
        </is>
      </c>
      <c r="R164" s="4" t="inlineStr">
        <is>
          <t>API interna</t>
        </is>
      </c>
      <c r="S164" s="4" t="n">
        <v>1</v>
      </c>
      <c r="T164" s="4" t="inlineStr">
        <is>
          <t>Não</t>
        </is>
      </c>
      <c r="U164" s="4" t="inlineStr">
        <is>
          <t>Sim</t>
        </is>
      </c>
      <c r="V164" s="4" t="inlineStr">
        <is>
          <t>Não</t>
        </is>
      </c>
      <c r="W164" s="4" t="inlineStr"/>
    </row>
    <row r="165">
      <c r="A165" s="4" t="inlineStr">
        <is>
          <t>BTG Pactual</t>
        </is>
      </c>
      <c r="B165" s="4" t="inlineStr">
        <is>
          <t>Morada Prev FIA RL</t>
        </is>
      </c>
      <c r="C165" s="6" t="inlineStr">
        <is>
          <t>62.362.268/0001-20</t>
        </is>
      </c>
      <c r="D165" s="4" t="inlineStr">
        <is>
          <t>MORADA CAPITAL LTDA.</t>
        </is>
      </c>
      <c r="E165" s="4" t="inlineStr">
        <is>
          <t>46.941.908/0001-09</t>
        </is>
      </c>
      <c r="F165" s="4" t="inlineStr">
        <is>
          <t>BTG PACTUAL SERVICOS FINANCEIROS S.A. DISTRIBUIDOR</t>
        </is>
      </c>
      <c r="G165" s="4" t="inlineStr">
        <is>
          <t>Ações</t>
        </is>
      </c>
      <c r="H165" s="4" t="inlineStr">
        <is>
          <t>Renda Variável</t>
        </is>
      </c>
      <c r="I165" s="7" t="n">
        <v>1000</v>
      </c>
      <c r="J165" s="8" t="n">
        <v>2</v>
      </c>
      <c r="K165" s="8" t="n">
        <v>20</v>
      </c>
      <c r="L165" s="4" t="inlineStr">
        <is>
          <t>-</t>
        </is>
      </c>
      <c r="M165" s="5" t="n">
        <v>30</v>
      </c>
      <c r="N165" s="5" t="n">
        <v>32</v>
      </c>
      <c r="O165" s="5" t="n"/>
      <c r="P165" s="4" t="inlineStr">
        <is>
          <t>Renda Variável</t>
        </is>
      </c>
      <c r="Q165" s="4" t="inlineStr">
        <is>
          <t>Não</t>
        </is>
      </c>
      <c r="R165" s="4" t="inlineStr">
        <is>
          <t>API interna</t>
        </is>
      </c>
      <c r="S165" s="4" t="n">
        <v>1</v>
      </c>
      <c r="T165" s="4" t="inlineStr">
        <is>
          <t>Não</t>
        </is>
      </c>
      <c r="U165" s="4" t="inlineStr">
        <is>
          <t>Sim</t>
        </is>
      </c>
      <c r="V165" s="4" t="inlineStr">
        <is>
          <t>Não</t>
        </is>
      </c>
      <c r="W165" s="4" t="inlineStr"/>
    </row>
    <row r="166">
      <c r="A166" s="4" t="inlineStr">
        <is>
          <t>BTG Pactual</t>
        </is>
      </c>
      <c r="B166" s="4" t="inlineStr">
        <is>
          <t>More Premium FIE Prev Fundo CrPr RL</t>
        </is>
      </c>
      <c r="C166" s="6" t="inlineStr">
        <is>
          <t>48.701.785/0001-56</t>
        </is>
      </c>
      <c r="D166" s="4" t="inlineStr">
        <is>
          <t>MORE INVEST GESTORA DE RECURSOS LTDA.</t>
        </is>
      </c>
      <c r="E166" s="4" t="inlineStr">
        <is>
          <t>10.556.398/0001-09</t>
        </is>
      </c>
      <c r="F166" s="4" t="inlineStr">
        <is>
          <t>BTG PACTUAL SERVICOS FINANCEIROS S.A. DISTRIBUIDOR</t>
        </is>
      </c>
      <c r="G166" s="4" t="inlineStr">
        <is>
          <t>Renda Fixa</t>
        </is>
      </c>
      <c r="H166" s="4" t="inlineStr">
        <is>
          <t>Renda Fixa</t>
        </is>
      </c>
      <c r="I166" s="7" t="n">
        <v>1000</v>
      </c>
      <c r="J166" s="8" t="n">
        <v>1.13</v>
      </c>
      <c r="K166" s="8" t="n"/>
      <c r="L166" s="4" t="inlineStr"/>
      <c r="M166" s="5" t="n">
        <v>4</v>
      </c>
      <c r="N166" s="5" t="n">
        <v>5</v>
      </c>
      <c r="O166" s="5" t="n"/>
      <c r="P166" s="4" t="inlineStr">
        <is>
          <t>Curto Prazo</t>
        </is>
      </c>
      <c r="Q166" s="4" t="inlineStr">
        <is>
          <t>Não</t>
        </is>
      </c>
      <c r="R166" s="4" t="inlineStr">
        <is>
          <t>API interna</t>
        </is>
      </c>
      <c r="S166" s="4" t="n">
        <v>1</v>
      </c>
      <c r="T166" s="4" t="inlineStr">
        <is>
          <t>Não</t>
        </is>
      </c>
      <c r="U166" s="4" t="inlineStr">
        <is>
          <t>Sim</t>
        </is>
      </c>
      <c r="V166" s="4" t="inlineStr">
        <is>
          <t>Não</t>
        </is>
      </c>
      <c r="W166" s="4" t="inlineStr"/>
    </row>
    <row r="167">
      <c r="A167" s="4" t="inlineStr">
        <is>
          <t>BTG Pactual</t>
        </is>
      </c>
      <c r="B167" s="4" t="inlineStr">
        <is>
          <t>Occam BP Prev FIRF CrPr RL</t>
        </is>
      </c>
      <c r="C167" s="6" t="inlineStr">
        <is>
          <t>47.586.503/0001-54</t>
        </is>
      </c>
      <c r="D167" s="4" t="inlineStr">
        <is>
          <t>NOVA OCCAM BRASIL GESTAO DE RECURSOS LTDA.</t>
        </is>
      </c>
      <c r="E167" s="4" t="inlineStr">
        <is>
          <t>43.228.545/0001-62</t>
        </is>
      </c>
      <c r="F167" s="4" t="inlineStr">
        <is>
          <t>BNY MELLON SERVICOS FINANCEIROS DTVM S/A</t>
        </is>
      </c>
      <c r="G167" s="4" t="inlineStr">
        <is>
          <t>Renda Fixa</t>
        </is>
      </c>
      <c r="H167" s="4" t="inlineStr">
        <is>
          <t>Renda Fixa</t>
        </is>
      </c>
      <c r="I167" s="7" t="n">
        <v>1000</v>
      </c>
      <c r="J167" s="8" t="n">
        <v>0.9</v>
      </c>
      <c r="K167" s="8" t="n"/>
      <c r="L167" s="4" t="inlineStr"/>
      <c r="M167" s="5" t="n">
        <v>6</v>
      </c>
      <c r="N167" s="5" t="n">
        <v>7</v>
      </c>
      <c r="O167" s="5" t="n"/>
      <c r="P167" s="4" t="inlineStr">
        <is>
          <t>Longo Prazo</t>
        </is>
      </c>
      <c r="Q167" s="4" t="inlineStr">
        <is>
          <t>Sim</t>
        </is>
      </c>
      <c r="R167" s="4" t="inlineStr">
        <is>
          <t>API interna</t>
        </is>
      </c>
      <c r="S167" s="4" t="n">
        <v>1</v>
      </c>
      <c r="T167" s="4" t="inlineStr">
        <is>
          <t>Não</t>
        </is>
      </c>
      <c r="U167" s="4" t="inlineStr">
        <is>
          <t>Sim</t>
        </is>
      </c>
      <c r="V167" s="4" t="inlineStr">
        <is>
          <t>Não</t>
        </is>
      </c>
      <c r="W167" s="4" t="inlineStr"/>
    </row>
    <row r="168">
      <c r="A168" s="4" t="inlineStr">
        <is>
          <t>BTG Pactual</t>
        </is>
      </c>
      <c r="B168" s="4" t="inlineStr">
        <is>
          <t>Occam Icatu Prev FICFIM RL</t>
        </is>
      </c>
      <c r="C168" s="6" t="inlineStr">
        <is>
          <t>17.685.620/0001-04</t>
        </is>
      </c>
      <c r="D168" s="4" t="inlineStr">
        <is>
          <t>OCCAM BRASIL GESTÃO DE RECURSOS LTDA.</t>
        </is>
      </c>
      <c r="E168" s="4" t="inlineStr">
        <is>
          <t>27.916.161/0001-86</t>
        </is>
      </c>
      <c r="F168" s="4" t="inlineStr">
        <is>
          <t>BNY MELLON SERVICOS FINANCEIROS DTVM S/A</t>
        </is>
      </c>
      <c r="G168" s="4" t="inlineStr">
        <is>
          <t>Multimercado</t>
        </is>
      </c>
      <c r="H168" s="4" t="inlineStr">
        <is>
          <t>Renda Variável</t>
        </is>
      </c>
      <c r="I168" s="7" t="n">
        <v>1000</v>
      </c>
      <c r="J168" s="8" t="n">
        <v>1.95</v>
      </c>
      <c r="K168" s="8" t="n"/>
      <c r="L168" s="4" t="inlineStr"/>
      <c r="M168" s="5" t="n">
        <v>1</v>
      </c>
      <c r="N168" s="5" t="n">
        <v>3</v>
      </c>
      <c r="O168" s="5" t="n"/>
      <c r="P168" s="4" t="inlineStr">
        <is>
          <t>Não Aplicável</t>
        </is>
      </c>
      <c r="Q168" s="4" t="inlineStr">
        <is>
          <t>Não</t>
        </is>
      </c>
      <c r="R168" s="4" t="inlineStr">
        <is>
          <t>API interna</t>
        </is>
      </c>
      <c r="S168" s="4" t="n">
        <v>1</v>
      </c>
      <c r="T168" s="4" t="inlineStr">
        <is>
          <t>Não</t>
        </is>
      </c>
      <c r="U168" s="4" t="inlineStr">
        <is>
          <t>Sim</t>
        </is>
      </c>
      <c r="V168" s="4" t="inlineStr">
        <is>
          <t>Não</t>
        </is>
      </c>
      <c r="W168" s="4" t="inlineStr"/>
    </row>
    <row r="169">
      <c r="A169" s="4" t="inlineStr">
        <is>
          <t>BTG Pactual</t>
        </is>
      </c>
      <c r="B169" s="4" t="inlineStr">
        <is>
          <t>Opportunity BTG Prev FICFIM RL</t>
        </is>
      </c>
      <c r="C169" s="6" t="inlineStr">
        <is>
          <t>51.179.623/0001-04</t>
        </is>
      </c>
      <c r="D169" s="4" t="inlineStr">
        <is>
          <t>OPPORTUNITY GESTÃO DE INVESTIMENTOS E RECURSOS LTDA</t>
        </is>
      </c>
      <c r="E169" s="4" t="inlineStr">
        <is>
          <t>09.647.907/0001-11</t>
        </is>
      </c>
      <c r="F169" s="4" t="inlineStr">
        <is>
          <t>BNY MELLON SERVICOS FINANCEIROS DISTRIBUIDORA DE T</t>
        </is>
      </c>
      <c r="G169" s="4" t="inlineStr">
        <is>
          <t>Multimercado</t>
        </is>
      </c>
      <c r="H169" s="4" t="inlineStr">
        <is>
          <t>Multimercado</t>
        </is>
      </c>
      <c r="I169" s="7" t="n">
        <v>1000</v>
      </c>
      <c r="J169" s="8" t="n">
        <v>2</v>
      </c>
      <c r="K169" s="8" t="n">
        <v>20</v>
      </c>
      <c r="L169" s="4" t="inlineStr">
        <is>
          <t>-</t>
        </is>
      </c>
      <c r="M169" s="5" t="n">
        <v>8</v>
      </c>
      <c r="N169" s="5" t="n">
        <v>10</v>
      </c>
      <c r="O169" s="5" t="n"/>
      <c r="P169" s="4" t="inlineStr">
        <is>
          <t>Não Aplicável</t>
        </is>
      </c>
      <c r="Q169" s="4" t="inlineStr">
        <is>
          <t>Não</t>
        </is>
      </c>
      <c r="R169" s="4" t="inlineStr">
        <is>
          <t>API interna</t>
        </is>
      </c>
      <c r="S169" s="4" t="n">
        <v>1</v>
      </c>
      <c r="T169" s="4" t="inlineStr">
        <is>
          <t>Não</t>
        </is>
      </c>
      <c r="U169" s="4" t="inlineStr">
        <is>
          <t>Sim</t>
        </is>
      </c>
      <c r="V169" s="4" t="inlineStr">
        <is>
          <t>Não</t>
        </is>
      </c>
      <c r="W169" s="4" t="inlineStr"/>
    </row>
    <row r="170">
      <c r="A170" s="4" t="inlineStr">
        <is>
          <t>BTG Pactual</t>
        </is>
      </c>
      <c r="B170" s="4" t="inlineStr">
        <is>
          <t>Patria Pioneiro Long Only 100 Icatu Qualificado Prev FIE FICFIM RL</t>
        </is>
      </c>
      <c r="C170" s="6" t="inlineStr">
        <is>
          <t>42.774.044/0001-19</t>
        </is>
      </c>
      <c r="D170" s="4" t="inlineStr">
        <is>
          <t>PÁTRIA INVESTIMENTOS LTDA.</t>
        </is>
      </c>
      <c r="E170" s="4" t="inlineStr">
        <is>
          <t>12.461.756/0001-17</t>
        </is>
      </c>
      <c r="F170" s="4" t="inlineStr">
        <is>
          <t>BTG PACTUAL SERVICOS FINANCEIROS S.A. DISTRIBUIDOR</t>
        </is>
      </c>
      <c r="G170" s="4" t="inlineStr">
        <is>
          <t>Multimercado</t>
        </is>
      </c>
      <c r="H170" s="4" t="inlineStr">
        <is>
          <t>Renda Variável</t>
        </is>
      </c>
      <c r="I170" s="7" t="n">
        <v>5000</v>
      </c>
      <c r="J170" s="8" t="n">
        <v>2</v>
      </c>
      <c r="K170" s="8" t="n">
        <v>20</v>
      </c>
      <c r="L170" s="4" t="inlineStr">
        <is>
          <t>-</t>
        </is>
      </c>
      <c r="M170" s="5" t="n">
        <v>22</v>
      </c>
      <c r="N170" s="5" t="n">
        <v>24</v>
      </c>
      <c r="O170" s="5" t="n"/>
      <c r="P170" s="4" t="inlineStr">
        <is>
          <t>Curto Prazo</t>
        </is>
      </c>
      <c r="Q170" s="4" t="inlineStr">
        <is>
          <t>Não</t>
        </is>
      </c>
      <c r="R170" s="4" t="inlineStr">
        <is>
          <t>API interna</t>
        </is>
      </c>
      <c r="S170" s="4" t="n">
        <v>1</v>
      </c>
      <c r="T170" s="4" t="inlineStr">
        <is>
          <t>Não</t>
        </is>
      </c>
      <c r="U170" s="4" t="inlineStr">
        <is>
          <t>Sim</t>
        </is>
      </c>
      <c r="V170" s="4" t="inlineStr">
        <is>
          <t>Não</t>
        </is>
      </c>
      <c r="W170" s="4" t="inlineStr"/>
    </row>
    <row r="171">
      <c r="A171" s="4" t="inlineStr">
        <is>
          <t>BTG Pactual</t>
        </is>
      </c>
      <c r="B171" s="4" t="inlineStr">
        <is>
          <t>Patria Prev BP Seg FIC FIM CP</t>
        </is>
      </c>
      <c r="C171" s="6" t="inlineStr">
        <is>
          <t>65.615.824/0001-11</t>
        </is>
      </c>
      <c r="D171" s="4" t="inlineStr">
        <is>
          <t>PÁTRIA INVESTIMENTOS LTDA.</t>
        </is>
      </c>
      <c r="E171" s="4" t="inlineStr">
        <is>
          <t>12.461.756/0001-17</t>
        </is>
      </c>
      <c r="F171" s="4" t="inlineStr">
        <is>
          <t>BTG PACTUAL SERVICOS FINANCEIROS S.A. DISTRIBUIDOR</t>
        </is>
      </c>
      <c r="G171" s="4" t="inlineStr">
        <is>
          <t>Multimercado</t>
        </is>
      </c>
      <c r="H171" s="4" t="inlineStr">
        <is>
          <t>Renda Fixa</t>
        </is>
      </c>
      <c r="I171" s="7" t="n">
        <v>1000</v>
      </c>
      <c r="J171" s="8" t="n"/>
      <c r="K171" s="8" t="n">
        <v>10</v>
      </c>
      <c r="L171" s="4" t="inlineStr">
        <is>
          <t>-</t>
        </is>
      </c>
      <c r="M171" s="5" t="n">
        <v>90</v>
      </c>
      <c r="N171" s="5" t="n">
        <v>92</v>
      </c>
      <c r="O171" s="5" t="n"/>
      <c r="P171" s="4" t="inlineStr">
        <is>
          <t>Curto Prazo</t>
        </is>
      </c>
      <c r="Q171" s="4" t="inlineStr">
        <is>
          <t>Não</t>
        </is>
      </c>
      <c r="R171" s="4" t="inlineStr">
        <is>
          <t>API interna</t>
        </is>
      </c>
      <c r="S171" s="4" t="n">
        <v>1</v>
      </c>
      <c r="T171" s="4" t="inlineStr">
        <is>
          <t>Não</t>
        </is>
      </c>
      <c r="U171" s="4" t="inlineStr">
        <is>
          <t>Sim</t>
        </is>
      </c>
      <c r="V171" s="4" t="inlineStr">
        <is>
          <t>Não</t>
        </is>
      </c>
      <c r="W171" s="4" t="inlineStr"/>
    </row>
    <row r="172">
      <c r="A172" s="4" t="inlineStr">
        <is>
          <t>BTG Pactual</t>
        </is>
      </c>
      <c r="B172" s="4" t="inlineStr">
        <is>
          <t>Polo Credito Prev I FICFIRF CrPr RL</t>
        </is>
      </c>
      <c r="C172" s="6" t="inlineStr">
        <is>
          <t>59.065.619/0001-27</t>
        </is>
      </c>
      <c r="D172" s="4" t="inlineStr">
        <is>
          <t>POLO CAPITAL GESTÃO DE RECURSOS LTDA</t>
        </is>
      </c>
      <c r="E172" s="4" t="inlineStr">
        <is>
          <t>05.451.668/0001-79</t>
        </is>
      </c>
      <c r="F172" s="4" t="inlineStr">
        <is>
          <t>BTG PACTUAL SERVICOS FINANCEIROS S.A. DISTRIBUIDOR</t>
        </is>
      </c>
      <c r="G172" s="4" t="inlineStr">
        <is>
          <t>Renda Fixa</t>
        </is>
      </c>
      <c r="H172" s="4" t="inlineStr">
        <is>
          <t>Renda Fixa</t>
        </is>
      </c>
      <c r="I172" s="7" t="n">
        <v>1000</v>
      </c>
      <c r="J172" s="8" t="n">
        <v>0.9</v>
      </c>
      <c r="K172" s="8" t="n">
        <v>20</v>
      </c>
      <c r="L172" s="4" t="inlineStr">
        <is>
          <t>-</t>
        </is>
      </c>
      <c r="M172" s="5" t="n">
        <v>7</v>
      </c>
      <c r="N172" s="5" t="n">
        <v>9</v>
      </c>
      <c r="O172" s="5" t="n"/>
      <c r="P172" s="4" t="inlineStr">
        <is>
          <t>Curto Prazo</t>
        </is>
      </c>
      <c r="Q172" s="4" t="inlineStr">
        <is>
          <t>Não</t>
        </is>
      </c>
      <c r="R172" s="4" t="inlineStr">
        <is>
          <t>API interna</t>
        </is>
      </c>
      <c r="S172" s="4" t="n">
        <v>1</v>
      </c>
      <c r="T172" s="4" t="inlineStr">
        <is>
          <t>Não</t>
        </is>
      </c>
      <c r="U172" s="4" t="inlineStr">
        <is>
          <t>Sim</t>
        </is>
      </c>
      <c r="V172" s="4" t="inlineStr">
        <is>
          <t>Não</t>
        </is>
      </c>
      <c r="W172" s="4" t="inlineStr"/>
    </row>
    <row r="173">
      <c r="A173" s="4" t="inlineStr">
        <is>
          <t>BTG Pactual</t>
        </is>
      </c>
      <c r="B173" s="4" t="inlineStr">
        <is>
          <t>Polígono Charlie BP PREV FIF</t>
        </is>
      </c>
      <c r="C173" s="6" t="inlineStr">
        <is>
          <t>64.897.073/0001-00</t>
        </is>
      </c>
      <c r="D173" s="4" t="inlineStr">
        <is>
          <t>POLÍGONO CAPITAL LTDA</t>
        </is>
      </c>
      <c r="E173" s="4" t="inlineStr">
        <is>
          <t>43.241.789/0001-85</t>
        </is>
      </c>
      <c r="F173" s="4" t="inlineStr">
        <is>
          <t>BTG PACTUAL SERVICOS FINANCEIROS S.A. DISTRIBUIDOR</t>
        </is>
      </c>
      <c r="G173" s="4" t="inlineStr">
        <is>
          <t>Renda Fixa</t>
        </is>
      </c>
      <c r="H173" s="4" t="inlineStr">
        <is>
          <t>Renda Fixa</t>
        </is>
      </c>
      <c r="I173" s="7" t="n">
        <v>1000</v>
      </c>
      <c r="J173" s="8" t="n"/>
      <c r="K173" s="8" t="n"/>
      <c r="L173" s="4" t="inlineStr"/>
      <c r="M173" s="5" t="n">
        <v>8</v>
      </c>
      <c r="N173" s="5" t="n">
        <v>9</v>
      </c>
      <c r="O173" s="5" t="n"/>
      <c r="P173" s="4" t="inlineStr">
        <is>
          <t>Curto Prazo</t>
        </is>
      </c>
      <c r="Q173" s="4" t="inlineStr">
        <is>
          <t>Não</t>
        </is>
      </c>
      <c r="R173" s="4" t="inlineStr">
        <is>
          <t>API interna</t>
        </is>
      </c>
      <c r="S173" s="4" t="n">
        <v>1</v>
      </c>
      <c r="T173" s="4" t="inlineStr">
        <is>
          <t>Não</t>
        </is>
      </c>
      <c r="U173" s="4" t="inlineStr">
        <is>
          <t>Sim</t>
        </is>
      </c>
      <c r="V173" s="4" t="inlineStr">
        <is>
          <t>Não</t>
        </is>
      </c>
      <c r="W173" s="4" t="inlineStr"/>
    </row>
    <row r="174">
      <c r="A174" s="4" t="inlineStr">
        <is>
          <t>BTG Pactual</t>
        </is>
      </c>
      <c r="B174" s="4" t="inlineStr">
        <is>
          <t>Porto Prev FICFIRF FIE1 CrPr RL</t>
        </is>
      </c>
      <c r="C174" s="6" t="inlineStr">
        <is>
          <t>61.475.212/0001-10</t>
        </is>
      </c>
      <c r="D174" s="4" t="inlineStr">
        <is>
          <t>PORTO SEGURO INVESTIMENTOS LTDA</t>
        </is>
      </c>
      <c r="E174" s="4" t="inlineStr">
        <is>
          <t>16.492.391/0001-49</t>
        </is>
      </c>
      <c r="F174" s="4" t="inlineStr">
        <is>
          <t>BTG PACTUAL SERVICOS FINANCEIROS S.A. DISTRIBUIDOR</t>
        </is>
      </c>
      <c r="G174" s="4" t="inlineStr">
        <is>
          <t>Renda Fixa</t>
        </is>
      </c>
      <c r="H174" s="4" t="inlineStr">
        <is>
          <t>Renda Fixa</t>
        </is>
      </c>
      <c r="I174" s="7" t="n">
        <v>1000</v>
      </c>
      <c r="J174" s="8" t="n">
        <v>0.9</v>
      </c>
      <c r="K174" s="8" t="n"/>
      <c r="L174" s="4" t="inlineStr"/>
      <c r="M174" s="5" t="n">
        <v>8</v>
      </c>
      <c r="N174" s="5" t="n">
        <v>9</v>
      </c>
      <c r="O174" s="5" t="n"/>
      <c r="P174" s="4" t="inlineStr">
        <is>
          <t>Curto Prazo</t>
        </is>
      </c>
      <c r="Q174" s="4" t="inlineStr">
        <is>
          <t>Não</t>
        </is>
      </c>
      <c r="R174" s="4" t="inlineStr">
        <is>
          <t>API interna</t>
        </is>
      </c>
      <c r="S174" s="4" t="n">
        <v>1</v>
      </c>
      <c r="T174" s="4" t="inlineStr">
        <is>
          <t>Não</t>
        </is>
      </c>
      <c r="U174" s="4" t="inlineStr">
        <is>
          <t>Sim</t>
        </is>
      </c>
      <c r="V174" s="4" t="inlineStr">
        <is>
          <t>Não</t>
        </is>
      </c>
      <c r="W174" s="4" t="inlineStr"/>
    </row>
    <row r="175">
      <c r="A175" s="4" t="inlineStr">
        <is>
          <t>BTG Pactual</t>
        </is>
      </c>
      <c r="B175" s="4" t="inlineStr">
        <is>
          <t>Porto Selection Prev FICFIRF FIE 1 CrPr RL</t>
        </is>
      </c>
      <c r="C175" s="6" t="inlineStr">
        <is>
          <t>51.639.846/0001-07</t>
        </is>
      </c>
      <c r="D175" s="4" t="inlineStr">
        <is>
          <t>PORTO SEGURO INVESTIMENTOS LTDA</t>
        </is>
      </c>
      <c r="E175" s="4" t="inlineStr">
        <is>
          <t>16.492.391/0001-49</t>
        </is>
      </c>
      <c r="F175" s="4" t="inlineStr">
        <is>
          <t>BTG PACTUAL SERVICOS FINANCEIROS S.A. DISTRIBUIDOR</t>
        </is>
      </c>
      <c r="G175" s="4" t="inlineStr">
        <is>
          <t>Renda Fixa</t>
        </is>
      </c>
      <c r="H175" s="4" t="inlineStr">
        <is>
          <t>Renda Fixa</t>
        </is>
      </c>
      <c r="I175" s="7" t="n">
        <v>1000</v>
      </c>
      <c r="J175" s="8" t="n">
        <v>0.7000000000000001</v>
      </c>
      <c r="K175" s="8" t="n"/>
      <c r="L175" s="4" t="inlineStr"/>
      <c r="M175" s="5" t="n">
        <v>0</v>
      </c>
      <c r="N175" s="5" t="n">
        <v>1</v>
      </c>
      <c r="O175" s="5" t="n"/>
      <c r="P175" s="4" t="inlineStr">
        <is>
          <t>Curto Prazo</t>
        </is>
      </c>
      <c r="Q175" s="4" t="inlineStr">
        <is>
          <t>Não</t>
        </is>
      </c>
      <c r="R175" s="4" t="inlineStr">
        <is>
          <t>API interna</t>
        </is>
      </c>
      <c r="S175" s="4" t="n">
        <v>1</v>
      </c>
      <c r="T175" s="4" t="inlineStr">
        <is>
          <t>Não</t>
        </is>
      </c>
      <c r="U175" s="4" t="inlineStr">
        <is>
          <t>Sim</t>
        </is>
      </c>
      <c r="V175" s="4" t="inlineStr">
        <is>
          <t>Não</t>
        </is>
      </c>
      <c r="W175" s="4" t="inlineStr"/>
    </row>
    <row r="176">
      <c r="A176" s="4" t="inlineStr">
        <is>
          <t>BTG Pactual</t>
        </is>
      </c>
      <c r="B176" s="4" t="inlineStr">
        <is>
          <t>Quantitas Prev FICFIM Access CrPr RL</t>
        </is>
      </c>
      <c r="C176" s="6" t="inlineStr">
        <is>
          <t>57.378.527/0001-71</t>
        </is>
      </c>
      <c r="D176" s="4" t="inlineStr">
        <is>
          <t>BTG PACTUAL GESTÃO E CONSULTORIA DE INVESTIMENTOS LTDA</t>
        </is>
      </c>
      <c r="E176" s="4" t="inlineStr">
        <is>
          <t>12.695.840/0001-03</t>
        </is>
      </c>
      <c r="F176" s="4" t="inlineStr">
        <is>
          <t>BTG PACTUAL SERVICOS FINANCEIROS S.A. DISTRIBUIDOR</t>
        </is>
      </c>
      <c r="G176" s="4" t="inlineStr">
        <is>
          <t>Multimercado</t>
        </is>
      </c>
      <c r="H176" s="4" t="inlineStr">
        <is>
          <t>Multimercado</t>
        </is>
      </c>
      <c r="I176" s="7" t="n">
        <v>1000</v>
      </c>
      <c r="J176" s="8" t="n"/>
      <c r="K176" s="8" t="n"/>
      <c r="L176" s="4" t="inlineStr"/>
      <c r="M176" s="5" t="n">
        <v>8</v>
      </c>
      <c r="N176" s="5" t="n">
        <v>9</v>
      </c>
      <c r="O176" s="5" t="n"/>
      <c r="P176" s="4" t="inlineStr">
        <is>
          <t>Curto Prazo</t>
        </is>
      </c>
      <c r="Q176" s="4" t="inlineStr">
        <is>
          <t>Não</t>
        </is>
      </c>
      <c r="R176" s="4" t="inlineStr">
        <is>
          <t>API interna</t>
        </is>
      </c>
      <c r="S176" s="4" t="n">
        <v>1</v>
      </c>
      <c r="T176" s="4" t="inlineStr">
        <is>
          <t>Não</t>
        </is>
      </c>
      <c r="U176" s="4" t="inlineStr">
        <is>
          <t>Sim</t>
        </is>
      </c>
      <c r="V176" s="4" t="inlineStr">
        <is>
          <t>Não</t>
        </is>
      </c>
      <c r="W176" s="4" t="inlineStr"/>
    </row>
    <row r="177">
      <c r="A177" s="4" t="inlineStr">
        <is>
          <t>BTG Pactual</t>
        </is>
      </c>
      <c r="B177" s="4" t="inlineStr">
        <is>
          <t>RPS Prev Absoluto BP Prev FICFIM RL</t>
        </is>
      </c>
      <c r="C177" s="6" t="inlineStr">
        <is>
          <t>42.730.862/0001-10</t>
        </is>
      </c>
      <c r="D177" s="4" t="inlineStr">
        <is>
          <t>RPS CAPITAL ADMINISTRADORA DE RECURSOS LTDA</t>
        </is>
      </c>
      <c r="E177" s="4" t="inlineStr">
        <is>
          <t>17.839.284/0001-07</t>
        </is>
      </c>
      <c r="F177" s="4" t="inlineStr">
        <is>
          <t>BTG PACTUAL SERVICOS FINANCEIROS S.A. DISTRIBUIDOR</t>
        </is>
      </c>
      <c r="G177" s="4" t="inlineStr">
        <is>
          <t>Multimercado</t>
        </is>
      </c>
      <c r="H177" s="4" t="inlineStr">
        <is>
          <t>Renda Variável</t>
        </is>
      </c>
      <c r="I177" s="7" t="n">
        <v>0</v>
      </c>
      <c r="J177" s="8" t="n"/>
      <c r="K177" s="8" t="n"/>
      <c r="L177" s="4" t="inlineStr"/>
      <c r="M177" s="5" t="n">
        <v>2</v>
      </c>
      <c r="N177" s="5" t="n">
        <v>5</v>
      </c>
      <c r="O177" s="5" t="n"/>
      <c r="P177" s="4" t="inlineStr">
        <is>
          <t>Curto Prazo</t>
        </is>
      </c>
      <c r="Q177" s="4" t="inlineStr">
        <is>
          <t>Não</t>
        </is>
      </c>
      <c r="R177" s="4" t="inlineStr">
        <is>
          <t>API interna</t>
        </is>
      </c>
      <c r="S177" s="4" t="n">
        <v>1</v>
      </c>
      <c r="T177" s="4" t="inlineStr">
        <is>
          <t>Não</t>
        </is>
      </c>
      <c r="U177" s="4" t="inlineStr">
        <is>
          <t>Sim</t>
        </is>
      </c>
      <c r="V177" s="4" t="inlineStr">
        <is>
          <t>Não</t>
        </is>
      </c>
      <c r="W177" s="4" t="inlineStr"/>
    </row>
    <row r="178">
      <c r="A178" s="4" t="inlineStr">
        <is>
          <t>BTG Pactual</t>
        </is>
      </c>
      <c r="B178" s="4" t="inlineStr">
        <is>
          <t>Reach Credito Prev FIE FIF MM CP</t>
        </is>
      </c>
      <c r="C178" s="6" t="inlineStr">
        <is>
          <t>68.068.343/0001-21</t>
        </is>
      </c>
      <c r="D178" s="4" t="inlineStr">
        <is>
          <t>REACH CAPITAL INVESTIMENTOS S.A</t>
        </is>
      </c>
      <c r="E178" s="4" t="inlineStr">
        <is>
          <t>28.928.618/0001-35</t>
        </is>
      </c>
      <c r="F178" s="4" t="inlineStr">
        <is>
          <t>BTG PACTUAL SERVICOS FINANCEIROS S.A. DISTRIBUIDOR</t>
        </is>
      </c>
      <c r="G178" s="4" t="inlineStr">
        <is>
          <t>Multimercado</t>
        </is>
      </c>
      <c r="H178" s="4" t="inlineStr">
        <is>
          <t>Outros</t>
        </is>
      </c>
      <c r="I178" s="7" t="n">
        <v>1000</v>
      </c>
      <c r="J178" s="8" t="n"/>
      <c r="K178" s="8" t="n">
        <v>20</v>
      </c>
      <c r="L178" s="4" t="inlineStr">
        <is>
          <t>-</t>
        </is>
      </c>
      <c r="M178" s="5" t="n">
        <v>8</v>
      </c>
      <c r="N178" s="5" t="n">
        <v>9</v>
      </c>
      <c r="O178" s="5" t="n"/>
      <c r="P178" s="4" t="inlineStr">
        <is>
          <t>Longo Prazo</t>
        </is>
      </c>
      <c r="Q178" s="4" t="inlineStr">
        <is>
          <t>Não</t>
        </is>
      </c>
      <c r="R178" s="4" t="inlineStr">
        <is>
          <t>API interna</t>
        </is>
      </c>
      <c r="S178" s="4" t="n">
        <v>1</v>
      </c>
      <c r="T178" s="4" t="inlineStr">
        <is>
          <t>Não</t>
        </is>
      </c>
      <c r="U178" s="4" t="inlineStr">
        <is>
          <t>Sim</t>
        </is>
      </c>
      <c r="V178" s="4" t="inlineStr">
        <is>
          <t>Não</t>
        </is>
      </c>
      <c r="W178" s="4" t="inlineStr"/>
    </row>
    <row r="179">
      <c r="A179" s="4" t="inlineStr">
        <is>
          <t>BTG Pactual</t>
        </is>
      </c>
      <c r="B179" s="4" t="inlineStr">
        <is>
          <t>Reach Prev Moderado FIM Prev MM RL</t>
        </is>
      </c>
      <c r="C179" s="6" t="inlineStr">
        <is>
          <t>32.398.441/0001-80</t>
        </is>
      </c>
      <c r="D179" s="4" t="inlineStr">
        <is>
          <t>REACH CAPITAL INVESTIMENTOS S.A</t>
        </is>
      </c>
      <c r="E179" s="4" t="inlineStr">
        <is>
          <t>28.928.618/0001-35</t>
        </is>
      </c>
      <c r="F179" s="4" t="inlineStr">
        <is>
          <t>BTG PACTUAL SERVICOS FINANCEIROS S.A. DISTRIBUIDOR</t>
        </is>
      </c>
      <c r="G179" s="4" t="inlineStr">
        <is>
          <t>Multimercado</t>
        </is>
      </c>
      <c r="H179" s="4" t="inlineStr">
        <is>
          <t>Renda Variável</t>
        </is>
      </c>
      <c r="I179" s="7" t="n">
        <v>1000</v>
      </c>
      <c r="J179" s="8" t="n">
        <v>2</v>
      </c>
      <c r="K179" s="8" t="n">
        <v>20</v>
      </c>
      <c r="L179" s="4" t="inlineStr">
        <is>
          <t>CDI</t>
        </is>
      </c>
      <c r="M179" s="5" t="n">
        <v>7</v>
      </c>
      <c r="N179" s="5" t="n">
        <v>10</v>
      </c>
      <c r="O179" s="5" t="n"/>
      <c r="P179" s="4" t="inlineStr">
        <is>
          <t>Curto Prazo</t>
        </is>
      </c>
      <c r="Q179" s="4" t="inlineStr">
        <is>
          <t>Sim</t>
        </is>
      </c>
      <c r="R179" s="4" t="inlineStr">
        <is>
          <t>API interna</t>
        </is>
      </c>
      <c r="S179" s="4" t="n">
        <v>1</v>
      </c>
      <c r="T179" s="4" t="inlineStr">
        <is>
          <t>Não</t>
        </is>
      </c>
      <c r="U179" s="4" t="inlineStr">
        <is>
          <t>Sim</t>
        </is>
      </c>
      <c r="V179" s="4" t="inlineStr">
        <is>
          <t>Não</t>
        </is>
      </c>
      <c r="W179" s="4" t="inlineStr"/>
    </row>
    <row r="180">
      <c r="A180" s="4" t="inlineStr">
        <is>
          <t>BTG Pactual</t>
        </is>
      </c>
      <c r="B180" s="4" t="inlineStr">
        <is>
          <t>Real Investor 100 Icatu Prev Qualificado FICFIA RL</t>
        </is>
      </c>
      <c r="C180" s="6" t="inlineStr">
        <is>
          <t>40.213.012/0001-19</t>
        </is>
      </c>
      <c r="D180" s="4" t="inlineStr">
        <is>
          <t>REAL INVESTOR ASSET MANAGEMENT LTDA</t>
        </is>
      </c>
      <c r="E180" s="4" t="inlineStr">
        <is>
          <t>11.570.951/0001-12</t>
        </is>
      </c>
      <c r="F180" s="4" t="inlineStr">
        <is>
          <t>BNY MELLON SERVICOS FINANCEIROS DTVM S/A</t>
        </is>
      </c>
      <c r="G180" s="4" t="inlineStr">
        <is>
          <t>Ações</t>
        </is>
      </c>
      <c r="H180" s="4" t="inlineStr">
        <is>
          <t>Renda Variável</t>
        </is>
      </c>
      <c r="I180" s="7" t="n">
        <v>5000</v>
      </c>
      <c r="J180" s="8" t="n">
        <v>2</v>
      </c>
      <c r="K180" s="8" t="n">
        <v>15</v>
      </c>
      <c r="L180" s="4" t="inlineStr">
        <is>
          <t>-</t>
        </is>
      </c>
      <c r="M180" s="5" t="n">
        <v>20</v>
      </c>
      <c r="N180" s="5" t="n">
        <v>22</v>
      </c>
      <c r="O180" s="5" t="n"/>
      <c r="P180" s="4" t="inlineStr">
        <is>
          <t>Renda Variável</t>
        </is>
      </c>
      <c r="Q180" s="4" t="inlineStr">
        <is>
          <t>Não</t>
        </is>
      </c>
      <c r="R180" s="4" t="inlineStr">
        <is>
          <t>API interna</t>
        </is>
      </c>
      <c r="S180" s="4" t="n">
        <v>1</v>
      </c>
      <c r="T180" s="4" t="inlineStr">
        <is>
          <t>Não</t>
        </is>
      </c>
      <c r="U180" s="4" t="inlineStr">
        <is>
          <t>Sim</t>
        </is>
      </c>
      <c r="V180" s="4" t="inlineStr">
        <is>
          <t>Não</t>
        </is>
      </c>
      <c r="W180" s="4" t="inlineStr"/>
    </row>
    <row r="181">
      <c r="A181" s="4" t="inlineStr">
        <is>
          <t>BTG Pactual</t>
        </is>
      </c>
      <c r="B181" s="4" t="inlineStr">
        <is>
          <t>Real Investor 70 Prev FIM RL</t>
        </is>
      </c>
      <c r="C181" s="6" t="inlineStr">
        <is>
          <t>33.588.607/0001-93</t>
        </is>
      </c>
      <c r="D181" s="4" t="inlineStr">
        <is>
          <t>REAL INVESTOR ASSET MANAGEMENT LTDA</t>
        </is>
      </c>
      <c r="E181" s="4" t="inlineStr">
        <is>
          <t>11.570.951/0001-12</t>
        </is>
      </c>
      <c r="F181" s="4" t="inlineStr">
        <is>
          <t>BTG PACTUAL SERVICOS FINANCEIROS S.A. DISTRIBUIDOR</t>
        </is>
      </c>
      <c r="G181" s="4" t="inlineStr">
        <is>
          <t>Multimercado</t>
        </is>
      </c>
      <c r="H181" s="4" t="inlineStr">
        <is>
          <t>Renda Variável</t>
        </is>
      </c>
      <c r="I181" s="7" t="n">
        <v>1000</v>
      </c>
      <c r="J181" s="8" t="n"/>
      <c r="K181" s="8" t="n">
        <v>15</v>
      </c>
      <c r="L181" s="4" t="inlineStr">
        <is>
          <t>CDI</t>
        </is>
      </c>
      <c r="M181" s="5" t="n">
        <v>6</v>
      </c>
      <c r="N181" s="5" t="n">
        <v>9</v>
      </c>
      <c r="O181" s="5" t="n"/>
      <c r="P181" s="4" t="inlineStr">
        <is>
          <t>Curto Prazo</t>
        </is>
      </c>
      <c r="Q181" s="4" t="inlineStr">
        <is>
          <t>Não</t>
        </is>
      </c>
      <c r="R181" s="4" t="inlineStr">
        <is>
          <t>API interna</t>
        </is>
      </c>
      <c r="S181" s="4" t="n">
        <v>1</v>
      </c>
      <c r="T181" s="4" t="inlineStr">
        <is>
          <t>Não</t>
        </is>
      </c>
      <c r="U181" s="4" t="inlineStr">
        <is>
          <t>Sim</t>
        </is>
      </c>
      <c r="V181" s="4" t="inlineStr">
        <is>
          <t>Não</t>
        </is>
      </c>
      <c r="W181" s="4" t="inlineStr"/>
    </row>
    <row r="182">
      <c r="A182" s="4" t="inlineStr">
        <is>
          <t>BTG Pactual</t>
        </is>
      </c>
      <c r="B182" s="4" t="inlineStr">
        <is>
          <t>Regia Acoes ESG 100 Prev Icatu Seguros FICFIA IS RL</t>
        </is>
      </c>
      <c r="C182" s="6" t="inlineStr">
        <is>
          <t>35.807.793/0001-30</t>
        </is>
      </c>
      <c r="D182" s="4" t="inlineStr">
        <is>
          <t>REGIA CAPITAL LTDA</t>
        </is>
      </c>
      <c r="E182" s="4" t="inlineStr">
        <is>
          <t>54.464.258/0001-78</t>
        </is>
      </c>
      <c r="F182" s="4" t="inlineStr">
        <is>
          <t>BNY MELLON SERVICOS FINANCEIROS DTVM S/A</t>
        </is>
      </c>
      <c r="G182" s="4" t="inlineStr">
        <is>
          <t>Ações</t>
        </is>
      </c>
      <c r="H182" s="4" t="inlineStr">
        <is>
          <t>Renda Variável</t>
        </is>
      </c>
      <c r="I182" s="7" t="n">
        <v>5000</v>
      </c>
      <c r="J182" s="8" t="n">
        <v>1.85</v>
      </c>
      <c r="K182" s="8" t="n">
        <v>20</v>
      </c>
      <c r="L182" s="4" t="inlineStr">
        <is>
          <t>IBOVESPA</t>
        </is>
      </c>
      <c r="M182" s="5" t="n">
        <v>2</v>
      </c>
      <c r="N182" s="5" t="n">
        <v>4</v>
      </c>
      <c r="O182" s="5" t="n"/>
      <c r="P182" s="4" t="inlineStr">
        <is>
          <t>Renda Variável</t>
        </is>
      </c>
      <c r="Q182" s="4" t="inlineStr">
        <is>
          <t>Não</t>
        </is>
      </c>
      <c r="R182" s="4" t="inlineStr">
        <is>
          <t>API interna</t>
        </is>
      </c>
      <c r="S182" s="4" t="n">
        <v>1</v>
      </c>
      <c r="T182" s="4" t="inlineStr">
        <is>
          <t>Não</t>
        </is>
      </c>
      <c r="U182" s="4" t="inlineStr">
        <is>
          <t>Sim</t>
        </is>
      </c>
      <c r="V182" s="4" t="inlineStr">
        <is>
          <t>Não</t>
        </is>
      </c>
      <c r="W182" s="4" t="inlineStr"/>
    </row>
    <row r="183">
      <c r="A183" s="4" t="inlineStr">
        <is>
          <t>BTG Pactual</t>
        </is>
      </c>
      <c r="B183" s="4" t="inlineStr">
        <is>
          <t>Riza Icatu Prev Low Vol FIM RL</t>
        </is>
      </c>
      <c r="C183" s="6" t="inlineStr">
        <is>
          <t>31.248.460/0001-67</t>
        </is>
      </c>
      <c r="D183" s="4" t="inlineStr">
        <is>
          <t>RIZA LÍQUIDOS GESTORA DE RECURSOS LTDA.</t>
        </is>
      </c>
      <c r="E183" s="4" t="inlineStr">
        <is>
          <t>50.715.649/0001-67</t>
        </is>
      </c>
      <c r="F183" s="4" t="inlineStr">
        <is>
          <t>BEM DISTRIBUIDORA DE TITULOS E VALORES MOBILIARIOS</t>
        </is>
      </c>
      <c r="G183" s="4" t="inlineStr">
        <is>
          <t>Multimercado</t>
        </is>
      </c>
      <c r="H183" s="4" t="inlineStr">
        <is>
          <t>Renda Fixa</t>
        </is>
      </c>
      <c r="I183" s="7" t="n">
        <v>1500</v>
      </c>
      <c r="J183" s="8" t="n">
        <v>0.8</v>
      </c>
      <c r="K183" s="8" t="n"/>
      <c r="L183" s="4" t="inlineStr"/>
      <c r="M183" s="5" t="n">
        <v>3</v>
      </c>
      <c r="N183" s="5" t="n">
        <v>4</v>
      </c>
      <c r="O183" s="5" t="n"/>
      <c r="P183" s="4" t="inlineStr">
        <is>
          <t>Longo Prazo</t>
        </is>
      </c>
      <c r="Q183" s="4" t="inlineStr">
        <is>
          <t>Não</t>
        </is>
      </c>
      <c r="R183" s="4" t="inlineStr">
        <is>
          <t>API interna</t>
        </is>
      </c>
      <c r="S183" s="4" t="n">
        <v>1</v>
      </c>
      <c r="T183" s="4" t="inlineStr">
        <is>
          <t>Não</t>
        </is>
      </c>
      <c r="U183" s="4" t="inlineStr">
        <is>
          <t>Sim</t>
        </is>
      </c>
      <c r="V183" s="4" t="inlineStr">
        <is>
          <t>Não</t>
        </is>
      </c>
      <c r="W183" s="4" t="inlineStr"/>
    </row>
    <row r="184">
      <c r="A184" s="4" t="inlineStr">
        <is>
          <t>BTG Pactual</t>
        </is>
      </c>
      <c r="B184" s="4" t="inlineStr">
        <is>
          <t>Riza Lotus Prev FICFIRF CrPr RL</t>
        </is>
      </c>
      <c r="C184" s="6" t="inlineStr">
        <is>
          <t>56.954.063/0001-31</t>
        </is>
      </c>
      <c r="D184" s="4" t="inlineStr">
        <is>
          <t>RIZA LÍQUIDOS GESTORA DE RECURSOS LTDA.</t>
        </is>
      </c>
      <c r="E184" s="4" t="inlineStr">
        <is>
          <t>50.715.649/0001-67</t>
        </is>
      </c>
      <c r="F184" s="4" t="inlineStr">
        <is>
          <t>BTG PACTUAL SERVICOS FINANCEIROS S.A. DISTRIBUIDOR</t>
        </is>
      </c>
      <c r="G184" s="4" t="inlineStr">
        <is>
          <t>Renda Fixa</t>
        </is>
      </c>
      <c r="H184" s="4" t="inlineStr">
        <is>
          <t>Renda Fixa</t>
        </is>
      </c>
      <c r="I184" s="7" t="n">
        <v>500</v>
      </c>
      <c r="J184" s="8" t="n">
        <v>0.35</v>
      </c>
      <c r="K184" s="8" t="n"/>
      <c r="L184" s="4" t="inlineStr"/>
      <c r="M184" s="5" t="n">
        <v>7</v>
      </c>
      <c r="N184" s="5" t="n">
        <v>8</v>
      </c>
      <c r="O184" s="5" t="n"/>
      <c r="P184" s="4" t="inlineStr">
        <is>
          <t>Curto Prazo</t>
        </is>
      </c>
      <c r="Q184" s="4" t="inlineStr">
        <is>
          <t>Não</t>
        </is>
      </c>
      <c r="R184" s="4" t="inlineStr">
        <is>
          <t>API interna</t>
        </is>
      </c>
      <c r="S184" s="4" t="n">
        <v>1</v>
      </c>
      <c r="T184" s="4" t="inlineStr">
        <is>
          <t>Não</t>
        </is>
      </c>
      <c r="U184" s="4" t="inlineStr">
        <is>
          <t>Sim</t>
        </is>
      </c>
      <c r="V184" s="4" t="inlineStr">
        <is>
          <t>Não</t>
        </is>
      </c>
      <c r="W184" s="4" t="inlineStr"/>
    </row>
    <row r="185">
      <c r="A185" s="4" t="inlineStr">
        <is>
          <t>BTG Pactual</t>
        </is>
      </c>
      <c r="B185" s="4" t="inlineStr">
        <is>
          <t>Riza Lotus Prev Fundo Access CrPr RL</t>
        </is>
      </c>
      <c r="C185" s="6" t="inlineStr">
        <is>
          <t>47.564.762/0001-84</t>
        </is>
      </c>
      <c r="D185" s="4" t="inlineStr">
        <is>
          <t>BTG PACTUAL GESTÃO E CONSULTORIA DE INVESTIMENTOS LTDA</t>
        </is>
      </c>
      <c r="E185" s="4" t="inlineStr">
        <is>
          <t>12.695.840/0001-03</t>
        </is>
      </c>
      <c r="F185" s="4" t="inlineStr">
        <is>
          <t>BTG PACTUAL SERVICOS FINANCEIROS S.A. DISTRIBUIDOR</t>
        </is>
      </c>
      <c r="G185" s="4" t="inlineStr">
        <is>
          <t>Renda Fixa</t>
        </is>
      </c>
      <c r="H185" s="4" t="inlineStr">
        <is>
          <t>Renda Fixa</t>
        </is>
      </c>
      <c r="I185" s="7" t="n">
        <v>1000</v>
      </c>
      <c r="J185" s="8" t="n"/>
      <c r="K185" s="8" t="n"/>
      <c r="L185" s="4" t="inlineStr"/>
      <c r="M185" s="5" t="n">
        <v>7</v>
      </c>
      <c r="N185" s="5" t="n">
        <v>8</v>
      </c>
      <c r="O185" s="5" t="n"/>
      <c r="P185" s="4" t="inlineStr">
        <is>
          <t>Curto Prazo</t>
        </is>
      </c>
      <c r="Q185" s="4" t="inlineStr">
        <is>
          <t>Sim</t>
        </is>
      </c>
      <c r="R185" s="4" t="inlineStr">
        <is>
          <t>API interna</t>
        </is>
      </c>
      <c r="S185" s="4" t="n">
        <v>1</v>
      </c>
      <c r="T185" s="4" t="inlineStr">
        <is>
          <t>Não</t>
        </is>
      </c>
      <c r="U185" s="4" t="inlineStr">
        <is>
          <t>Sim</t>
        </is>
      </c>
      <c r="V185" s="4" t="inlineStr">
        <is>
          <t>Não</t>
        </is>
      </c>
      <c r="W185" s="4" t="inlineStr"/>
    </row>
    <row r="186">
      <c r="A186" s="4" t="inlineStr">
        <is>
          <t>BTG Pactual</t>
        </is>
      </c>
      <c r="B186" s="4" t="inlineStr">
        <is>
          <t>Root CAP Cred HG Prev FICFIRF CrPr RL</t>
        </is>
      </c>
      <c r="C186" s="6" t="inlineStr">
        <is>
          <t>46.502.826/0001-50</t>
        </is>
      </c>
      <c r="D186" s="4" t="inlineStr">
        <is>
          <t>ROOT CAPITAL - GESTÃO DE RECURSOS LTDA</t>
        </is>
      </c>
      <c r="E186" s="4" t="inlineStr">
        <is>
          <t>11.397.040/0001-35</t>
        </is>
      </c>
      <c r="F186" s="4" t="inlineStr">
        <is>
          <t>BNY MELLON SERVICOS FINANCEIROS DTVM S/A</t>
        </is>
      </c>
      <c r="G186" s="4" t="inlineStr">
        <is>
          <t>Renda Fixa</t>
        </is>
      </c>
      <c r="H186" s="4" t="inlineStr">
        <is>
          <t>Renda Fixa</t>
        </is>
      </c>
      <c r="I186" s="7" t="n">
        <v>1000</v>
      </c>
      <c r="J186" s="8" t="n"/>
      <c r="K186" s="8" t="n"/>
      <c r="L186" s="4" t="inlineStr"/>
      <c r="M186" s="5" t="n">
        <v>7</v>
      </c>
      <c r="N186" s="5" t="n">
        <v>9</v>
      </c>
      <c r="O186" s="5" t="n"/>
      <c r="P186" s="4" t="inlineStr">
        <is>
          <t>Longo Prazo</t>
        </is>
      </c>
      <c r="Q186" s="4" t="inlineStr">
        <is>
          <t>Não</t>
        </is>
      </c>
      <c r="R186" s="4" t="inlineStr">
        <is>
          <t>API interna</t>
        </is>
      </c>
      <c r="S186" s="4" t="n">
        <v>1</v>
      </c>
      <c r="T186" s="4" t="inlineStr">
        <is>
          <t>Não</t>
        </is>
      </c>
      <c r="U186" s="4" t="inlineStr">
        <is>
          <t>Sim</t>
        </is>
      </c>
      <c r="V186" s="4" t="inlineStr">
        <is>
          <t>Não</t>
        </is>
      </c>
      <c r="W186" s="4" t="inlineStr"/>
    </row>
    <row r="187">
      <c r="A187" s="4" t="inlineStr">
        <is>
          <t>BTG Pactual</t>
        </is>
      </c>
      <c r="B187" s="4" t="inlineStr">
        <is>
          <t>Root Capital HY BTG Prev FICFIRF CrPr RL</t>
        </is>
      </c>
      <c r="C187" s="6" t="inlineStr">
        <is>
          <t>54.142.143/0001-67</t>
        </is>
      </c>
      <c r="D187" s="4" t="inlineStr">
        <is>
          <t>ROOT CAPITAL - GESTÃO DE RECURSOS LTDA</t>
        </is>
      </c>
      <c r="E187" s="4" t="inlineStr">
        <is>
          <t>11.397.040/0001-35</t>
        </is>
      </c>
      <c r="F187" s="4" t="inlineStr">
        <is>
          <t>BNY MELLON SERVICOS FINANCEIROS DISTRIBUIDORA DE T</t>
        </is>
      </c>
      <c r="G187" s="4" t="inlineStr">
        <is>
          <t>Renda Fixa</t>
        </is>
      </c>
      <c r="H187" s="4" t="inlineStr">
        <is>
          <t>Renda Fixa</t>
        </is>
      </c>
      <c r="I187" s="7" t="n">
        <v>1000</v>
      </c>
      <c r="J187" s="8" t="n">
        <v>1.45</v>
      </c>
      <c r="K187" s="8" t="n">
        <v>20</v>
      </c>
      <c r="L187" s="4" t="inlineStr">
        <is>
          <t>-</t>
        </is>
      </c>
      <c r="M187" s="5" t="n">
        <v>179</v>
      </c>
      <c r="N187" s="5" t="n">
        <v>180</v>
      </c>
      <c r="O187" s="5" t="n"/>
      <c r="P187" s="4" t="inlineStr">
        <is>
          <t>Longo Prazo</t>
        </is>
      </c>
      <c r="Q187" s="4" t="inlineStr">
        <is>
          <t>Não</t>
        </is>
      </c>
      <c r="R187" s="4" t="inlineStr">
        <is>
          <t>API interna</t>
        </is>
      </c>
      <c r="S187" s="4" t="n">
        <v>1</v>
      </c>
      <c r="T187" s="4" t="inlineStr">
        <is>
          <t>Não</t>
        </is>
      </c>
      <c r="U187" s="4" t="inlineStr">
        <is>
          <t>Sim</t>
        </is>
      </c>
      <c r="V187" s="4" t="inlineStr">
        <is>
          <t>Não</t>
        </is>
      </c>
      <c r="W187" s="4" t="inlineStr"/>
    </row>
    <row r="188">
      <c r="A188" s="4" t="inlineStr">
        <is>
          <t>BTG Pactual</t>
        </is>
      </c>
      <c r="B188" s="4" t="inlineStr">
        <is>
          <t>SPX Lancer Plus XXX Prev FICFIM Access RL</t>
        </is>
      </c>
      <c r="C188" s="6" t="inlineStr">
        <is>
          <t>43.164.533/0001-11</t>
        </is>
      </c>
      <c r="D188" s="4" t="inlineStr">
        <is>
          <t>BTG PACTUAL GESTÃO E CONSULTORIA DE INVESTIMENTOS LTDA</t>
        </is>
      </c>
      <c r="E188" s="4" t="inlineStr">
        <is>
          <t>12.695.840/0001-03</t>
        </is>
      </c>
      <c r="F188" s="4" t="inlineStr">
        <is>
          <t>BTG PACTUAL SERVICOS FINANCEIROS S.A. DISTRIBUIDOR</t>
        </is>
      </c>
      <c r="G188" s="4" t="inlineStr">
        <is>
          <t>Multimercado</t>
        </is>
      </c>
      <c r="H188" s="4" t="inlineStr">
        <is>
          <t>Multimercado</t>
        </is>
      </c>
      <c r="I188" s="7" t="n">
        <v>1000</v>
      </c>
      <c r="J188" s="8" t="n">
        <v>2</v>
      </c>
      <c r="K188" s="8" t="n"/>
      <c r="L188" s="4" t="inlineStr"/>
      <c r="M188" s="5" t="n">
        <v>2</v>
      </c>
      <c r="N188" s="5" t="n">
        <v>5</v>
      </c>
      <c r="O188" s="5" t="n"/>
      <c r="P188" s="4" t="inlineStr">
        <is>
          <t>Curto Prazo</t>
        </is>
      </c>
      <c r="Q188" s="4" t="inlineStr">
        <is>
          <t>Não</t>
        </is>
      </c>
      <c r="R188" s="4" t="inlineStr">
        <is>
          <t>API interna</t>
        </is>
      </c>
      <c r="S188" s="4" t="n">
        <v>1</v>
      </c>
      <c r="T188" s="4" t="inlineStr">
        <is>
          <t>Não</t>
        </is>
      </c>
      <c r="U188" s="4" t="inlineStr">
        <is>
          <t>Sim</t>
        </is>
      </c>
      <c r="V188" s="4" t="inlineStr">
        <is>
          <t>Não</t>
        </is>
      </c>
      <c r="W188" s="4" t="inlineStr"/>
    </row>
    <row r="189">
      <c r="A189" s="4" t="inlineStr">
        <is>
          <t>BTG Pactual</t>
        </is>
      </c>
      <c r="B189" s="4" t="inlineStr">
        <is>
          <t>SPX Prev Fundo Access CrPr RL</t>
        </is>
      </c>
      <c r="C189" s="6" t="inlineStr">
        <is>
          <t>61.760.793/0001-31</t>
        </is>
      </c>
      <c r="D189" s="4" t="inlineStr">
        <is>
          <t>BTG PACTUAL GESTÃO E CONSULTORIA DE INVESTIMENTOS LTDA</t>
        </is>
      </c>
      <c r="E189" s="4" t="inlineStr">
        <is>
          <t>12.695.840/0001-03</t>
        </is>
      </c>
      <c r="F189" s="4" t="inlineStr">
        <is>
          <t>BTG PACTUAL SERVICOS FINANCEIROS S.A. DISTRIBUIDOR</t>
        </is>
      </c>
      <c r="G189" s="4" t="inlineStr">
        <is>
          <t>Renda Fixa</t>
        </is>
      </c>
      <c r="H189" s="4" t="inlineStr">
        <is>
          <t>Renda Fixa</t>
        </is>
      </c>
      <c r="I189" s="7" t="n">
        <v>1000</v>
      </c>
      <c r="J189" s="8" t="n"/>
      <c r="K189" s="8" t="n">
        <v>20</v>
      </c>
      <c r="L189" s="4" t="inlineStr">
        <is>
          <t>-</t>
        </is>
      </c>
      <c r="M189" s="5" t="n">
        <v>8</v>
      </c>
      <c r="N189" s="5" t="n">
        <v>10</v>
      </c>
      <c r="O189" s="5" t="n"/>
      <c r="P189" s="4" t="inlineStr">
        <is>
          <t>Curto Prazo</t>
        </is>
      </c>
      <c r="Q189" s="4" t="inlineStr">
        <is>
          <t>Não</t>
        </is>
      </c>
      <c r="R189" s="4" t="inlineStr">
        <is>
          <t>API interna</t>
        </is>
      </c>
      <c r="S189" s="4" t="n">
        <v>1</v>
      </c>
      <c r="T189" s="4" t="inlineStr">
        <is>
          <t>Não</t>
        </is>
      </c>
      <c r="U189" s="4" t="inlineStr">
        <is>
          <t>Sim</t>
        </is>
      </c>
      <c r="V189" s="4" t="inlineStr">
        <is>
          <t>Não</t>
        </is>
      </c>
      <c r="W189" s="4" t="inlineStr"/>
    </row>
    <row r="190">
      <c r="A190" s="4" t="inlineStr">
        <is>
          <t>BTG Pactual</t>
        </is>
      </c>
      <c r="B190" s="4" t="inlineStr">
        <is>
          <t>SPX Prev Long Bias BP Prev FICFIM RL</t>
        </is>
      </c>
      <c r="C190" s="6" t="inlineStr">
        <is>
          <t>41.063.234/0001-65</t>
        </is>
      </c>
      <c r="D190" s="4" t="inlineStr">
        <is>
          <t>BTG PACTUAL GESTÃO E CONSULTORIA DE INVESTIMENTOS LTDA</t>
        </is>
      </c>
      <c r="E190" s="4" t="inlineStr">
        <is>
          <t>12.695.840/0001-03</t>
        </is>
      </c>
      <c r="F190" s="4" t="inlineStr">
        <is>
          <t>BTG PACTUAL SERVICOS FINANCEIROS S.A. DISTRIBUIDOR</t>
        </is>
      </c>
      <c r="G190" s="4" t="inlineStr">
        <is>
          <t>Multimercado</t>
        </is>
      </c>
      <c r="H190" s="4" t="inlineStr">
        <is>
          <t>Renda Variável</t>
        </is>
      </c>
      <c r="I190" s="7" t="n">
        <v>1000</v>
      </c>
      <c r="J190" s="8" t="n">
        <v>2</v>
      </c>
      <c r="K190" s="8" t="n">
        <v>20</v>
      </c>
      <c r="L190" s="4" t="inlineStr">
        <is>
          <t>CDI</t>
        </is>
      </c>
      <c r="M190" s="5" t="n">
        <v>30</v>
      </c>
      <c r="N190" s="5" t="n">
        <v>32</v>
      </c>
      <c r="O190" s="5" t="n"/>
      <c r="P190" s="4" t="inlineStr">
        <is>
          <t>Curto Prazo</t>
        </is>
      </c>
      <c r="Q190" s="4" t="inlineStr">
        <is>
          <t>Sim</t>
        </is>
      </c>
      <c r="R190" s="4" t="inlineStr">
        <is>
          <t>API interna</t>
        </is>
      </c>
      <c r="S190" s="4" t="n">
        <v>1</v>
      </c>
      <c r="T190" s="4" t="inlineStr">
        <is>
          <t>Não</t>
        </is>
      </c>
      <c r="U190" s="4" t="inlineStr">
        <is>
          <t>Sim</t>
        </is>
      </c>
      <c r="V190" s="4" t="inlineStr">
        <is>
          <t>Não</t>
        </is>
      </c>
      <c r="W190" s="4" t="inlineStr"/>
    </row>
    <row r="191">
      <c r="A191" s="4" t="inlineStr">
        <is>
          <t>BTG Pactual</t>
        </is>
      </c>
      <c r="B191" s="4" t="inlineStr">
        <is>
          <t>SPX Seahawk Plus Prev FICFIM Access CrPr RL</t>
        </is>
      </c>
      <c r="C191" s="6" t="inlineStr">
        <is>
          <t>43.985.398/0001-75</t>
        </is>
      </c>
      <c r="D191" s="4" t="inlineStr">
        <is>
          <t>BTG PACTUAL GESTÃO E CONSULTORIA DE INVESTIMENTOS LTDA</t>
        </is>
      </c>
      <c r="E191" s="4" t="inlineStr">
        <is>
          <t>12.695.840/0001-03</t>
        </is>
      </c>
      <c r="F191" s="4" t="inlineStr">
        <is>
          <t>BTG PACTUAL SERVICOS FINANCEIROS S.A. DISTRIBUIDOR</t>
        </is>
      </c>
      <c r="G191" s="4" t="inlineStr">
        <is>
          <t>Multimercado</t>
        </is>
      </c>
      <c r="H191" s="4" t="inlineStr">
        <is>
          <t>Renda Fixa</t>
        </is>
      </c>
      <c r="I191" s="7" t="n">
        <v>1000</v>
      </c>
      <c r="J191" s="8" t="n">
        <v>0.8</v>
      </c>
      <c r="K191" s="8" t="n">
        <v>20</v>
      </c>
      <c r="L191" s="4" t="inlineStr">
        <is>
          <t>CDI</t>
        </is>
      </c>
      <c r="M191" s="5" t="n">
        <v>8</v>
      </c>
      <c r="N191" s="5" t="n">
        <v>9</v>
      </c>
      <c r="O191" s="5" t="n"/>
      <c r="P191" s="4" t="inlineStr">
        <is>
          <t>Curto Prazo</t>
        </is>
      </c>
      <c r="Q191" s="4" t="inlineStr">
        <is>
          <t>Não</t>
        </is>
      </c>
      <c r="R191" s="4" t="inlineStr">
        <is>
          <t>API interna</t>
        </is>
      </c>
      <c r="S191" s="4" t="n">
        <v>1</v>
      </c>
      <c r="T191" s="4" t="inlineStr">
        <is>
          <t>Não</t>
        </is>
      </c>
      <c r="U191" s="4" t="inlineStr">
        <is>
          <t>Sim</t>
        </is>
      </c>
      <c r="V191" s="4" t="inlineStr">
        <is>
          <t>Não</t>
        </is>
      </c>
      <c r="W191" s="4" t="inlineStr"/>
    </row>
    <row r="192">
      <c r="A192" s="4" t="inlineStr">
        <is>
          <t>BTG Pactual</t>
        </is>
      </c>
      <c r="B192" s="4" t="inlineStr">
        <is>
          <t>STK Long Biased Prev Icatu Qualificado FIE FIA RL</t>
        </is>
      </c>
      <c r="C192" s="6" t="inlineStr">
        <is>
          <t>40.885.815/0001-10</t>
        </is>
      </c>
      <c r="D192" s="4" t="inlineStr">
        <is>
          <t>STK CAPITAL GESTORA DE RECURSOS LTDA.</t>
        </is>
      </c>
      <c r="E192" s="4" t="inlineStr">
        <is>
          <t>11.888.689/0001-59</t>
        </is>
      </c>
      <c r="F192" s="4" t="inlineStr">
        <is>
          <t>BEM DISTRIBUIDORA DE TITULOS E VALORES MOBILIARIOS</t>
        </is>
      </c>
      <c r="G192" s="4" t="inlineStr">
        <is>
          <t>Ações</t>
        </is>
      </c>
      <c r="H192" s="4" t="inlineStr">
        <is>
          <t>Renda Variável</t>
        </is>
      </c>
      <c r="I192" s="7" t="n">
        <v>5000</v>
      </c>
      <c r="J192" s="8" t="n">
        <v>2</v>
      </c>
      <c r="K192" s="8" t="n"/>
      <c r="L192" s="4" t="inlineStr"/>
      <c r="M192" s="5" t="n">
        <v>20</v>
      </c>
      <c r="N192" s="5" t="n">
        <v>22</v>
      </c>
      <c r="O192" s="5" t="n"/>
      <c r="P192" s="4" t="inlineStr">
        <is>
          <t>Longo Prazo</t>
        </is>
      </c>
      <c r="Q192" s="4" t="inlineStr">
        <is>
          <t>Não</t>
        </is>
      </c>
      <c r="R192" s="4" t="inlineStr">
        <is>
          <t>API interna</t>
        </is>
      </c>
      <c r="S192" s="4" t="n">
        <v>1</v>
      </c>
      <c r="T192" s="4" t="inlineStr">
        <is>
          <t>Não</t>
        </is>
      </c>
      <c r="U192" s="4" t="inlineStr">
        <is>
          <t>Sim</t>
        </is>
      </c>
      <c r="V192" s="4" t="inlineStr">
        <is>
          <t>Não</t>
        </is>
      </c>
      <c r="W192" s="4" t="inlineStr"/>
    </row>
    <row r="193">
      <c r="A193" s="4" t="inlineStr">
        <is>
          <t>BTG Pactual</t>
        </is>
      </c>
      <c r="B193" s="4" t="inlineStr">
        <is>
          <t>SUL America Prev FICFIRF CrPr RL</t>
        </is>
      </c>
      <c r="C193" s="6" t="inlineStr">
        <is>
          <t>33.701.820/0001-60</t>
        </is>
      </c>
      <c r="D193" s="4" t="inlineStr">
        <is>
          <t>SUL AMÉRICA INVESTIMENTOS GESTORA DE RECURSOS S.A.</t>
        </is>
      </c>
      <c r="E193" s="4" t="inlineStr">
        <is>
          <t>21.813.291/0001-07</t>
        </is>
      </c>
      <c r="F193" s="4" t="inlineStr">
        <is>
          <t>BTG PACTUAL SERVICOS FINANCEIROS S.A. DISTRIBUIDOR</t>
        </is>
      </c>
      <c r="G193" s="4" t="inlineStr">
        <is>
          <t>Renda Fixa</t>
        </is>
      </c>
      <c r="H193" s="4" t="inlineStr">
        <is>
          <t>Renda Fixa</t>
        </is>
      </c>
      <c r="I193" s="7" t="n">
        <v>1000</v>
      </c>
      <c r="J193" s="8" t="n">
        <v>1</v>
      </c>
      <c r="K193" s="8" t="n"/>
      <c r="L193" s="4" t="inlineStr"/>
      <c r="M193" s="5" t="n">
        <v>1</v>
      </c>
      <c r="N193" s="5" t="n">
        <v>2</v>
      </c>
      <c r="O193" s="5" t="n"/>
      <c r="P193" s="4" t="inlineStr">
        <is>
          <t>Curto Prazo</t>
        </is>
      </c>
      <c r="Q193" s="4" t="inlineStr">
        <is>
          <t>Não</t>
        </is>
      </c>
      <c r="R193" s="4" t="inlineStr">
        <is>
          <t>API interna</t>
        </is>
      </c>
      <c r="S193" s="4" t="n">
        <v>1</v>
      </c>
      <c r="T193" s="4" t="inlineStr">
        <is>
          <t>Não</t>
        </is>
      </c>
      <c r="U193" s="4" t="inlineStr">
        <is>
          <t>Sim</t>
        </is>
      </c>
      <c r="V193" s="4" t="inlineStr">
        <is>
          <t>Não</t>
        </is>
      </c>
      <c r="W193" s="4" t="inlineStr"/>
    </row>
    <row r="194">
      <c r="A194" s="4" t="inlineStr">
        <is>
          <t>BTG Pactual</t>
        </is>
      </c>
      <c r="B194" s="4" t="inlineStr">
        <is>
          <t>Safari Prev FICFIM RL</t>
        </is>
      </c>
      <c r="C194" s="6" t="inlineStr">
        <is>
          <t>23.502.724/0001-39</t>
        </is>
      </c>
      <c r="D194" s="4" t="inlineStr">
        <is>
          <t>SAFARI CAPITAL GESTÃO DE RECURSOS LTDA.</t>
        </is>
      </c>
      <c r="E194" s="4" t="inlineStr">
        <is>
          <t>21.850.329/0001-11</t>
        </is>
      </c>
      <c r="F194" s="4" t="inlineStr">
        <is>
          <t>SUL AMERICA INVESTIMENTOS DISTRIBUIDORA DE TITULOS</t>
        </is>
      </c>
      <c r="G194" s="4" t="inlineStr">
        <is>
          <t>Multimercado</t>
        </is>
      </c>
      <c r="H194" s="4" t="inlineStr">
        <is>
          <t>Renda Variável</t>
        </is>
      </c>
      <c r="I194" s="7" t="n">
        <v>1000</v>
      </c>
      <c r="J194" s="8" t="n">
        <v>2</v>
      </c>
      <c r="K194" s="8" t="n"/>
      <c r="L194" s="4" t="inlineStr"/>
      <c r="M194" s="5" t="n">
        <v>7</v>
      </c>
      <c r="N194" s="5" t="n">
        <v>9</v>
      </c>
      <c r="O194" s="5" t="n"/>
      <c r="P194" s="4" t="inlineStr">
        <is>
          <t>Não Aplicável</t>
        </is>
      </c>
      <c r="Q194" s="4" t="inlineStr">
        <is>
          <t>Sim</t>
        </is>
      </c>
      <c r="R194" s="4" t="inlineStr">
        <is>
          <t>API interna</t>
        </is>
      </c>
      <c r="S194" s="4" t="n">
        <v>1</v>
      </c>
      <c r="T194" s="4" t="inlineStr">
        <is>
          <t>Não</t>
        </is>
      </c>
      <c r="U194" s="4" t="inlineStr">
        <is>
          <t>Sim</t>
        </is>
      </c>
      <c r="V194" s="4" t="inlineStr">
        <is>
          <t>Não</t>
        </is>
      </c>
      <c r="W194" s="4" t="inlineStr"/>
    </row>
    <row r="195">
      <c r="A195" s="4" t="inlineStr">
        <is>
          <t>BTG Pactual</t>
        </is>
      </c>
      <c r="B195" s="4" t="inlineStr">
        <is>
          <t>Safra Vitesse Prev FICFIRF Access CrPr RL</t>
        </is>
      </c>
      <c r="C195" s="6" t="inlineStr">
        <is>
          <t>51.623.929/0001-08</t>
        </is>
      </c>
      <c r="D195" s="4" t="inlineStr">
        <is>
          <t>BTG PACTUAL GESTÃO E CONSULTORIA DE INVESTIMENTOS LTDA</t>
        </is>
      </c>
      <c r="E195" s="4" t="inlineStr">
        <is>
          <t>12.695.840/0001-03</t>
        </is>
      </c>
      <c r="F195" s="4" t="inlineStr">
        <is>
          <t>BTG PACTUAL SERVICOS FINANCEIROS S.A. DISTRIBUIDOR</t>
        </is>
      </c>
      <c r="G195" s="4" t="inlineStr">
        <is>
          <t>Renda Fixa</t>
        </is>
      </c>
      <c r="H195" s="4" t="inlineStr">
        <is>
          <t>Renda Fixa</t>
        </is>
      </c>
      <c r="I195" s="7" t="n">
        <v>1000</v>
      </c>
      <c r="J195" s="8" t="n"/>
      <c r="K195" s="8" t="n"/>
      <c r="L195" s="4" t="inlineStr"/>
      <c r="M195" s="5" t="n">
        <v>0</v>
      </c>
      <c r="N195" s="5" t="n">
        <v>1</v>
      </c>
      <c r="O195" s="5" t="n"/>
      <c r="P195" s="4" t="inlineStr">
        <is>
          <t>Curto Prazo</t>
        </is>
      </c>
      <c r="Q195" s="4" t="inlineStr">
        <is>
          <t>Não</t>
        </is>
      </c>
      <c r="R195" s="4" t="inlineStr">
        <is>
          <t>API interna</t>
        </is>
      </c>
      <c r="S195" s="4" t="n">
        <v>1</v>
      </c>
      <c r="T195" s="4" t="inlineStr">
        <is>
          <t>Não</t>
        </is>
      </c>
      <c r="U195" s="4" t="inlineStr">
        <is>
          <t>Sim</t>
        </is>
      </c>
      <c r="V195" s="4" t="inlineStr">
        <is>
          <t>Não</t>
        </is>
      </c>
      <c r="W195" s="4" t="inlineStr"/>
    </row>
    <row r="196">
      <c r="A196" s="4" t="inlineStr">
        <is>
          <t>BTG Pactual</t>
        </is>
      </c>
      <c r="B196" s="4" t="inlineStr">
        <is>
          <t>Santander Connect Prev Dividendos 70 FICFIM RL</t>
        </is>
      </c>
      <c r="C196" s="6" t="inlineStr">
        <is>
          <t>61.561.752/0001-16</t>
        </is>
      </c>
      <c r="D196" s="4" t="inlineStr">
        <is>
          <t>SANTANDER BRASIL GESTÃO DE RECURSOS LTDA</t>
        </is>
      </c>
      <c r="E196" s="4" t="inlineStr">
        <is>
          <t>10.231.177/0001-52</t>
        </is>
      </c>
      <c r="F196" s="4" t="inlineStr">
        <is>
          <t>BTG PACTUAL SERVICOS FINANCEIROS S.A. DISTRIBUIDOR</t>
        </is>
      </c>
      <c r="G196" s="4" t="inlineStr">
        <is>
          <t>Multimercado</t>
        </is>
      </c>
      <c r="H196" s="4" t="inlineStr">
        <is>
          <t>Renda Variável</t>
        </is>
      </c>
      <c r="I196" s="7" t="n">
        <v>1000</v>
      </c>
      <c r="J196" s="8" t="n"/>
      <c r="K196" s="8" t="n">
        <v>20</v>
      </c>
      <c r="L196" s="4" t="inlineStr">
        <is>
          <t>-</t>
        </is>
      </c>
      <c r="M196" s="5" t="n">
        <v>1</v>
      </c>
      <c r="N196" s="5" t="n">
        <v>3</v>
      </c>
      <c r="O196" s="5" t="n"/>
      <c r="P196" s="4" t="inlineStr">
        <is>
          <t>Curto Prazo</t>
        </is>
      </c>
      <c r="Q196" s="4" t="inlineStr">
        <is>
          <t>Não</t>
        </is>
      </c>
      <c r="R196" s="4" t="inlineStr">
        <is>
          <t>API interna</t>
        </is>
      </c>
      <c r="S196" s="4" t="n">
        <v>1</v>
      </c>
      <c r="T196" s="4" t="inlineStr">
        <is>
          <t>Não</t>
        </is>
      </c>
      <c r="U196" s="4" t="inlineStr">
        <is>
          <t>Sim</t>
        </is>
      </c>
      <c r="V196" s="4" t="inlineStr">
        <is>
          <t>Não</t>
        </is>
      </c>
      <c r="W196" s="4" t="inlineStr"/>
    </row>
    <row r="197">
      <c r="A197" s="4" t="inlineStr">
        <is>
          <t>BTG Pactual</t>
        </is>
      </c>
      <c r="B197" s="4" t="inlineStr">
        <is>
          <t>Santander Prev Icatu Lark I RF Cred Privado FICFIF RL</t>
        </is>
      </c>
      <c r="C197" s="6" t="inlineStr">
        <is>
          <t>14.325.933/0001-63</t>
        </is>
      </c>
      <c r="D197" s="4" t="inlineStr">
        <is>
          <t>SANTANDER BRASIL GESTÃO DE RECURSOS LTDA</t>
        </is>
      </c>
      <c r="E197" s="4" t="inlineStr">
        <is>
          <t>10.231.177/0001-52</t>
        </is>
      </c>
      <c r="F197" s="4" t="inlineStr">
        <is>
          <t>BANCO SANTANDER (BRASIL) S.A.</t>
        </is>
      </c>
      <c r="G197" s="4" t="inlineStr">
        <is>
          <t>Renda Fixa</t>
        </is>
      </c>
      <c r="H197" s="4" t="inlineStr">
        <is>
          <t>Alocação</t>
        </is>
      </c>
      <c r="I197" s="7" t="n">
        <v>3000</v>
      </c>
      <c r="J197" s="8" t="n">
        <v>1</v>
      </c>
      <c r="K197" s="8" t="n"/>
      <c r="L197" s="4" t="inlineStr"/>
      <c r="M197" s="5" t="n">
        <v>0</v>
      </c>
      <c r="N197" s="5" t="n">
        <v>1</v>
      </c>
      <c r="O197" s="5" t="n"/>
      <c r="P197" s="4" t="inlineStr">
        <is>
          <t>Longo Prazo</t>
        </is>
      </c>
      <c r="Q197" s="4" t="inlineStr">
        <is>
          <t>Não</t>
        </is>
      </c>
      <c r="R197" s="4" t="inlineStr">
        <is>
          <t>API interna</t>
        </is>
      </c>
      <c r="S197" s="4" t="n">
        <v>1</v>
      </c>
      <c r="T197" s="4" t="inlineStr">
        <is>
          <t>Não</t>
        </is>
      </c>
      <c r="U197" s="4" t="inlineStr">
        <is>
          <t>Sim</t>
        </is>
      </c>
      <c r="V197" s="4" t="inlineStr">
        <is>
          <t>Não</t>
        </is>
      </c>
      <c r="W197" s="4" t="inlineStr"/>
    </row>
    <row r="198">
      <c r="A198" s="4" t="inlineStr">
        <is>
          <t>BTG Pactual</t>
        </is>
      </c>
      <c r="B198" s="4" t="inlineStr">
        <is>
          <t>Santander Prev Icatu Strix Mult FIF RL</t>
        </is>
      </c>
      <c r="C198" s="6" t="inlineStr">
        <is>
          <t>17.340.337/0001-40</t>
        </is>
      </c>
      <c r="D198" s="4" t="inlineStr">
        <is>
          <t>SANTANDER BRASIL GESTÃO DE RECURSOS LTDA</t>
        </is>
      </c>
      <c r="E198" s="4" t="inlineStr">
        <is>
          <t>10.231.177/0001-52</t>
        </is>
      </c>
      <c r="F198" s="4" t="inlineStr">
        <is>
          <t>BANCO SANTANDER (BRASIL) S.A.</t>
        </is>
      </c>
      <c r="G198" s="4" t="inlineStr">
        <is>
          <t>Renda Fixa</t>
        </is>
      </c>
      <c r="H198" s="4" t="inlineStr">
        <is>
          <t>Renda Fixa</t>
        </is>
      </c>
      <c r="I198" s="7" t="n">
        <v>1500</v>
      </c>
      <c r="J198" s="8" t="n">
        <v>1.5</v>
      </c>
      <c r="K198" s="8" t="n"/>
      <c r="L198" s="4" t="inlineStr"/>
      <c r="M198" s="5" t="n">
        <v>0</v>
      </c>
      <c r="N198" s="5" t="n">
        <v>1</v>
      </c>
      <c r="O198" s="5" t="n"/>
      <c r="P198" s="4" t="inlineStr">
        <is>
          <t>Longo Prazo</t>
        </is>
      </c>
      <c r="Q198" s="4" t="inlineStr">
        <is>
          <t>Não</t>
        </is>
      </c>
      <c r="R198" s="4" t="inlineStr">
        <is>
          <t>API interna</t>
        </is>
      </c>
      <c r="S198" s="4" t="n">
        <v>1</v>
      </c>
      <c r="T198" s="4" t="inlineStr">
        <is>
          <t>Não</t>
        </is>
      </c>
      <c r="U198" s="4" t="inlineStr">
        <is>
          <t>Sim</t>
        </is>
      </c>
      <c r="V198" s="4" t="inlineStr">
        <is>
          <t>Não</t>
        </is>
      </c>
      <c r="W198" s="4" t="inlineStr"/>
    </row>
    <row r="199">
      <c r="A199" s="4" t="inlineStr">
        <is>
          <t>BTG Pactual</t>
        </is>
      </c>
      <c r="B199" s="4" t="inlineStr">
        <is>
          <t>Sharp Equity Value 100 P Prev FICFIA RL</t>
        </is>
      </c>
      <c r="C199" s="6" t="inlineStr">
        <is>
          <t>44.803.356/0001-39</t>
        </is>
      </c>
      <c r="D199" s="4" t="inlineStr">
        <is>
          <t>SHARP CAPITAL GESTORA DE RECURSOS LTDA</t>
        </is>
      </c>
      <c r="E199" s="4" t="inlineStr">
        <is>
          <t>27.957.477/0001-16</t>
        </is>
      </c>
      <c r="F199" s="4" t="inlineStr">
        <is>
          <t>BTG PACTUAL SERVICOS FINANCEIROS S.A. DISTRIBUIDOR</t>
        </is>
      </c>
      <c r="G199" s="4" t="inlineStr">
        <is>
          <t>Ações</t>
        </is>
      </c>
      <c r="H199" s="4" t="inlineStr">
        <is>
          <t>Renda Variável</t>
        </is>
      </c>
      <c r="I199" s="7" t="n">
        <v>1000</v>
      </c>
      <c r="J199" s="8" t="n">
        <v>2.2</v>
      </c>
      <c r="K199" s="8" t="n">
        <v>20</v>
      </c>
      <c r="L199" s="4" t="inlineStr">
        <is>
          <t>IPCA</t>
        </is>
      </c>
      <c r="M199" s="5" t="n">
        <v>30</v>
      </c>
      <c r="N199" s="5" t="n">
        <v>32</v>
      </c>
      <c r="O199" s="5" t="n"/>
      <c r="P199" s="4" t="inlineStr">
        <is>
          <t>Renda Variável</t>
        </is>
      </c>
      <c r="Q199" s="4" t="inlineStr">
        <is>
          <t>Não</t>
        </is>
      </c>
      <c r="R199" s="4" t="inlineStr">
        <is>
          <t>API interna</t>
        </is>
      </c>
      <c r="S199" s="4" t="n">
        <v>1</v>
      </c>
      <c r="T199" s="4" t="inlineStr">
        <is>
          <t>Não</t>
        </is>
      </c>
      <c r="U199" s="4" t="inlineStr">
        <is>
          <t>Sim</t>
        </is>
      </c>
      <c r="V199" s="4" t="inlineStr">
        <is>
          <t>Não</t>
        </is>
      </c>
      <c r="W199" s="4" t="inlineStr"/>
    </row>
    <row r="200">
      <c r="A200" s="4" t="inlineStr">
        <is>
          <t>BTG Pactual</t>
        </is>
      </c>
      <c r="B200" s="4" t="inlineStr">
        <is>
          <t>Solis Antares BTG Seguros Prev FICFIRF CrPr RL</t>
        </is>
      </c>
      <c r="C200" s="6" t="inlineStr">
        <is>
          <t>44.803.556/0001-91</t>
        </is>
      </c>
      <c r="D200" s="4" t="inlineStr">
        <is>
          <t>SOLIS INVESTIMENTOS S A</t>
        </is>
      </c>
      <c r="E200" s="4" t="inlineStr">
        <is>
          <t>17.254.708/0001-71</t>
        </is>
      </c>
      <c r="F200" s="4" t="inlineStr">
        <is>
          <t>BTG PACTUAL SERVICOS FINANCEIROS S.A. DISTRIBUIDOR</t>
        </is>
      </c>
      <c r="G200" s="4" t="inlineStr">
        <is>
          <t>Renda Fixa</t>
        </is>
      </c>
      <c r="H200" s="4" t="inlineStr">
        <is>
          <t>Renda Fixa</t>
        </is>
      </c>
      <c r="I200" s="7" t="n">
        <v>1000</v>
      </c>
      <c r="J200" s="8" t="n">
        <v>0.9</v>
      </c>
      <c r="K200" s="8" t="n"/>
      <c r="L200" s="4" t="inlineStr"/>
      <c r="M200" s="5" t="n">
        <v>21</v>
      </c>
      <c r="N200" s="5" t="n">
        <v>22</v>
      </c>
      <c r="O200" s="5" t="n"/>
      <c r="P200" s="4" t="inlineStr">
        <is>
          <t>Curto Prazo</t>
        </is>
      </c>
      <c r="Q200" s="4" t="inlineStr">
        <is>
          <t>Não</t>
        </is>
      </c>
      <c r="R200" s="4" t="inlineStr">
        <is>
          <t>API interna</t>
        </is>
      </c>
      <c r="S200" s="4" t="n">
        <v>1</v>
      </c>
      <c r="T200" s="4" t="inlineStr">
        <is>
          <t>Não</t>
        </is>
      </c>
      <c r="U200" s="4" t="inlineStr">
        <is>
          <t>Sim</t>
        </is>
      </c>
      <c r="V200" s="4" t="inlineStr">
        <is>
          <t>Não</t>
        </is>
      </c>
      <c r="W200" s="4" t="inlineStr"/>
    </row>
    <row r="201">
      <c r="A201" s="4" t="inlineStr">
        <is>
          <t>BTG Pactual</t>
        </is>
      </c>
      <c r="B201" s="4" t="inlineStr">
        <is>
          <t>Sparta Prev B FICFIRF CrPr RL</t>
        </is>
      </c>
      <c r="C201" s="6" t="inlineStr">
        <is>
          <t>31.392.530/0001-56</t>
        </is>
      </c>
      <c r="D201" s="4" t="inlineStr">
        <is>
          <t>SPARTA ADMINISTRADORA DE RECURSOS LTDA</t>
        </is>
      </c>
      <c r="E201" s="4" t="inlineStr">
        <is>
          <t>72.745.714/0001-30</t>
        </is>
      </c>
      <c r="F201" s="4" t="inlineStr">
        <is>
          <t>BTG PACTUAL SERVICOS FINANCEIROS S.A. DISTRIBUIDOR</t>
        </is>
      </c>
      <c r="G201" s="4" t="inlineStr">
        <is>
          <t>Renda Fixa</t>
        </is>
      </c>
      <c r="H201" s="4" t="inlineStr">
        <is>
          <t>Renda Fixa</t>
        </is>
      </c>
      <c r="I201" s="7" t="n">
        <v>1000</v>
      </c>
      <c r="J201" s="8" t="n"/>
      <c r="K201" s="8" t="n"/>
      <c r="L201" s="4" t="inlineStr"/>
      <c r="M201" s="5" t="n">
        <v>5</v>
      </c>
      <c r="N201" s="5" t="n">
        <v>6</v>
      </c>
      <c r="O201" s="5" t="n"/>
      <c r="P201" s="4" t="inlineStr">
        <is>
          <t>Curto Prazo</t>
        </is>
      </c>
      <c r="Q201" s="4" t="inlineStr">
        <is>
          <t>Não</t>
        </is>
      </c>
      <c r="R201" s="4" t="inlineStr">
        <is>
          <t>API interna</t>
        </is>
      </c>
      <c r="S201" s="4" t="n">
        <v>1</v>
      </c>
      <c r="T201" s="4" t="inlineStr">
        <is>
          <t>Não</t>
        </is>
      </c>
      <c r="U201" s="4" t="inlineStr">
        <is>
          <t>Sim</t>
        </is>
      </c>
      <c r="V201" s="4" t="inlineStr">
        <is>
          <t>Não</t>
        </is>
      </c>
      <c r="W201" s="4" t="inlineStr"/>
    </row>
    <row r="202">
      <c r="A202" s="4" t="inlineStr">
        <is>
          <t>BTG Pactual</t>
        </is>
      </c>
      <c r="B202" s="4" t="inlineStr">
        <is>
          <t>Sparta Prev Inflacao B FICFIRF CrPr RL</t>
        </is>
      </c>
      <c r="C202" s="6" t="inlineStr">
        <is>
          <t>42.870.517/0001-81</t>
        </is>
      </c>
      <c r="D202" s="4" t="inlineStr">
        <is>
          <t>SPARTA ADMINISTRADORA DE RECURSOS LTDA</t>
        </is>
      </c>
      <c r="E202" s="4" t="inlineStr">
        <is>
          <t>72.745.714/0001-30</t>
        </is>
      </c>
      <c r="F202" s="4" t="inlineStr">
        <is>
          <t>BNY MELLON SERVICOS FINANCEIROS DTVM S/A</t>
        </is>
      </c>
      <c r="G202" s="4" t="inlineStr">
        <is>
          <t>Renda Fixa</t>
        </is>
      </c>
      <c r="H202" s="4" t="inlineStr">
        <is>
          <t>Renda Fixa</t>
        </is>
      </c>
      <c r="I202" s="7" t="n">
        <v>1000</v>
      </c>
      <c r="J202" s="8" t="n">
        <v>1.35</v>
      </c>
      <c r="K202" s="8" t="n"/>
      <c r="L202" s="4" t="inlineStr"/>
      <c r="M202" s="5" t="n">
        <v>5</v>
      </c>
      <c r="N202" s="5" t="n">
        <v>6</v>
      </c>
      <c r="O202" s="5" t="n"/>
      <c r="P202" s="4" t="inlineStr">
        <is>
          <t>Longo Prazo</t>
        </is>
      </c>
      <c r="Q202" s="4" t="inlineStr">
        <is>
          <t>Não</t>
        </is>
      </c>
      <c r="R202" s="4" t="inlineStr">
        <is>
          <t>API interna</t>
        </is>
      </c>
      <c r="S202" s="4" t="n">
        <v>1</v>
      </c>
      <c r="T202" s="4" t="inlineStr">
        <is>
          <t>Não</t>
        </is>
      </c>
      <c r="U202" s="4" t="inlineStr">
        <is>
          <t>Sim</t>
        </is>
      </c>
      <c r="V202" s="4" t="inlineStr">
        <is>
          <t>Não</t>
        </is>
      </c>
      <c r="W202" s="4" t="inlineStr"/>
    </row>
    <row r="203">
      <c r="A203" s="4" t="inlineStr">
        <is>
          <t>BTG Pactual</t>
        </is>
      </c>
      <c r="B203" s="4" t="inlineStr">
        <is>
          <t>Squadra Prev Long Only FICFIA RL</t>
        </is>
      </c>
      <c r="C203" s="6" t="inlineStr">
        <is>
          <t>58.115.642/0001-16</t>
        </is>
      </c>
      <c r="D203" s="4" t="inlineStr">
        <is>
          <t>SQUADRA INVESTIMENTOS - GESTÃO DE RECURSOS LTDA.</t>
        </is>
      </c>
      <c r="E203" s="4" t="inlineStr">
        <is>
          <t>09.267.871/0001-40</t>
        </is>
      </c>
      <c r="F203" s="4" t="inlineStr">
        <is>
          <t>BTG PACTUAL SERVICOS FINANCEIROS S.A. DISTRIBUIDOR</t>
        </is>
      </c>
      <c r="G203" s="4" t="inlineStr">
        <is>
          <t>Ações</t>
        </is>
      </c>
      <c r="H203" s="4" t="inlineStr">
        <is>
          <t>Renda Variável</t>
        </is>
      </c>
      <c r="I203" s="7" t="n">
        <v>1000</v>
      </c>
      <c r="J203" s="8" t="n">
        <v>2</v>
      </c>
      <c r="K203" s="8" t="n">
        <v>20</v>
      </c>
      <c r="L203" s="4" t="inlineStr">
        <is>
          <t>-</t>
        </is>
      </c>
      <c r="M203" s="5" t="n">
        <v>60</v>
      </c>
      <c r="N203" s="5" t="n">
        <v>62</v>
      </c>
      <c r="O203" s="5" t="n"/>
      <c r="P203" s="4" t="inlineStr">
        <is>
          <t>Renda Variável</t>
        </is>
      </c>
      <c r="Q203" s="4" t="inlineStr">
        <is>
          <t>Não</t>
        </is>
      </c>
      <c r="R203" s="4" t="inlineStr">
        <is>
          <t>API interna</t>
        </is>
      </c>
      <c r="S203" s="4" t="n">
        <v>1</v>
      </c>
      <c r="T203" s="4" t="inlineStr">
        <is>
          <t>Não</t>
        </is>
      </c>
      <c r="U203" s="4" t="inlineStr">
        <is>
          <t>Sim</t>
        </is>
      </c>
      <c r="V203" s="4" t="inlineStr">
        <is>
          <t>Não</t>
        </is>
      </c>
      <c r="W203" s="4" t="inlineStr"/>
    </row>
    <row r="204">
      <c r="A204" s="4" t="inlineStr">
        <is>
          <t>BTG Pactual</t>
        </is>
      </c>
      <c r="B204" s="4" t="inlineStr">
        <is>
          <t>Sulamerica FIE I Credito ESG IS Prev Fundo CrPr RL</t>
        </is>
      </c>
      <c r="C204" s="6" t="inlineStr">
        <is>
          <t>60.960.946/0001-21</t>
        </is>
      </c>
      <c r="D204" s="4" t="inlineStr">
        <is>
          <t>SUL AMÉRICA INVESTIMENTOS GESTORA DE RECURSOS S.A.</t>
        </is>
      </c>
      <c r="E204" s="4" t="inlineStr">
        <is>
          <t>21.813.291/0001-07</t>
        </is>
      </c>
      <c r="F204" s="4" t="inlineStr">
        <is>
          <t>BTG PACTUAL SERVICOS FINANCEIROS S.A. DISTRIBUIDOR</t>
        </is>
      </c>
      <c r="G204" s="4" t="inlineStr">
        <is>
          <t>Renda Fixa</t>
        </is>
      </c>
      <c r="H204" s="4" t="inlineStr">
        <is>
          <t>Renda Fixa</t>
        </is>
      </c>
      <c r="I204" s="7" t="n">
        <v>1000</v>
      </c>
      <c r="J204" s="8" t="n"/>
      <c r="K204" s="8" t="n">
        <v>20</v>
      </c>
      <c r="L204" s="4" t="inlineStr">
        <is>
          <t>-</t>
        </is>
      </c>
      <c r="M204" s="5" t="n">
        <v>7</v>
      </c>
      <c r="N204" s="5" t="n">
        <v>8</v>
      </c>
      <c r="O204" s="5" t="n"/>
      <c r="P204" s="4" t="inlineStr">
        <is>
          <t>Curto Prazo</t>
        </is>
      </c>
      <c r="Q204" s="4" t="inlineStr">
        <is>
          <t>Não</t>
        </is>
      </c>
      <c r="R204" s="4" t="inlineStr">
        <is>
          <t>API interna</t>
        </is>
      </c>
      <c r="S204" s="4" t="n">
        <v>1</v>
      </c>
      <c r="T204" s="4" t="inlineStr">
        <is>
          <t>Não</t>
        </is>
      </c>
      <c r="U204" s="4" t="inlineStr">
        <is>
          <t>Sim</t>
        </is>
      </c>
      <c r="V204" s="4" t="inlineStr">
        <is>
          <t>Não</t>
        </is>
      </c>
      <c r="W204" s="4" t="inlineStr"/>
    </row>
    <row r="205">
      <c r="A205" s="4" t="inlineStr">
        <is>
          <t>BTG Pactual</t>
        </is>
      </c>
      <c r="B205" s="4" t="inlineStr">
        <is>
          <t>Tenax RFA Prev FIE I FICFIRF CrPr RL</t>
        </is>
      </c>
      <c r="C205" s="6" t="inlineStr">
        <is>
          <t>55.753.965/0001-47</t>
        </is>
      </c>
      <c r="D205" s="4" t="inlineStr">
        <is>
          <t>TENAX CAPITAL LTDA.</t>
        </is>
      </c>
      <c r="E205" s="4" t="inlineStr">
        <is>
          <t>43.777.696/0001-70</t>
        </is>
      </c>
      <c r="F205" s="4" t="inlineStr">
        <is>
          <t>BTG PACTUAL SERVICOS FINANCEIROS S.A. DISTRIBUIDOR</t>
        </is>
      </c>
      <c r="G205" s="4" t="inlineStr">
        <is>
          <t>Renda Fixa</t>
        </is>
      </c>
      <c r="H205" s="4" t="inlineStr">
        <is>
          <t>Renda Fixa</t>
        </is>
      </c>
      <c r="I205" s="7" t="n">
        <v>1000</v>
      </c>
      <c r="J205" s="8" t="n">
        <v>1.1</v>
      </c>
      <c r="K205" s="8" t="n">
        <v>6</v>
      </c>
      <c r="L205" s="4" t="inlineStr">
        <is>
          <t>-</t>
        </is>
      </c>
      <c r="M205" s="5" t="n">
        <v>14</v>
      </c>
      <c r="N205" s="5" t="n">
        <v>15</v>
      </c>
      <c r="O205" s="5" t="n"/>
      <c r="P205" s="4" t="inlineStr">
        <is>
          <t>Curto Prazo</t>
        </is>
      </c>
      <c r="Q205" s="4" t="inlineStr">
        <is>
          <t>Não</t>
        </is>
      </c>
      <c r="R205" s="4" t="inlineStr">
        <is>
          <t>API interna</t>
        </is>
      </c>
      <c r="S205" s="4" t="n">
        <v>1</v>
      </c>
      <c r="T205" s="4" t="inlineStr">
        <is>
          <t>Não</t>
        </is>
      </c>
      <c r="U205" s="4" t="inlineStr">
        <is>
          <t>Sim</t>
        </is>
      </c>
      <c r="V205" s="4" t="inlineStr">
        <is>
          <t>Não</t>
        </is>
      </c>
      <c r="W205" s="4" t="inlineStr"/>
    </row>
    <row r="206">
      <c r="A206" s="4" t="inlineStr">
        <is>
          <t>BTG Pactual</t>
        </is>
      </c>
      <c r="B206" s="4" t="inlineStr">
        <is>
          <t>Tork Icatu Prev FIE I FICFIA RL</t>
        </is>
      </c>
      <c r="C206" s="6" t="inlineStr">
        <is>
          <t>36.352.410/0001-49</t>
        </is>
      </c>
      <c r="D206" s="4" t="inlineStr">
        <is>
          <t>ATLAS ONE INVESTIMENTOS GESTÃO DE RECURSOS LTDA.</t>
        </is>
      </c>
      <c r="E206" s="4" t="inlineStr">
        <is>
          <t>36.658.682/0001-71</t>
        </is>
      </c>
      <c r="F206" s="4" t="inlineStr">
        <is>
          <t>BNY MELLON SERVICOS FINANCEIROS DTVM S/A</t>
        </is>
      </c>
      <c r="G206" s="4" t="inlineStr">
        <is>
          <t>Ações</t>
        </is>
      </c>
      <c r="H206" s="4" t="inlineStr">
        <is>
          <t>Renda Variável</t>
        </is>
      </c>
      <c r="I206" s="7" t="n">
        <v>5000</v>
      </c>
      <c r="J206" s="8" t="n">
        <v>2.2</v>
      </c>
      <c r="K206" s="8" t="n">
        <v>20</v>
      </c>
      <c r="L206" s="4" t="inlineStr">
        <is>
          <t>-</t>
        </is>
      </c>
      <c r="M206" s="5" t="n">
        <v>30</v>
      </c>
      <c r="N206" s="5" t="n">
        <v>32</v>
      </c>
      <c r="O206" s="5" t="n"/>
      <c r="P206" s="4" t="inlineStr">
        <is>
          <t>Renda Variável</t>
        </is>
      </c>
      <c r="Q206" s="4" t="inlineStr">
        <is>
          <t>Não</t>
        </is>
      </c>
      <c r="R206" s="4" t="inlineStr">
        <is>
          <t>API interna</t>
        </is>
      </c>
      <c r="S206" s="4" t="n">
        <v>1</v>
      </c>
      <c r="T206" s="4" t="inlineStr">
        <is>
          <t>Não</t>
        </is>
      </c>
      <c r="U206" s="4" t="inlineStr">
        <is>
          <t>Sim</t>
        </is>
      </c>
      <c r="V206" s="4" t="inlineStr">
        <is>
          <t>Não</t>
        </is>
      </c>
      <c r="W206" s="4" t="inlineStr"/>
    </row>
    <row r="207">
      <c r="A207" s="4" t="inlineStr">
        <is>
          <t>BTG Pactual</t>
        </is>
      </c>
      <c r="B207" s="4" t="inlineStr">
        <is>
          <t>Trigono BP 70 Prev FICFIM RL</t>
        </is>
      </c>
      <c r="C207" s="6" t="inlineStr">
        <is>
          <t>33.146.130/0001-96</t>
        </is>
      </c>
      <c r="D207" s="4" t="inlineStr">
        <is>
          <t>TRÍGONO CAPITAL LTDA</t>
        </is>
      </c>
      <c r="E207" s="4" t="inlineStr">
        <is>
          <t>28.925.400/0001-27</t>
        </is>
      </c>
      <c r="F207" s="4" t="inlineStr">
        <is>
          <t>BTG PACTUAL SERVICOS FINANCEIROS S.A. DISTRIBUIDOR</t>
        </is>
      </c>
      <c r="G207" s="4" t="inlineStr">
        <is>
          <t>Multimercado</t>
        </is>
      </c>
      <c r="H207" s="4" t="inlineStr">
        <is>
          <t>Renda Variável</t>
        </is>
      </c>
      <c r="I207" s="7" t="n">
        <v>1000</v>
      </c>
      <c r="J207" s="8" t="n">
        <v>2</v>
      </c>
      <c r="K207" s="8" t="n">
        <v>20</v>
      </c>
      <c r="L207" s="4" t="inlineStr">
        <is>
          <t>CDI</t>
        </is>
      </c>
      <c r="M207" s="5" t="n">
        <v>7</v>
      </c>
      <c r="N207" s="5" t="n">
        <v>9</v>
      </c>
      <c r="O207" s="5" t="n"/>
      <c r="P207" s="4" t="inlineStr">
        <is>
          <t>Curto Prazo</t>
        </is>
      </c>
      <c r="Q207" s="4" t="inlineStr">
        <is>
          <t>Não</t>
        </is>
      </c>
      <c r="R207" s="4" t="inlineStr">
        <is>
          <t>API interna</t>
        </is>
      </c>
      <c r="S207" s="4" t="n">
        <v>1</v>
      </c>
      <c r="T207" s="4" t="inlineStr">
        <is>
          <t>Não</t>
        </is>
      </c>
      <c r="U207" s="4" t="inlineStr">
        <is>
          <t>Sim</t>
        </is>
      </c>
      <c r="V207" s="4" t="inlineStr">
        <is>
          <t>Não</t>
        </is>
      </c>
      <c r="W207" s="4" t="inlineStr"/>
    </row>
    <row r="208">
      <c r="A208" s="4" t="inlineStr">
        <is>
          <t>BTG Pactual</t>
        </is>
      </c>
      <c r="B208" s="4" t="inlineStr">
        <is>
          <t>Trigono Icatu 100 FIA Prev RL</t>
        </is>
      </c>
      <c r="C208" s="6" t="inlineStr">
        <is>
          <t>35.610.342/0001-08</t>
        </is>
      </c>
      <c r="D208" s="4" t="inlineStr">
        <is>
          <t>TRÍGONO CAPITAL LTDA</t>
        </is>
      </c>
      <c r="E208" s="4" t="inlineStr">
        <is>
          <t>28.925.400/0001-27</t>
        </is>
      </c>
      <c r="F208" s="4" t="inlineStr">
        <is>
          <t>BEM DISTRIBUIDORA DE TITULOS E VALORES MOBILIARIOS</t>
        </is>
      </c>
      <c r="G208" s="4" t="inlineStr">
        <is>
          <t>Ações</t>
        </is>
      </c>
      <c r="H208" s="4" t="inlineStr">
        <is>
          <t>Renda Variável</t>
        </is>
      </c>
      <c r="I208" s="7" t="n">
        <v>5000</v>
      </c>
      <c r="J208" s="8" t="n">
        <v>2</v>
      </c>
      <c r="K208" s="8" t="n"/>
      <c r="L208" s="4" t="inlineStr"/>
      <c r="M208" s="5" t="n">
        <v>30</v>
      </c>
      <c r="N208" s="5" t="n">
        <v>32</v>
      </c>
      <c r="O208" s="5" t="n"/>
      <c r="P208" s="4" t="inlineStr">
        <is>
          <t>Renda Variável</t>
        </is>
      </c>
      <c r="Q208" s="4" t="inlineStr">
        <is>
          <t>Não</t>
        </is>
      </c>
      <c r="R208" s="4" t="inlineStr">
        <is>
          <t>API interna</t>
        </is>
      </c>
      <c r="S208" s="4" t="n">
        <v>1</v>
      </c>
      <c r="T208" s="4" t="inlineStr">
        <is>
          <t>Não</t>
        </is>
      </c>
      <c r="U208" s="4" t="inlineStr">
        <is>
          <t>Sim</t>
        </is>
      </c>
      <c r="V208" s="4" t="inlineStr">
        <is>
          <t>Não</t>
        </is>
      </c>
      <c r="W208" s="4" t="inlineStr"/>
    </row>
    <row r="209">
      <c r="A209" s="4" t="inlineStr">
        <is>
          <t>BTG Pactual</t>
        </is>
      </c>
      <c r="B209" s="4" t="inlineStr">
        <is>
          <t>Tropico Cash Prev Icatu FIE FIM RL</t>
        </is>
      </c>
      <c r="C209" s="6" t="inlineStr">
        <is>
          <t>50.818.438/0001-50</t>
        </is>
      </c>
      <c r="D209" s="4" t="inlineStr">
        <is>
          <t>TROPICO INVESTIMENTOS E PARTICIPACOES LTDA</t>
        </is>
      </c>
      <c r="E209" s="4" t="inlineStr">
        <is>
          <t>04.636.879/0001-13</t>
        </is>
      </c>
      <c r="F209" s="4" t="inlineStr">
        <is>
          <t>BTG PACTUAL SERVICOS FINANCEIROS S.A. DISTRIBUIDOR</t>
        </is>
      </c>
      <c r="G209" s="4" t="inlineStr">
        <is>
          <t>Multimercado</t>
        </is>
      </c>
      <c r="H209" s="4" t="inlineStr">
        <is>
          <t>Renda Fixa</t>
        </is>
      </c>
      <c r="I209" s="7" t="n">
        <v>3000</v>
      </c>
      <c r="J209" s="8" t="n"/>
      <c r="K209" s="8" t="n"/>
      <c r="L209" s="4" t="inlineStr"/>
      <c r="M209" s="5" t="n">
        <v>7</v>
      </c>
      <c r="N209" s="5" t="n">
        <v>9</v>
      </c>
      <c r="O209" s="5" t="n"/>
      <c r="P209" s="4" t="inlineStr">
        <is>
          <t>Curto Prazo</t>
        </is>
      </c>
      <c r="Q209" s="4" t="inlineStr">
        <is>
          <t>Não</t>
        </is>
      </c>
      <c r="R209" s="4" t="inlineStr">
        <is>
          <t>API interna</t>
        </is>
      </c>
      <c r="S209" s="4" t="n">
        <v>1</v>
      </c>
      <c r="T209" s="4" t="inlineStr">
        <is>
          <t>Não</t>
        </is>
      </c>
      <c r="U209" s="4" t="inlineStr">
        <is>
          <t>Sim</t>
        </is>
      </c>
      <c r="V209" s="4" t="inlineStr">
        <is>
          <t>Não</t>
        </is>
      </c>
      <c r="W209" s="4" t="inlineStr"/>
    </row>
    <row r="210">
      <c r="A210" s="4" t="inlineStr">
        <is>
          <t>BTG Pactual</t>
        </is>
      </c>
      <c r="B210" s="4" t="inlineStr">
        <is>
          <t>Tyton Credito Prev FIM CrPr RL</t>
        </is>
      </c>
      <c r="C210" s="6" t="inlineStr">
        <is>
          <t>53.847.333/0001-17</t>
        </is>
      </c>
      <c r="D210" s="4" t="inlineStr">
        <is>
          <t>TYTON CAPITAL INVESTIMENTOS LTDA.</t>
        </is>
      </c>
      <c r="E210" s="4" t="inlineStr">
        <is>
          <t>46.503.558/0001-90</t>
        </is>
      </c>
      <c r="F210" s="4" t="inlineStr">
        <is>
          <t>BTG PACTUAL SERVICOS FINANCEIROS S.A. DISTRIBUIDOR</t>
        </is>
      </c>
      <c r="G210" s="4" t="inlineStr">
        <is>
          <t>Multimercado</t>
        </is>
      </c>
      <c r="H210" s="4" t="inlineStr">
        <is>
          <t>Renda Fixa</t>
        </is>
      </c>
      <c r="I210" s="7" t="n">
        <v>1000</v>
      </c>
      <c r="J210" s="8" t="n"/>
      <c r="K210" s="8" t="n">
        <v>10</v>
      </c>
      <c r="L210" s="4" t="inlineStr">
        <is>
          <t>-</t>
        </is>
      </c>
      <c r="M210" s="5" t="n">
        <v>8</v>
      </c>
      <c r="N210" s="5" t="n">
        <v>9</v>
      </c>
      <c r="O210" s="5" t="n"/>
      <c r="P210" s="4" t="inlineStr">
        <is>
          <t>Curto Prazo</t>
        </is>
      </c>
      <c r="Q210" s="4" t="inlineStr">
        <is>
          <t>Não</t>
        </is>
      </c>
      <c r="R210" s="4" t="inlineStr">
        <is>
          <t>API interna</t>
        </is>
      </c>
      <c r="S210" s="4" t="n">
        <v>1</v>
      </c>
      <c r="T210" s="4" t="inlineStr">
        <is>
          <t>Não</t>
        </is>
      </c>
      <c r="U210" s="4" t="inlineStr">
        <is>
          <t>Sim</t>
        </is>
      </c>
      <c r="V210" s="4" t="inlineStr">
        <is>
          <t>Não</t>
        </is>
      </c>
      <c r="W210" s="4" t="inlineStr"/>
    </row>
    <row r="211">
      <c r="A211" s="4" t="inlineStr">
        <is>
          <t>BTG Pactual</t>
        </is>
      </c>
      <c r="B211" s="4" t="inlineStr">
        <is>
          <t>Tyton Credito Prev IQ FIF FIC FIM</t>
        </is>
      </c>
      <c r="C211" s="6" t="inlineStr">
        <is>
          <t>65.440.420/0001-34</t>
        </is>
      </c>
      <c r="D211" s="4" t="inlineStr">
        <is>
          <t>TYTON CAPITAL INVESTIMENTOS LTDA.</t>
        </is>
      </c>
      <c r="E211" s="4" t="inlineStr">
        <is>
          <t>46.503.558/0001-90</t>
        </is>
      </c>
      <c r="F211" s="4" t="inlineStr">
        <is>
          <t>BTG PACTUAL SERVICOS FINANCEIROS S.A. DISTRIBUIDOR</t>
        </is>
      </c>
      <c r="G211" s="4" t="inlineStr">
        <is>
          <t>Multimercado</t>
        </is>
      </c>
      <c r="H211" s="4" t="inlineStr">
        <is>
          <t>Outros</t>
        </is>
      </c>
      <c r="I211" s="7" t="n">
        <v>1000</v>
      </c>
      <c r="J211" s="8" t="n"/>
      <c r="K211" s="8" t="n">
        <v>20</v>
      </c>
      <c r="L211" s="4" t="inlineStr">
        <is>
          <t>-</t>
        </is>
      </c>
      <c r="M211" s="5" t="n">
        <v>30</v>
      </c>
      <c r="N211" s="5" t="n">
        <v>31</v>
      </c>
      <c r="O211" s="5" t="n"/>
      <c r="P211" s="4" t="inlineStr">
        <is>
          <t>Curto Prazo</t>
        </is>
      </c>
      <c r="Q211" s="4" t="inlineStr">
        <is>
          <t>Não</t>
        </is>
      </c>
      <c r="R211" s="4" t="inlineStr">
        <is>
          <t>API interna</t>
        </is>
      </c>
      <c r="S211" s="4" t="n">
        <v>1</v>
      </c>
      <c r="T211" s="4" t="inlineStr">
        <is>
          <t>Não</t>
        </is>
      </c>
      <c r="U211" s="4" t="inlineStr">
        <is>
          <t>Sim</t>
        </is>
      </c>
      <c r="V211" s="4" t="inlineStr">
        <is>
          <t>Não</t>
        </is>
      </c>
      <c r="W211" s="4" t="inlineStr"/>
    </row>
    <row r="212">
      <c r="A212" s="4" t="inlineStr">
        <is>
          <t>BTG Pactual</t>
        </is>
      </c>
      <c r="B212" s="4" t="inlineStr">
        <is>
          <t>V8 Speedway Vega LS Prev FICFIM Access RL</t>
        </is>
      </c>
      <c r="C212" s="6" t="inlineStr">
        <is>
          <t>64.567.005/0001-83</t>
        </is>
      </c>
      <c r="D212" s="4" t="inlineStr">
        <is>
          <t>BTG PACTUAL GESTÃO E CONSULTORIA DE INVESTIMENTOS LTDA</t>
        </is>
      </c>
      <c r="E212" s="4" t="inlineStr">
        <is>
          <t>12.695.840/0001-03</t>
        </is>
      </c>
      <c r="F212" s="4" t="inlineStr">
        <is>
          <t>BTG PACTUAL SERVICOS FINANCEIROS S.A. DISTRIBUIDOR</t>
        </is>
      </c>
      <c r="G212" s="4" t="inlineStr">
        <is>
          <t>Multimercado</t>
        </is>
      </c>
      <c r="H212" s="4" t="inlineStr">
        <is>
          <t>Renda Variável</t>
        </is>
      </c>
      <c r="I212" s="7" t="n">
        <v>1000</v>
      </c>
      <c r="J212" s="8" t="n">
        <v>2</v>
      </c>
      <c r="K212" s="8" t="n">
        <v>20</v>
      </c>
      <c r="L212" s="4" t="inlineStr">
        <is>
          <t>-</t>
        </is>
      </c>
      <c r="M212" s="5" t="n">
        <v>8</v>
      </c>
      <c r="N212" s="5" t="n">
        <v>10</v>
      </c>
      <c r="O212" s="5" t="n"/>
      <c r="P212" s="4" t="inlineStr">
        <is>
          <t>Curto Prazo</t>
        </is>
      </c>
      <c r="Q212" s="4" t="inlineStr">
        <is>
          <t>Não</t>
        </is>
      </c>
      <c r="R212" s="4" t="inlineStr">
        <is>
          <t>API interna</t>
        </is>
      </c>
      <c r="S212" s="4" t="n">
        <v>1</v>
      </c>
      <c r="T212" s="4" t="inlineStr">
        <is>
          <t>Não</t>
        </is>
      </c>
      <c r="U212" s="4" t="inlineStr">
        <is>
          <t>Sim</t>
        </is>
      </c>
      <c r="V212" s="4" t="inlineStr">
        <is>
          <t>Não</t>
        </is>
      </c>
      <c r="W212" s="4" t="inlineStr"/>
    </row>
    <row r="213">
      <c r="A213" s="4" t="inlineStr">
        <is>
          <t>BTG Pactual</t>
        </is>
      </c>
      <c r="B213" s="4" t="inlineStr">
        <is>
          <t>V8 Vanquish Termo Prev FICFIRF Access CrPr RL</t>
        </is>
      </c>
      <c r="C213" s="6" t="inlineStr">
        <is>
          <t>55.275.543/0001-03</t>
        </is>
      </c>
      <c r="D213" s="4" t="inlineStr">
        <is>
          <t>BTG PACTUAL GESTÃO E CONSULTORIA DE INVESTIMENTOS LTDA</t>
        </is>
      </c>
      <c r="E213" s="4" t="inlineStr">
        <is>
          <t>12.695.840/0001-03</t>
        </is>
      </c>
      <c r="F213" s="4" t="inlineStr">
        <is>
          <t>BTG PACTUAL SERVICOS FINANCEIROS S.A. DISTRIBUIDOR</t>
        </is>
      </c>
      <c r="G213" s="4" t="inlineStr">
        <is>
          <t>Renda Fixa</t>
        </is>
      </c>
      <c r="H213" s="4" t="inlineStr">
        <is>
          <t>Renda Fixa</t>
        </is>
      </c>
      <c r="I213" s="7" t="n">
        <v>0</v>
      </c>
      <c r="J213" s="8" t="n"/>
      <c r="K213" s="8" t="n"/>
      <c r="L213" s="4" t="inlineStr"/>
      <c r="M213" s="5" t="n">
        <v>5</v>
      </c>
      <c r="N213" s="5" t="n">
        <v>6</v>
      </c>
      <c r="O213" s="5" t="n"/>
      <c r="P213" s="4" t="inlineStr">
        <is>
          <t>Curto Prazo</t>
        </is>
      </c>
      <c r="Q213" s="4" t="inlineStr">
        <is>
          <t>Não</t>
        </is>
      </c>
      <c r="R213" s="4" t="inlineStr">
        <is>
          <t>API interna</t>
        </is>
      </c>
      <c r="S213" s="4" t="n">
        <v>1</v>
      </c>
      <c r="T213" s="4" t="inlineStr">
        <is>
          <t>Não</t>
        </is>
      </c>
      <c r="U213" s="4" t="inlineStr">
        <is>
          <t>Sim</t>
        </is>
      </c>
      <c r="V213" s="4" t="inlineStr">
        <is>
          <t>Não</t>
        </is>
      </c>
      <c r="W213" s="4" t="inlineStr"/>
    </row>
    <row r="214">
      <c r="A214" s="4" t="inlineStr">
        <is>
          <t>BTG Pactual</t>
        </is>
      </c>
      <c r="B214" s="4" t="inlineStr">
        <is>
          <t>VRB Prev FIM CrPr RL</t>
        </is>
      </c>
      <c r="C214" s="6" t="inlineStr">
        <is>
          <t>56.047.238/0001-27</t>
        </is>
      </c>
      <c r="D214" s="4" t="inlineStr">
        <is>
          <t>TERA INVESTIMENTOS LTDA.</t>
        </is>
      </c>
      <c r="E214" s="4" t="inlineStr">
        <is>
          <t>30.782.926/0001-47</t>
        </is>
      </c>
      <c r="F214" s="4" t="inlineStr">
        <is>
          <t>BTG PACTUAL SERVICOS FINANCEIROS S.A. DISTRIBUIDOR</t>
        </is>
      </c>
      <c r="G214" s="4" t="inlineStr">
        <is>
          <t>Multimercado</t>
        </is>
      </c>
      <c r="H214" s="4" t="inlineStr">
        <is>
          <t>Outros</t>
        </is>
      </c>
      <c r="I214" s="7" t="n">
        <v>0</v>
      </c>
      <c r="J214" s="8" t="n"/>
      <c r="K214" s="8" t="n"/>
      <c r="L214" s="4" t="inlineStr"/>
      <c r="M214" s="5" t="n">
        <v>30</v>
      </c>
      <c r="N214" s="5" t="n">
        <v>32</v>
      </c>
      <c r="O214" s="5" t="n"/>
      <c r="P214" s="4" t="inlineStr">
        <is>
          <t>Curto Prazo</t>
        </is>
      </c>
      <c r="Q214" s="4" t="inlineStr">
        <is>
          <t>Não</t>
        </is>
      </c>
      <c r="R214" s="4" t="inlineStr">
        <is>
          <t>API interna</t>
        </is>
      </c>
      <c r="S214" s="4" t="n">
        <v>1</v>
      </c>
      <c r="T214" s="4" t="inlineStr">
        <is>
          <t>Não</t>
        </is>
      </c>
      <c r="U214" s="4" t="inlineStr">
        <is>
          <t>Sim</t>
        </is>
      </c>
      <c r="V214" s="4" t="inlineStr">
        <is>
          <t>Não</t>
        </is>
      </c>
      <c r="W214" s="4" t="inlineStr"/>
    </row>
    <row r="215">
      <c r="A215" s="4" t="inlineStr">
        <is>
          <t>BTG Pactual</t>
        </is>
      </c>
      <c r="B215" s="4" t="inlineStr">
        <is>
          <t>Valora BP Prev FICFIRF CrPr RL</t>
        </is>
      </c>
      <c r="C215" s="6" t="inlineStr">
        <is>
          <t>49.627.172/0001-89</t>
        </is>
      </c>
      <c r="D215" s="4" t="inlineStr">
        <is>
          <t>VALORA RENDA FIXA LTDA.</t>
        </is>
      </c>
      <c r="E215" s="4" t="inlineStr">
        <is>
          <t>17.482.086/0001-39</t>
        </is>
      </c>
      <c r="F215" s="4" t="inlineStr">
        <is>
          <t>BTG PACTUAL SERVICOS FINANCEIROS S.A. DISTRIBUIDOR</t>
        </is>
      </c>
      <c r="G215" s="4" t="inlineStr">
        <is>
          <t>Renda Fixa</t>
        </is>
      </c>
      <c r="H215" s="4" t="inlineStr">
        <is>
          <t>Renda Fixa</t>
        </is>
      </c>
      <c r="I215" s="7" t="n">
        <v>1000</v>
      </c>
      <c r="J215" s="8" t="n">
        <v>1.1</v>
      </c>
      <c r="K215" s="8" t="n">
        <v>20</v>
      </c>
      <c r="L215" s="4" t="inlineStr">
        <is>
          <t>CDI</t>
        </is>
      </c>
      <c r="M215" s="5" t="n">
        <v>4</v>
      </c>
      <c r="N215" s="5" t="n">
        <v>6</v>
      </c>
      <c r="O215" s="5" t="n"/>
      <c r="P215" s="4" t="inlineStr">
        <is>
          <t>Curto Prazo</t>
        </is>
      </c>
      <c r="Q215" s="4" t="inlineStr">
        <is>
          <t>Não</t>
        </is>
      </c>
      <c r="R215" s="4" t="inlineStr">
        <is>
          <t>API interna</t>
        </is>
      </c>
      <c r="S215" s="4" t="n">
        <v>1</v>
      </c>
      <c r="T215" s="4" t="inlineStr">
        <is>
          <t>Não</t>
        </is>
      </c>
      <c r="U215" s="4" t="inlineStr">
        <is>
          <t>Sim</t>
        </is>
      </c>
      <c r="V215" s="4" t="inlineStr">
        <is>
          <t>Não</t>
        </is>
      </c>
      <c r="W215" s="4" t="inlineStr"/>
    </row>
    <row r="216">
      <c r="A216" s="4" t="inlineStr">
        <is>
          <t>BTG Pactual</t>
        </is>
      </c>
      <c r="B216" s="4" t="inlineStr">
        <is>
          <t>Verde AM Icatu Prev FICFIM RL</t>
        </is>
      </c>
      <c r="C216" s="6" t="inlineStr">
        <is>
          <t>23.339.936/0001-47</t>
        </is>
      </c>
      <c r="D216" s="4" t="inlineStr">
        <is>
          <t>VERDE ASSET MANAGEMENT S.A.</t>
        </is>
      </c>
      <c r="E216" s="4" t="inlineStr">
        <is>
          <t>19.749.539/0001-76</t>
        </is>
      </c>
      <c r="F216" s="4" t="inlineStr">
        <is>
          <t>INTRAG DISTR DE TITULOS EVALORES MOBILIARIOS LTDA</t>
        </is>
      </c>
      <c r="G216" s="4" t="inlineStr">
        <is>
          <t>Multimercado</t>
        </is>
      </c>
      <c r="H216" s="4" t="inlineStr">
        <is>
          <t>Multimercado</t>
        </is>
      </c>
      <c r="I216" s="7" t="n">
        <v>1500</v>
      </c>
      <c r="J216" s="8" t="n">
        <v>2</v>
      </c>
      <c r="K216" s="8" t="n"/>
      <c r="L216" s="4" t="inlineStr"/>
      <c r="M216" s="5" t="n">
        <v>0</v>
      </c>
      <c r="N216" s="5" t="n">
        <v>3</v>
      </c>
      <c r="O216" s="5" t="n"/>
      <c r="P216" s="4" t="inlineStr">
        <is>
          <t>Não Aplicável</t>
        </is>
      </c>
      <c r="Q216" s="4" t="inlineStr">
        <is>
          <t>Sim</t>
        </is>
      </c>
      <c r="R216" s="4" t="inlineStr">
        <is>
          <t>API interna</t>
        </is>
      </c>
      <c r="S216" s="4" t="n">
        <v>1</v>
      </c>
      <c r="T216" s="4" t="inlineStr">
        <is>
          <t>Não</t>
        </is>
      </c>
      <c r="U216" s="4" t="inlineStr">
        <is>
          <t>Sim</t>
        </is>
      </c>
      <c r="V216" s="4" t="inlineStr">
        <is>
          <t>Não</t>
        </is>
      </c>
      <c r="W216" s="4" t="inlineStr"/>
    </row>
    <row r="217">
      <c r="A217" s="4" t="inlineStr">
        <is>
          <t>BTG Pactual</t>
        </is>
      </c>
      <c r="B217" s="4" t="inlineStr">
        <is>
          <t>Verde AM Long Bias 70 Icatu Prev FIE FIM RL</t>
        </is>
      </c>
      <c r="C217" s="6" t="inlineStr">
        <is>
          <t>35.363.972/0001-25</t>
        </is>
      </c>
      <c r="D217" s="4" t="inlineStr">
        <is>
          <t>VERDE ASSET MANAGEMENT S.A.</t>
        </is>
      </c>
      <c r="E217" s="4" t="inlineStr">
        <is>
          <t>19.749.539/0001-76</t>
        </is>
      </c>
      <c r="F217" s="4" t="inlineStr">
        <is>
          <t>INTRAG DISTR DE TITULOS EVALORES MOBILIARIOS LTDA</t>
        </is>
      </c>
      <c r="G217" s="4" t="inlineStr">
        <is>
          <t>Multimercado</t>
        </is>
      </c>
      <c r="H217" s="4" t="inlineStr">
        <is>
          <t>Renda Variável</t>
        </is>
      </c>
      <c r="I217" s="7" t="n">
        <v>1000</v>
      </c>
      <c r="J217" s="8" t="n">
        <v>2.2</v>
      </c>
      <c r="K217" s="8" t="n">
        <v>20</v>
      </c>
      <c r="L217" s="4" t="inlineStr">
        <is>
          <t>-</t>
        </is>
      </c>
      <c r="M217" s="5" t="n">
        <v>0</v>
      </c>
      <c r="N217" s="5" t="n">
        <v>3</v>
      </c>
      <c r="O217" s="5" t="n"/>
      <c r="P217" s="4" t="inlineStr">
        <is>
          <t>Não Aplicável</t>
        </is>
      </c>
      <c r="Q217" s="4" t="inlineStr">
        <is>
          <t>Não</t>
        </is>
      </c>
      <c r="R217" s="4" t="inlineStr">
        <is>
          <t>API interna</t>
        </is>
      </c>
      <c r="S217" s="4" t="n">
        <v>1</v>
      </c>
      <c r="T217" s="4" t="inlineStr">
        <is>
          <t>Não</t>
        </is>
      </c>
      <c r="U217" s="4" t="inlineStr">
        <is>
          <t>Sim</t>
        </is>
      </c>
      <c r="V217" s="4" t="inlineStr">
        <is>
          <t>Não</t>
        </is>
      </c>
      <c r="W217" s="4" t="inlineStr"/>
    </row>
    <row r="218">
      <c r="A218" s="4" t="inlineStr">
        <is>
          <t>BTG Pactual</t>
        </is>
      </c>
      <c r="B218" s="4" t="inlineStr">
        <is>
          <t>Verde AM Mundi Icatu Prev Qualificado FICFIM RL</t>
        </is>
      </c>
      <c r="C218" s="6" t="inlineStr">
        <is>
          <t>44.983.441/0001-26</t>
        </is>
      </c>
      <c r="D218" s="4" t="inlineStr">
        <is>
          <t>VERDE ASSET MANAGEMENT S.A.</t>
        </is>
      </c>
      <c r="E218" s="4" t="inlineStr">
        <is>
          <t>19.749.539/0001-76</t>
        </is>
      </c>
      <c r="F218" s="4" t="inlineStr">
        <is>
          <t>INTRAG DISTR DE TITULOS EVALORES MOBILIARIOS LTDA</t>
        </is>
      </c>
      <c r="G218" s="4" t="inlineStr">
        <is>
          <t>Multimercado</t>
        </is>
      </c>
      <c r="H218" s="4" t="inlineStr">
        <is>
          <t>Renda Variável</t>
        </is>
      </c>
      <c r="I218" s="7" t="n">
        <v>5000</v>
      </c>
      <c r="J218" s="8" t="n">
        <v>2</v>
      </c>
      <c r="K218" s="8" t="n"/>
      <c r="L218" s="4" t="inlineStr"/>
      <c r="M218" s="5" t="n">
        <v>22</v>
      </c>
      <c r="N218" s="5" t="n">
        <v>25</v>
      </c>
      <c r="O218" s="5" t="n"/>
      <c r="P218" s="4" t="inlineStr">
        <is>
          <t>Longo Prazo</t>
        </is>
      </c>
      <c r="Q218" s="4" t="inlineStr">
        <is>
          <t>Não</t>
        </is>
      </c>
      <c r="R218" s="4" t="inlineStr">
        <is>
          <t>API interna</t>
        </is>
      </c>
      <c r="S218" s="4" t="n">
        <v>1</v>
      </c>
      <c r="T218" s="4" t="inlineStr">
        <is>
          <t>Não</t>
        </is>
      </c>
      <c r="U218" s="4" t="inlineStr">
        <is>
          <t>Sim</t>
        </is>
      </c>
      <c r="V218" s="4" t="inlineStr">
        <is>
          <t>Não</t>
        </is>
      </c>
      <c r="W218" s="4" t="inlineStr"/>
    </row>
    <row r="219">
      <c r="A219" s="4" t="inlineStr">
        <is>
          <t>BTG Pactual</t>
        </is>
      </c>
      <c r="B219" s="4" t="inlineStr">
        <is>
          <t>Verde FIE Prev FIM Access RL</t>
        </is>
      </c>
      <c r="C219" s="6" t="inlineStr">
        <is>
          <t>44.803.273/0001-40</t>
        </is>
      </c>
      <c r="D219" s="4" t="inlineStr">
        <is>
          <t>BTG PACTUAL GESTÃO E CONSULTORIA DE INVESTIMENTOS LTDA</t>
        </is>
      </c>
      <c r="E219" s="4" t="inlineStr">
        <is>
          <t>12.695.840/0001-03</t>
        </is>
      </c>
      <c r="F219" s="4" t="inlineStr">
        <is>
          <t>BTG PACTUAL SERVICOS FINANCEIROS S.A. DISTRIBUIDOR</t>
        </is>
      </c>
      <c r="G219" s="4" t="inlineStr">
        <is>
          <t>Multimercado</t>
        </is>
      </c>
      <c r="H219" s="4" t="inlineStr">
        <is>
          <t>Multimercado</t>
        </is>
      </c>
      <c r="I219" s="7" t="n">
        <v>1000</v>
      </c>
      <c r="J219" s="8" t="n">
        <v>2</v>
      </c>
      <c r="K219" s="8" t="n"/>
      <c r="L219" s="4" t="inlineStr"/>
      <c r="M219" s="5" t="n">
        <v>1</v>
      </c>
      <c r="N219" s="5" t="n">
        <v>3</v>
      </c>
      <c r="O219" s="5" t="n"/>
      <c r="P219" s="4" t="inlineStr">
        <is>
          <t>Curto Prazo</t>
        </is>
      </c>
      <c r="Q219" s="4" t="inlineStr">
        <is>
          <t>Não</t>
        </is>
      </c>
      <c r="R219" s="4" t="inlineStr">
        <is>
          <t>API interna</t>
        </is>
      </c>
      <c r="S219" s="4" t="n">
        <v>1</v>
      </c>
      <c r="T219" s="4" t="inlineStr">
        <is>
          <t>Não</t>
        </is>
      </c>
      <c r="U219" s="4" t="inlineStr">
        <is>
          <t>Sim</t>
        </is>
      </c>
      <c r="V219" s="4" t="inlineStr">
        <is>
          <t>Não</t>
        </is>
      </c>
      <c r="W219" s="4" t="inlineStr"/>
    </row>
    <row r="220">
      <c r="A220" s="4" t="inlineStr">
        <is>
          <t>BTG Pactual</t>
        </is>
      </c>
      <c r="B220" s="4" t="inlineStr">
        <is>
          <t>Vinci Compass Prev FIE I D8 FIRF CrPr RL</t>
        </is>
      </c>
      <c r="C220" s="6" t="inlineStr">
        <is>
          <t>57.132.572/0001-41</t>
        </is>
      </c>
      <c r="D220" s="4" t="inlineStr">
        <is>
          <t>VINCI CG GESTORA DE RECURSOS LTDA</t>
        </is>
      </c>
      <c r="E220" s="4" t="inlineStr">
        <is>
          <t>31.982.447/0001-37</t>
        </is>
      </c>
      <c r="F220" s="4" t="inlineStr">
        <is>
          <t>BTG PACTUAL SERVICOS FINANCEIROS S.A. DISTRIBUIDOR</t>
        </is>
      </c>
      <c r="G220" s="4" t="inlineStr">
        <is>
          <t>Renda Fixa</t>
        </is>
      </c>
      <c r="H220" s="4" t="inlineStr">
        <is>
          <t>Renda Fixa</t>
        </is>
      </c>
      <c r="I220" s="7" t="n">
        <v>1000</v>
      </c>
      <c r="J220" s="8" t="n">
        <v>0.8</v>
      </c>
      <c r="K220" s="8" t="n"/>
      <c r="L220" s="4" t="inlineStr"/>
      <c r="M220" s="5" t="n">
        <v>8</v>
      </c>
      <c r="N220" s="5" t="n">
        <v>9</v>
      </c>
      <c r="O220" s="5" t="n"/>
      <c r="P220" s="4" t="inlineStr">
        <is>
          <t>Curto Prazo</t>
        </is>
      </c>
      <c r="Q220" s="4" t="inlineStr">
        <is>
          <t>Não</t>
        </is>
      </c>
      <c r="R220" s="4" t="inlineStr">
        <is>
          <t>API interna</t>
        </is>
      </c>
      <c r="S220" s="4" t="n">
        <v>1</v>
      </c>
      <c r="T220" s="4" t="inlineStr">
        <is>
          <t>Não</t>
        </is>
      </c>
      <c r="U220" s="4" t="inlineStr">
        <is>
          <t>Sim</t>
        </is>
      </c>
      <c r="V220" s="4" t="inlineStr">
        <is>
          <t>Não</t>
        </is>
      </c>
      <c r="W220" s="4" t="inlineStr"/>
    </row>
    <row r="221">
      <c r="A221" s="4" t="inlineStr">
        <is>
          <t>BTG Pactual</t>
        </is>
      </c>
      <c r="B221" s="4" t="inlineStr">
        <is>
          <t>Vinci Equilibrio Prev FIM RL</t>
        </is>
      </c>
      <c r="C221" s="6" t="inlineStr">
        <is>
          <t>21.312.800/0001-18</t>
        </is>
      </c>
      <c r="D221" s="4" t="inlineStr">
        <is>
          <t>VINCI SOLUÇÕES DE INVESTIMENTOS LTDA</t>
        </is>
      </c>
      <c r="E221" s="4" t="inlineStr">
        <is>
          <t>13.421.810/0001-63</t>
        </is>
      </c>
      <c r="F221" s="4" t="inlineStr">
        <is>
          <t>BEM DISTRIBUIDORA DE TITULOS E VALORES MOBILIARIOS</t>
        </is>
      </c>
      <c r="G221" s="4" t="inlineStr">
        <is>
          <t>Multimercado</t>
        </is>
      </c>
      <c r="H221" s="4" t="inlineStr">
        <is>
          <t>Alocação</t>
        </is>
      </c>
      <c r="I221" s="7" t="n">
        <v>0</v>
      </c>
      <c r="J221" s="8" t="n">
        <v>2</v>
      </c>
      <c r="K221" s="8" t="n"/>
      <c r="L221" s="4" t="inlineStr"/>
      <c r="M221" s="5" t="n">
        <v>1</v>
      </c>
      <c r="N221" s="5" t="n">
        <v>3</v>
      </c>
      <c r="O221" s="5" t="n"/>
      <c r="P221" s="4" t="inlineStr">
        <is>
          <t>Longo Prazo</t>
        </is>
      </c>
      <c r="Q221" s="4" t="inlineStr">
        <is>
          <t>Não</t>
        </is>
      </c>
      <c r="R221" s="4" t="inlineStr">
        <is>
          <t>API interna</t>
        </is>
      </c>
      <c r="S221" s="4" t="n">
        <v>1</v>
      </c>
      <c r="T221" s="4" t="inlineStr">
        <is>
          <t>Não</t>
        </is>
      </c>
      <c r="U221" s="4" t="inlineStr">
        <is>
          <t>Sim</t>
        </is>
      </c>
      <c r="V221" s="4" t="inlineStr">
        <is>
          <t>Não</t>
        </is>
      </c>
      <c r="W221" s="4" t="inlineStr"/>
    </row>
    <row r="222">
      <c r="A222" s="4" t="inlineStr">
        <is>
          <t>BTG Pactual</t>
        </is>
      </c>
      <c r="B222" s="4" t="inlineStr">
        <is>
          <t>Vinci Valorem Prev BP FIM RL</t>
        </is>
      </c>
      <c r="C222" s="6" t="inlineStr">
        <is>
          <t>47.564.846/0001-18</t>
        </is>
      </c>
      <c r="D222" s="4" t="inlineStr">
        <is>
          <t>VINCI SOLUÇÕES DE INVESTIMENTOS LTDA</t>
        </is>
      </c>
      <c r="E222" s="4" t="inlineStr">
        <is>
          <t>13.421.810/0001-63</t>
        </is>
      </c>
      <c r="F222" s="4" t="inlineStr">
        <is>
          <t>BTG PACTUAL SERVICOS FINANCEIROS S.A. DISTRIBUIDOR</t>
        </is>
      </c>
      <c r="G222" s="4" t="inlineStr">
        <is>
          <t>Multimercado</t>
        </is>
      </c>
      <c r="H222" s="4" t="inlineStr">
        <is>
          <t>Renda Fixa</t>
        </is>
      </c>
      <c r="I222" s="7" t="n">
        <v>1000</v>
      </c>
      <c r="J222" s="8" t="n">
        <v>1</v>
      </c>
      <c r="K222" s="8" t="n">
        <v>20</v>
      </c>
      <c r="L222" s="4" t="inlineStr">
        <is>
          <t>-</t>
        </is>
      </c>
      <c r="M222" s="5" t="n">
        <v>1</v>
      </c>
      <c r="N222" s="5" t="n">
        <v>2</v>
      </c>
      <c r="O222" s="5" t="n"/>
      <c r="P222" s="4" t="inlineStr">
        <is>
          <t>Curto Prazo</t>
        </is>
      </c>
      <c r="Q222" s="4" t="inlineStr">
        <is>
          <t>Não</t>
        </is>
      </c>
      <c r="R222" s="4" t="inlineStr">
        <is>
          <t>API interna</t>
        </is>
      </c>
      <c r="S222" s="4" t="n">
        <v>1</v>
      </c>
      <c r="T222" s="4" t="inlineStr">
        <is>
          <t>Não</t>
        </is>
      </c>
      <c r="U222" s="4" t="inlineStr">
        <is>
          <t>Sim</t>
        </is>
      </c>
      <c r="V222" s="4" t="inlineStr">
        <is>
          <t>Não</t>
        </is>
      </c>
      <c r="W222" s="4" t="inlineStr"/>
    </row>
    <row r="223">
      <c r="A223" s="4" t="inlineStr">
        <is>
          <t>BTG Pactual</t>
        </is>
      </c>
      <c r="B223" s="4" t="inlineStr">
        <is>
          <t>Vinland Credito P Prev T1 FICFIM CrPr RL</t>
        </is>
      </c>
      <c r="C223" s="6" t="inlineStr">
        <is>
          <t>51.154.059/0001-75</t>
        </is>
      </c>
      <c r="D223" s="4" t="inlineStr">
        <is>
          <t>VINLAND CAPITAL MANAGEMENT CRÉDITO PRIVADO GESTORA DE RECURSOS LTDA.</t>
        </is>
      </c>
      <c r="E223" s="4" t="inlineStr">
        <is>
          <t>31.846.872/0001-07</t>
        </is>
      </c>
      <c r="F223" s="4" t="inlineStr">
        <is>
          <t>BTG PACTUAL SERVICOS FINANCEIROS S.A. DISTRIBUIDOR</t>
        </is>
      </c>
      <c r="G223" s="4" t="inlineStr">
        <is>
          <t>Multimercado</t>
        </is>
      </c>
      <c r="H223" s="4" t="inlineStr">
        <is>
          <t>Renda Fixa</t>
        </is>
      </c>
      <c r="I223" s="7" t="n">
        <v>1000</v>
      </c>
      <c r="J223" s="8" t="n">
        <v>0.7000000000000001</v>
      </c>
      <c r="K223" s="8" t="n">
        <v>20</v>
      </c>
      <c r="L223" s="4" t="inlineStr">
        <is>
          <t>-</t>
        </is>
      </c>
      <c r="M223" s="5" t="n">
        <v>7</v>
      </c>
      <c r="N223" s="5" t="n">
        <v>9</v>
      </c>
      <c r="O223" s="5" t="n"/>
      <c r="P223" s="4" t="inlineStr">
        <is>
          <t>Curto Prazo</t>
        </is>
      </c>
      <c r="Q223" s="4" t="inlineStr">
        <is>
          <t>Não</t>
        </is>
      </c>
      <c r="R223" s="4" t="inlineStr">
        <is>
          <t>API interna</t>
        </is>
      </c>
      <c r="S223" s="4" t="n">
        <v>1</v>
      </c>
      <c r="T223" s="4" t="inlineStr">
        <is>
          <t>Não</t>
        </is>
      </c>
      <c r="U223" s="4" t="inlineStr">
        <is>
          <t>Sim</t>
        </is>
      </c>
      <c r="V223" s="4" t="inlineStr">
        <is>
          <t>Não</t>
        </is>
      </c>
      <c r="W223" s="4" t="inlineStr"/>
    </row>
    <row r="224">
      <c r="A224" s="4" t="inlineStr">
        <is>
          <t>BTG Pactual</t>
        </is>
      </c>
      <c r="B224" s="4" t="inlineStr">
        <is>
          <t>Vinland Macro P V Prev FICFIM RL</t>
        </is>
      </c>
      <c r="C224" s="6" t="inlineStr">
        <is>
          <t>43.794.322/0001-62</t>
        </is>
      </c>
      <c r="D224" s="4" t="inlineStr">
        <is>
          <t>VINLAND CAPITAL MANAGEMENT GESTORA DE RECURSOS LTDA.</t>
        </is>
      </c>
      <c r="E224" s="4" t="inlineStr">
        <is>
          <t>07.341.777/0001-69</t>
        </is>
      </c>
      <c r="F224" s="4" t="inlineStr">
        <is>
          <t>BTG PACTUAL SERVICOS FINANCEIROS S.A. DISTRIBUIDOR</t>
        </is>
      </c>
      <c r="G224" s="4" t="inlineStr">
        <is>
          <t>Multimercado</t>
        </is>
      </c>
      <c r="H224" s="4" t="inlineStr">
        <is>
          <t>Multimercado</t>
        </is>
      </c>
      <c r="I224" s="7" t="n">
        <v>1000</v>
      </c>
      <c r="J224" s="8" t="n">
        <v>2</v>
      </c>
      <c r="K224" s="8" t="n">
        <v>20</v>
      </c>
      <c r="L224" s="4" t="inlineStr">
        <is>
          <t>-</t>
        </is>
      </c>
      <c r="M224" s="5" t="n">
        <v>7</v>
      </c>
      <c r="N224" s="5" t="n">
        <v>10</v>
      </c>
      <c r="O224" s="5" t="n"/>
      <c r="P224" s="4" t="inlineStr">
        <is>
          <t>Curto Prazo</t>
        </is>
      </c>
      <c r="Q224" s="4" t="inlineStr">
        <is>
          <t>Não</t>
        </is>
      </c>
      <c r="R224" s="4" t="inlineStr">
        <is>
          <t>API interna</t>
        </is>
      </c>
      <c r="S224" s="4" t="n">
        <v>1</v>
      </c>
      <c r="T224" s="4" t="inlineStr">
        <is>
          <t>Não</t>
        </is>
      </c>
      <c r="U224" s="4" t="inlineStr">
        <is>
          <t>Sim</t>
        </is>
      </c>
      <c r="V224" s="4" t="inlineStr">
        <is>
          <t>Não</t>
        </is>
      </c>
      <c r="W224" s="4" t="inlineStr"/>
    </row>
    <row r="225">
      <c r="A225" s="4" t="inlineStr">
        <is>
          <t>BTG Pactual</t>
        </is>
      </c>
      <c r="B225" s="4" t="inlineStr">
        <is>
          <t>Vinland RF Ativo FICFIRF Prev RL</t>
        </is>
      </c>
      <c r="C225" s="6" t="inlineStr">
        <is>
          <t>45.599.105/0001-47</t>
        </is>
      </c>
      <c r="D225" s="4" t="inlineStr">
        <is>
          <t>VINLAND CAPITAL MANAGEMENT CRÉDITO PRIVADO GESTORA DE RECURSOS LTDA.</t>
        </is>
      </c>
      <c r="E225" s="4" t="inlineStr">
        <is>
          <t>31.846.872/0001-07</t>
        </is>
      </c>
      <c r="F225" s="4" t="inlineStr">
        <is>
          <t>BTG PACTUAL SERVICOS FINANCEIROS S.A. DISTRIBUIDOR</t>
        </is>
      </c>
      <c r="G225" s="4" t="inlineStr">
        <is>
          <t>Renda Fixa</t>
        </is>
      </c>
      <c r="H225" s="4" t="inlineStr">
        <is>
          <t>Renda Fixa</t>
        </is>
      </c>
      <c r="I225" s="7" t="n">
        <v>1000</v>
      </c>
      <c r="J225" s="8" t="n">
        <v>0.7000000000000001</v>
      </c>
      <c r="K225" s="8" t="n">
        <v>20</v>
      </c>
      <c r="L225" s="4" t="inlineStr">
        <is>
          <t>-</t>
        </is>
      </c>
      <c r="M225" s="5" t="n">
        <v>0</v>
      </c>
      <c r="N225" s="5" t="n">
        <v>1</v>
      </c>
      <c r="O225" s="5" t="n"/>
      <c r="P225" s="4" t="inlineStr">
        <is>
          <t>Curto Prazo</t>
        </is>
      </c>
      <c r="Q225" s="4" t="inlineStr">
        <is>
          <t>Não</t>
        </is>
      </c>
      <c r="R225" s="4" t="inlineStr">
        <is>
          <t>API interna</t>
        </is>
      </c>
      <c r="S225" s="4" t="n">
        <v>1</v>
      </c>
      <c r="T225" s="4" t="inlineStr">
        <is>
          <t>Não</t>
        </is>
      </c>
      <c r="U225" s="4" t="inlineStr">
        <is>
          <t>Sim</t>
        </is>
      </c>
      <c r="V225" s="4" t="inlineStr">
        <is>
          <t>Não</t>
        </is>
      </c>
      <c r="W225" s="4" t="inlineStr"/>
    </row>
    <row r="226">
      <c r="A226" s="4" t="inlineStr">
        <is>
          <t>BTG Pactual</t>
        </is>
      </c>
      <c r="B226" s="4" t="inlineStr">
        <is>
          <t>Western Asset Icatu RF Ativo Prev FIF RL</t>
        </is>
      </c>
      <c r="C226" s="6" t="inlineStr">
        <is>
          <t>23.872.787/0001-87</t>
        </is>
      </c>
      <c r="D226" s="4" t="inlineStr">
        <is>
          <t>Franklin Templeton Brasil Ltda.</t>
        </is>
      </c>
      <c r="E226" s="4" t="inlineStr">
        <is>
          <t>07.437.241/0001-41</t>
        </is>
      </c>
      <c r="F226" s="4" t="inlineStr">
        <is>
          <t>FRANKLIN TEMPLETON BRASIL LTDA</t>
        </is>
      </c>
      <c r="G226" s="4" t="inlineStr">
        <is>
          <t>Renda Fixa</t>
        </is>
      </c>
      <c r="H226" s="4" t="inlineStr">
        <is>
          <t>Renda Fixa</t>
        </is>
      </c>
      <c r="I226" s="7" t="n">
        <v>1500</v>
      </c>
      <c r="J226" s="8" t="n">
        <v>0.8</v>
      </c>
      <c r="K226" s="8" t="n"/>
      <c r="L226" s="4" t="inlineStr"/>
      <c r="M226" s="5" t="n">
        <v>0</v>
      </c>
      <c r="N226" s="5" t="n">
        <v>1</v>
      </c>
      <c r="O226" s="5" t="n"/>
      <c r="P226" s="4" t="inlineStr">
        <is>
          <t>Não Aplicável</t>
        </is>
      </c>
      <c r="Q226" s="4" t="inlineStr">
        <is>
          <t>Não</t>
        </is>
      </c>
      <c r="R226" s="4" t="inlineStr">
        <is>
          <t>API interna</t>
        </is>
      </c>
      <c r="S226" s="4" t="n">
        <v>1</v>
      </c>
      <c r="T226" s="4" t="inlineStr">
        <is>
          <t>Não</t>
        </is>
      </c>
      <c r="U226" s="4" t="inlineStr">
        <is>
          <t>Sim</t>
        </is>
      </c>
      <c r="V226" s="4" t="inlineStr">
        <is>
          <t>Não</t>
        </is>
      </c>
      <c r="W226" s="4" t="inlineStr"/>
    </row>
    <row r="227">
      <c r="A227" s="4" t="inlineStr">
        <is>
          <t>BTG Pactual</t>
        </is>
      </c>
      <c r="B227" s="4" t="inlineStr">
        <is>
          <t>Zermatt Prev FIM CrPr RL</t>
        </is>
      </c>
      <c r="C227" s="6" t="inlineStr">
        <is>
          <t>52.900.509/0001-94</t>
        </is>
      </c>
      <c r="D227" s="4" t="inlineStr">
        <is>
          <t>PATRIMONIAL GESTÃO DE RECURSOS LTDA.</t>
        </is>
      </c>
      <c r="E227" s="4" t="inlineStr">
        <is>
          <t>30.135.282/0001-03</t>
        </is>
      </c>
      <c r="F227" s="4" t="inlineStr">
        <is>
          <t>BTG PACTUAL SERVICOS FINANCEIROS S.A. DISTRIBUIDOR</t>
        </is>
      </c>
      <c r="G227" s="4" t="inlineStr">
        <is>
          <t>Multimercado</t>
        </is>
      </c>
      <c r="H227" s="4" t="inlineStr">
        <is>
          <t>Renda Fixa</t>
        </is>
      </c>
      <c r="I227" s="7" t="n">
        <v>1000</v>
      </c>
      <c r="J227" s="8" t="n">
        <v>1</v>
      </c>
      <c r="K227" s="8" t="n"/>
      <c r="L227" s="4" t="inlineStr"/>
      <c r="M227" s="5" t="n">
        <v>7</v>
      </c>
      <c r="N227" s="5" t="n">
        <v>9</v>
      </c>
      <c r="O227" s="5" t="n"/>
      <c r="P227" s="4" t="inlineStr">
        <is>
          <t>Longo Prazo</t>
        </is>
      </c>
      <c r="Q227" s="4" t="inlineStr">
        <is>
          <t>Não</t>
        </is>
      </c>
      <c r="R227" s="4" t="inlineStr">
        <is>
          <t>API interna</t>
        </is>
      </c>
      <c r="S227" s="4" t="n">
        <v>1</v>
      </c>
      <c r="T227" s="4" t="inlineStr">
        <is>
          <t>Não</t>
        </is>
      </c>
      <c r="U227" s="4" t="inlineStr">
        <is>
          <t>Sim</t>
        </is>
      </c>
      <c r="V227" s="4" t="inlineStr">
        <is>
          <t>Não</t>
        </is>
      </c>
      <c r="W227" s="4" t="inlineStr"/>
    </row>
  </sheetData>
  <autoFilter ref="A1:W22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34" customWidth="1" min="4" max="4"/>
    <col width="20" customWidth="1" min="5" max="5"/>
    <col width="30" customWidth="1" min="6" max="6"/>
    <col width="16" customWidth="1" min="7" max="7"/>
    <col width="30" customWidth="1" min="8" max="8"/>
    <col width="20" customWidth="1" min="9" max="9"/>
    <col width="14" customWidth="1" min="10" max="10"/>
    <col width="14" customWidth="1" min="11" max="11"/>
    <col width="14" customWidth="1" min="12" max="12"/>
    <col width="20" customWidth="1" min="13" max="13"/>
    <col width="21" customWidth="1" min="14" max="14"/>
    <col width="15" customWidth="1" min="15" max="15"/>
    <col width="16" customWidth="1" min="16" max="16"/>
    <col width="19" customWidth="1" min="17" max="17"/>
    <col width="26" customWidth="1" min="18" max="18"/>
    <col width="12" customWidth="1" min="19" max="19"/>
    <col width="13" customWidth="1" min="20" max="20"/>
    <col width="17" customWidth="1" min="21" max="21"/>
    <col width="13" customWidth="1" min="22" max="22"/>
    <col width="42" customWidth="1" min="23" max="23"/>
  </cols>
  <sheetData>
    <row r="1" ht="30" customHeight="1">
      <c r="A1" s="3" t="inlineStr">
        <is>
          <t>Plataforma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Gestora</t>
        </is>
      </c>
      <c r="E1" s="3" t="inlineStr">
        <is>
          <t>CNPJ da gestora</t>
        </is>
      </c>
      <c r="F1" s="3" t="inlineStr">
        <is>
          <t>Administrador</t>
        </is>
      </c>
      <c r="G1" s="3" t="inlineStr">
        <is>
          <t>Classe</t>
        </is>
      </c>
      <c r="H1" s="3" t="inlineStr">
        <is>
          <t>Categoria na origem</t>
        </is>
      </c>
      <c r="I1" s="3" t="inlineStr">
        <is>
          <t>Aplicação mínima (R$)</t>
        </is>
      </c>
      <c r="J1" s="3" t="inlineStr">
        <is>
          <t>Taxa adm (%)</t>
        </is>
      </c>
      <c r="K1" s="3" t="inlineStr">
        <is>
          <t>Taxa perf (%)</t>
        </is>
      </c>
      <c r="L1" s="3" t="inlineStr">
        <is>
          <t>Benchmark</t>
        </is>
      </c>
      <c r="M1" s="3" t="inlineStr">
        <is>
          <t>Cotização resgate (D+)</t>
        </is>
      </c>
      <c r="N1" s="3" t="inlineStr">
        <is>
          <t>Líquidação resgate (D+)</t>
        </is>
      </c>
      <c r="O1" s="3" t="inlineStr">
        <is>
          <t>Carência (dias)</t>
        </is>
      </c>
      <c r="P1" s="3" t="inlineStr">
        <is>
          <t>Tributação</t>
        </is>
      </c>
      <c r="Q1" s="3" t="inlineStr">
        <is>
          <t>Fechado p/ captação</t>
        </is>
      </c>
      <c r="R1" s="3" t="inlineStr">
        <is>
          <t>Fontes</t>
        </is>
      </c>
      <c r="S1" s="3" t="inlineStr">
        <is>
          <t>Nº de fontes</t>
        </is>
      </c>
      <c r="T1" s="3" t="inlineStr">
        <is>
          <t>Open Finance</t>
        </is>
      </c>
      <c r="U1" s="3" t="inlineStr">
        <is>
          <t>Prateleira (site)</t>
        </is>
      </c>
      <c r="V1" s="3" t="inlineStr">
        <is>
          <t>Área logada</t>
        </is>
      </c>
      <c r="W1" s="3" t="inlineStr">
        <is>
          <t>Link</t>
        </is>
      </c>
    </row>
    <row r="2">
      <c r="A2" s="4" t="inlineStr">
        <is>
          <t>Itaú Private</t>
        </is>
      </c>
      <c r="B2" s="4" t="inlineStr">
        <is>
          <t>Canvas Enduro Prev PVT MM</t>
        </is>
      </c>
      <c r="C2" s="6" t="inlineStr"/>
      <c r="D2" s="4" t="inlineStr">
        <is>
          <t>CANVAS CAPITAL S.A.</t>
        </is>
      </c>
      <c r="E2" s="4" t="inlineStr"/>
      <c r="F2" s="4" t="inlineStr"/>
      <c r="G2" s="4" t="inlineStr">
        <is>
          <t>Multimercado</t>
        </is>
      </c>
      <c r="H2" s="4" t="inlineStr">
        <is>
          <t>Multimercados</t>
        </is>
      </c>
      <c r="I2" s="7" t="n"/>
      <c r="J2" s="8" t="n">
        <v>2</v>
      </c>
      <c r="K2" s="8" t="n"/>
      <c r="L2" s="4" t="inlineStr"/>
      <c r="M2" s="5" t="n"/>
      <c r="N2" s="5" t="n"/>
      <c r="O2" s="5" t="n"/>
      <c r="P2" s="4" t="inlineStr"/>
      <c r="Q2" s="4" t="inlineStr">
        <is>
          <t>Não</t>
        </is>
      </c>
      <c r="R2" s="4" t="inlineStr">
        <is>
          <t>Site (HTML)</t>
        </is>
      </c>
      <c r="S2" s="4" t="n">
        <v>1</v>
      </c>
      <c r="T2" s="4" t="inlineStr">
        <is>
          <t>Não</t>
        </is>
      </c>
      <c r="U2" s="4" t="inlineStr">
        <is>
          <t>Sim</t>
        </is>
      </c>
      <c r="V2" s="4" t="inlineStr">
        <is>
          <t>Não</t>
        </is>
      </c>
      <c r="W2" s="4" t="inlineStr"/>
    </row>
    <row r="3">
      <c r="A3" s="4" t="inlineStr">
        <is>
          <t>Itaú Private</t>
        </is>
      </c>
      <c r="B3" s="4" t="inlineStr">
        <is>
          <t>Flexprev CP Ativo II</t>
        </is>
      </c>
      <c r="C3" s="6" t="inlineStr"/>
      <c r="D3" s="4" t="inlineStr"/>
      <c r="E3" s="4" t="inlineStr"/>
      <c r="F3" s="4" t="inlineStr"/>
      <c r="G3" s="4" t="inlineStr">
        <is>
          <t>Multimercado</t>
        </is>
      </c>
      <c r="H3" s="4" t="inlineStr">
        <is>
          <t>PREVIDÊNCIA - Renda Fixa</t>
        </is>
      </c>
      <c r="I3" s="7" t="n"/>
      <c r="J3" s="8" t="n"/>
      <c r="K3" s="8" t="n"/>
      <c r="L3" s="4" t="inlineStr"/>
      <c r="M3" s="5" t="n"/>
      <c r="N3" s="5" t="n"/>
      <c r="O3" s="5" t="n"/>
      <c r="P3" s="4" t="inlineStr"/>
      <c r="Q3" s="4" t="inlineStr">
        <is>
          <t>Sim</t>
        </is>
      </c>
      <c r="R3" s="4" t="inlineStr">
        <is>
          <t>Site (HTML)</t>
        </is>
      </c>
      <c r="S3" s="4" t="n">
        <v>1</v>
      </c>
      <c r="T3" s="4" t="inlineStr">
        <is>
          <t>Não</t>
        </is>
      </c>
      <c r="U3" s="4" t="inlineStr">
        <is>
          <t>Sim</t>
        </is>
      </c>
      <c r="V3" s="4" t="inlineStr">
        <is>
          <t>Não</t>
        </is>
      </c>
      <c r="W3" s="4" t="inlineStr"/>
    </row>
    <row r="4">
      <c r="A4" s="4" t="inlineStr">
        <is>
          <t>Itaú Private</t>
        </is>
      </c>
      <c r="B4" s="4" t="inlineStr">
        <is>
          <t>Flexprev Private DI</t>
        </is>
      </c>
      <c r="C4" s="6" t="inlineStr"/>
      <c r="D4" s="4" t="inlineStr"/>
      <c r="E4" s="4" t="inlineStr"/>
      <c r="F4" s="4" t="inlineStr"/>
      <c r="G4" s="4" t="inlineStr">
        <is>
          <t>Renda Fixa</t>
        </is>
      </c>
      <c r="H4" s="4" t="inlineStr">
        <is>
          <t>Juros Pós-Fixados</t>
        </is>
      </c>
      <c r="I4" s="7" t="n"/>
      <c r="J4" s="8" t="n">
        <v>1</v>
      </c>
      <c r="K4" s="8" t="n"/>
      <c r="L4" s="4" t="inlineStr"/>
      <c r="M4" s="5" t="n"/>
      <c r="N4" s="5" t="n"/>
      <c r="O4" s="5" t="n"/>
      <c r="P4" s="4" t="inlineStr"/>
      <c r="Q4" s="4" t="inlineStr">
        <is>
          <t>Sim</t>
        </is>
      </c>
      <c r="R4" s="4" t="inlineStr">
        <is>
          <t>Site (HTML)</t>
        </is>
      </c>
      <c r="S4" s="4" t="n">
        <v>1</v>
      </c>
      <c r="T4" s="4" t="inlineStr">
        <is>
          <t>Não</t>
        </is>
      </c>
      <c r="U4" s="4" t="inlineStr">
        <is>
          <t>Sim</t>
        </is>
      </c>
      <c r="V4" s="4" t="inlineStr">
        <is>
          <t>Não</t>
        </is>
      </c>
      <c r="W4" s="4" t="inlineStr"/>
    </row>
    <row r="5">
      <c r="A5" s="4" t="inlineStr">
        <is>
          <t>Itaú Private</t>
        </is>
      </c>
      <c r="B5" s="4" t="inlineStr">
        <is>
          <t>Itau Private Prev Kinea Rf</t>
        </is>
      </c>
      <c r="C5" s="6" t="inlineStr"/>
      <c r="D5" s="4" t="inlineStr">
        <is>
          <t>ITAU UNIBANCO S.A.</t>
        </is>
      </c>
      <c r="E5" s="4" t="inlineStr"/>
      <c r="F5" s="4" t="inlineStr"/>
      <c r="G5" s="4" t="inlineStr">
        <is>
          <t>Renda Fixa</t>
        </is>
      </c>
      <c r="H5" s="4" t="inlineStr">
        <is>
          <t>Juros Pós-Fixados</t>
        </is>
      </c>
      <c r="I5" s="7" t="n"/>
      <c r="J5" s="8" t="n">
        <v>0.8</v>
      </c>
      <c r="K5" s="8" t="n"/>
      <c r="L5" s="4" t="inlineStr"/>
      <c r="M5" s="5" t="n"/>
      <c r="N5" s="5" t="n"/>
      <c r="O5" s="5" t="n"/>
      <c r="P5" s="4" t="inlineStr"/>
      <c r="Q5" s="4" t="inlineStr">
        <is>
          <t>Não</t>
        </is>
      </c>
      <c r="R5" s="4" t="inlineStr">
        <is>
          <t>Site (HTML)</t>
        </is>
      </c>
      <c r="S5" s="4" t="n">
        <v>1</v>
      </c>
      <c r="T5" s="4" t="inlineStr">
        <is>
          <t>Não</t>
        </is>
      </c>
      <c r="U5" s="4" t="inlineStr">
        <is>
          <t>Sim</t>
        </is>
      </c>
      <c r="V5" s="4" t="inlineStr">
        <is>
          <t>Não</t>
        </is>
      </c>
      <c r="W5" s="4" t="inlineStr"/>
    </row>
    <row r="6">
      <c r="A6" s="4" t="inlineStr">
        <is>
          <t>Itaú Private</t>
        </is>
      </c>
      <c r="B6" s="4" t="inlineStr">
        <is>
          <t>Itau Private Prev Kinea XTR</t>
        </is>
      </c>
      <c r="C6" s="6" t="inlineStr"/>
      <c r="D6" s="4" t="inlineStr">
        <is>
          <t>ITAU UNIBANCO S.A.</t>
        </is>
      </c>
      <c r="E6" s="4" t="inlineStr"/>
      <c r="F6" s="4" t="inlineStr"/>
      <c r="G6" s="4" t="inlineStr">
        <is>
          <t>Renda Fixa</t>
        </is>
      </c>
      <c r="H6" s="4" t="inlineStr">
        <is>
          <t>Multimercados</t>
        </is>
      </c>
      <c r="I6" s="7" t="n"/>
      <c r="J6" s="8" t="n">
        <v>2</v>
      </c>
      <c r="K6" s="8" t="n"/>
      <c r="L6" s="4" t="inlineStr"/>
      <c r="M6" s="5" t="n"/>
      <c r="N6" s="5" t="n"/>
      <c r="O6" s="5" t="n"/>
      <c r="P6" s="4" t="inlineStr"/>
      <c r="Q6" s="4" t="inlineStr">
        <is>
          <t>Sim</t>
        </is>
      </c>
      <c r="R6" s="4" t="inlineStr">
        <is>
          <t>Site (HTML)</t>
        </is>
      </c>
      <c r="S6" s="4" t="n">
        <v>1</v>
      </c>
      <c r="T6" s="4" t="inlineStr">
        <is>
          <t>Não</t>
        </is>
      </c>
      <c r="U6" s="4" t="inlineStr">
        <is>
          <t>Sim</t>
        </is>
      </c>
      <c r="V6" s="4" t="inlineStr">
        <is>
          <t>Não</t>
        </is>
      </c>
      <c r="W6" s="4" t="inlineStr"/>
    </row>
    <row r="7">
      <c r="A7" s="4" t="inlineStr">
        <is>
          <t>Itaú Private</t>
        </is>
      </c>
      <c r="B7" s="4" t="inlineStr">
        <is>
          <t>Itaú Prev Verde MM</t>
        </is>
      </c>
      <c r="C7" s="6" t="inlineStr"/>
      <c r="D7" s="4" t="inlineStr">
        <is>
          <t>ITAU UNIBANCO S.A.</t>
        </is>
      </c>
      <c r="E7" s="4" t="inlineStr"/>
      <c r="F7" s="4" t="inlineStr"/>
      <c r="G7" s="4" t="inlineStr">
        <is>
          <t>Multimercado</t>
        </is>
      </c>
      <c r="H7" s="4" t="inlineStr">
        <is>
          <t>Multimercados</t>
        </is>
      </c>
      <c r="I7" s="7" t="n"/>
      <c r="J7" s="8" t="n">
        <v>2</v>
      </c>
      <c r="K7" s="8" t="n"/>
      <c r="L7" s="4" t="inlineStr"/>
      <c r="M7" s="5" t="n"/>
      <c r="N7" s="5" t="n"/>
      <c r="O7" s="5" t="n"/>
      <c r="P7" s="4" t="inlineStr"/>
      <c r="Q7" s="4" t="inlineStr">
        <is>
          <t>Sim</t>
        </is>
      </c>
      <c r="R7" s="4" t="inlineStr">
        <is>
          <t>Site (HTML)</t>
        </is>
      </c>
      <c r="S7" s="4" t="n">
        <v>1</v>
      </c>
      <c r="T7" s="4" t="inlineStr">
        <is>
          <t>Não</t>
        </is>
      </c>
      <c r="U7" s="4" t="inlineStr">
        <is>
          <t>Sim</t>
        </is>
      </c>
      <c r="V7" s="4" t="inlineStr">
        <is>
          <t>Não</t>
        </is>
      </c>
      <c r="W7" s="4" t="inlineStr"/>
    </row>
    <row r="8">
      <c r="A8" s="4" t="inlineStr">
        <is>
          <t>Itaú Private</t>
        </is>
      </c>
      <c r="B8" s="4" t="inlineStr">
        <is>
          <t>Kinea Prev Credito Privado</t>
        </is>
      </c>
      <c r="C8" s="6" t="inlineStr"/>
      <c r="D8" s="4" t="inlineStr"/>
      <c r="E8" s="4" t="inlineStr"/>
      <c r="F8" s="4" t="inlineStr"/>
      <c r="G8" s="4" t="inlineStr">
        <is>
          <t>Renda Fixa</t>
        </is>
      </c>
      <c r="H8" s="4" t="inlineStr">
        <is>
          <t>Juros Pós-Fixados</t>
        </is>
      </c>
      <c r="I8" s="7" t="n"/>
      <c r="J8" s="8" t="n">
        <v>0.6</v>
      </c>
      <c r="K8" s="8" t="n"/>
      <c r="L8" s="4" t="inlineStr"/>
      <c r="M8" s="5" t="n"/>
      <c r="N8" s="5" t="n"/>
      <c r="O8" s="5" t="n"/>
      <c r="P8" s="4" t="inlineStr"/>
      <c r="Q8" s="4" t="inlineStr">
        <is>
          <t>Sim</t>
        </is>
      </c>
      <c r="R8" s="4" t="inlineStr">
        <is>
          <t>Site (HTML)</t>
        </is>
      </c>
      <c r="S8" s="4" t="n">
        <v>1</v>
      </c>
      <c r="T8" s="4" t="inlineStr">
        <is>
          <t>Não</t>
        </is>
      </c>
      <c r="U8" s="4" t="inlineStr">
        <is>
          <t>Sim</t>
        </is>
      </c>
      <c r="V8" s="4" t="inlineStr">
        <is>
          <t>Não</t>
        </is>
      </c>
      <c r="W8" s="4" t="inlineStr"/>
    </row>
    <row r="9">
      <c r="A9" s="4" t="inlineStr">
        <is>
          <t>Itaú Private</t>
        </is>
      </c>
      <c r="B9" s="4" t="inlineStr">
        <is>
          <t>Kinea XTR II Prev PVT MM</t>
        </is>
      </c>
      <c r="C9" s="6" t="inlineStr"/>
      <c r="D9" s="4" t="inlineStr"/>
      <c r="E9" s="4" t="inlineStr"/>
      <c r="F9" s="4" t="inlineStr"/>
      <c r="G9" s="4" t="inlineStr">
        <is>
          <t>Multimercado</t>
        </is>
      </c>
      <c r="H9" s="4" t="inlineStr">
        <is>
          <t>Multimercados</t>
        </is>
      </c>
      <c r="I9" s="7" t="n"/>
      <c r="J9" s="8" t="n">
        <v>1.5</v>
      </c>
      <c r="K9" s="8" t="n"/>
      <c r="L9" s="4" t="inlineStr"/>
      <c r="M9" s="5" t="n"/>
      <c r="N9" s="5" t="n"/>
      <c r="O9" s="5" t="n"/>
      <c r="P9" s="4" t="inlineStr"/>
      <c r="Q9" s="4" t="inlineStr">
        <is>
          <t>Sim</t>
        </is>
      </c>
      <c r="R9" s="4" t="inlineStr">
        <is>
          <t>Site (HTML)</t>
        </is>
      </c>
      <c r="S9" s="4" t="n">
        <v>1</v>
      </c>
      <c r="T9" s="4" t="inlineStr">
        <is>
          <t>Não</t>
        </is>
      </c>
      <c r="U9" s="4" t="inlineStr">
        <is>
          <t>Sim</t>
        </is>
      </c>
      <c r="V9" s="4" t="inlineStr">
        <is>
          <t>Não</t>
        </is>
      </c>
      <c r="W9" s="4" t="inlineStr"/>
    </row>
    <row r="10">
      <c r="A10" s="4" t="inlineStr">
        <is>
          <t>Itaú Private</t>
        </is>
      </c>
      <c r="B10" s="4" t="inlineStr">
        <is>
          <t>PRIVATE PREV TRUXT ACOES</t>
        </is>
      </c>
      <c r="C10" s="6" t="inlineStr"/>
      <c r="D10" s="4" t="inlineStr"/>
      <c r="E10" s="4" t="inlineStr"/>
      <c r="F10" s="4" t="inlineStr"/>
      <c r="G10" s="4" t="inlineStr">
        <is>
          <t>Ações</t>
        </is>
      </c>
      <c r="H10" s="4" t="inlineStr">
        <is>
          <t>Multimercados</t>
        </is>
      </c>
      <c r="I10" s="7" t="n"/>
      <c r="J10" s="8" t="n">
        <v>3</v>
      </c>
      <c r="K10" s="8" t="n"/>
      <c r="L10" s="4" t="inlineStr"/>
      <c r="M10" s="5" t="n"/>
      <c r="N10" s="5" t="n"/>
      <c r="O10" s="5" t="n"/>
      <c r="P10" s="4" t="inlineStr"/>
      <c r="Q10" s="4" t="inlineStr">
        <is>
          <t>Não</t>
        </is>
      </c>
      <c r="R10" s="4" t="inlineStr">
        <is>
          <t>Site (HTML)</t>
        </is>
      </c>
      <c r="S10" s="4" t="n">
        <v>1</v>
      </c>
      <c r="T10" s="4" t="inlineStr">
        <is>
          <t>Não</t>
        </is>
      </c>
      <c r="U10" s="4" t="inlineStr">
        <is>
          <t>Sim</t>
        </is>
      </c>
      <c r="V10" s="4" t="inlineStr">
        <is>
          <t>Não</t>
        </is>
      </c>
      <c r="W10" s="4" t="inlineStr"/>
    </row>
    <row r="11">
      <c r="A11" s="4" t="inlineStr">
        <is>
          <t>Itaú Private</t>
        </is>
      </c>
      <c r="B11" s="4" t="inlineStr">
        <is>
          <t>Platinum III</t>
        </is>
      </c>
      <c r="C11" s="6" t="inlineStr"/>
      <c r="D11" s="4" t="inlineStr">
        <is>
          <t>PLATINUM CAPITAL GESTÃO DE RECURSOS LTDA.</t>
        </is>
      </c>
      <c r="E11" s="4" t="inlineStr"/>
      <c r="F11" s="4" t="inlineStr"/>
      <c r="G11" s="4" t="inlineStr">
        <is>
          <t>Renda Fixa</t>
        </is>
      </c>
      <c r="H11" s="4" t="inlineStr">
        <is>
          <t>Juros Prefixados</t>
        </is>
      </c>
      <c r="I11" s="7" t="n"/>
      <c r="J11" s="8" t="n">
        <v>0.6</v>
      </c>
      <c r="K11" s="8" t="n"/>
      <c r="L11" s="4" t="inlineStr"/>
      <c r="M11" s="5" t="n"/>
      <c r="N11" s="5" t="n"/>
      <c r="O11" s="5" t="n"/>
      <c r="P11" s="4" t="inlineStr"/>
      <c r="Q11" s="4" t="inlineStr">
        <is>
          <t>Não</t>
        </is>
      </c>
      <c r="R11" s="4" t="inlineStr">
        <is>
          <t>Site (HTML)</t>
        </is>
      </c>
      <c r="S11" s="4" t="n">
        <v>1</v>
      </c>
      <c r="T11" s="4" t="inlineStr">
        <is>
          <t>Não</t>
        </is>
      </c>
      <c r="U11" s="4" t="inlineStr">
        <is>
          <t>Sim</t>
        </is>
      </c>
      <c r="V11" s="4" t="inlineStr">
        <is>
          <t>Não</t>
        </is>
      </c>
      <c r="W11" s="4" t="inlineStr"/>
    </row>
    <row r="12">
      <c r="A12" s="4" t="inlineStr">
        <is>
          <t>Itaú Private</t>
        </is>
      </c>
      <c r="B12" s="4" t="inlineStr">
        <is>
          <t>Private Juro Real Target 2026 II</t>
        </is>
      </c>
      <c r="C12" s="6" t="inlineStr"/>
      <c r="D12" s="4" t="inlineStr"/>
      <c r="E12" s="4" t="inlineStr"/>
      <c r="F12" s="4" t="inlineStr"/>
      <c r="G12" s="4" t="inlineStr">
        <is>
          <t>Renda Fixa</t>
        </is>
      </c>
      <c r="H12" s="4" t="inlineStr">
        <is>
          <t>Inflação</t>
        </is>
      </c>
      <c r="I12" s="7" t="n"/>
      <c r="J12" s="8" t="n">
        <v>0.5</v>
      </c>
      <c r="K12" s="8" t="n"/>
      <c r="L12" s="4" t="inlineStr"/>
      <c r="M12" s="5" t="n"/>
      <c r="N12" s="5" t="n"/>
      <c r="O12" s="5" t="n"/>
      <c r="P12" s="4" t="inlineStr"/>
      <c r="Q12" s="4" t="inlineStr">
        <is>
          <t>Não</t>
        </is>
      </c>
      <c r="R12" s="4" t="inlineStr">
        <is>
          <t>Site (HTML)</t>
        </is>
      </c>
      <c r="S12" s="4" t="n">
        <v>1</v>
      </c>
      <c r="T12" s="4" t="inlineStr">
        <is>
          <t>Não</t>
        </is>
      </c>
      <c r="U12" s="4" t="inlineStr">
        <is>
          <t>Sim</t>
        </is>
      </c>
      <c r="V12" s="4" t="inlineStr">
        <is>
          <t>Não</t>
        </is>
      </c>
      <c r="W12" s="4" t="inlineStr"/>
    </row>
    <row r="13">
      <c r="A13" s="4" t="inlineStr">
        <is>
          <t>Itaú Private</t>
        </is>
      </c>
      <c r="B13" s="4" t="inlineStr">
        <is>
          <t>Private Juro Real Target 2030 II</t>
        </is>
      </c>
      <c r="C13" s="6" t="inlineStr"/>
      <c r="D13" s="4" t="inlineStr"/>
      <c r="E13" s="4" t="inlineStr"/>
      <c r="F13" s="4" t="inlineStr"/>
      <c r="G13" s="4" t="inlineStr">
        <is>
          <t>Renda Fixa</t>
        </is>
      </c>
      <c r="H13" s="4" t="inlineStr">
        <is>
          <t>Inflação</t>
        </is>
      </c>
      <c r="I13" s="7" t="n"/>
      <c r="J13" s="8" t="n">
        <v>0.5</v>
      </c>
      <c r="K13" s="8" t="n"/>
      <c r="L13" s="4" t="inlineStr"/>
      <c r="M13" s="5" t="n"/>
      <c r="N13" s="5" t="n"/>
      <c r="O13" s="5" t="n"/>
      <c r="P13" s="4" t="inlineStr"/>
      <c r="Q13" s="4" t="inlineStr">
        <is>
          <t>Não</t>
        </is>
      </c>
      <c r="R13" s="4" t="inlineStr">
        <is>
          <t>Site (HTML)</t>
        </is>
      </c>
      <c r="S13" s="4" t="n">
        <v>1</v>
      </c>
      <c r="T13" s="4" t="inlineStr">
        <is>
          <t>Não</t>
        </is>
      </c>
      <c r="U13" s="4" t="inlineStr">
        <is>
          <t>Sim</t>
        </is>
      </c>
      <c r="V13" s="4" t="inlineStr">
        <is>
          <t>Não</t>
        </is>
      </c>
      <c r="W13" s="4" t="inlineStr"/>
    </row>
    <row r="14">
      <c r="A14" s="4" t="inlineStr">
        <is>
          <t>Itaú Private</t>
        </is>
      </c>
      <c r="B14" s="4" t="inlineStr">
        <is>
          <t>Private Juro Real Target 2035 II</t>
        </is>
      </c>
      <c r="C14" s="6" t="inlineStr"/>
      <c r="D14" s="4" t="inlineStr"/>
      <c r="E14" s="4" t="inlineStr"/>
      <c r="F14" s="4" t="inlineStr"/>
      <c r="G14" s="4" t="inlineStr">
        <is>
          <t>Renda Fixa</t>
        </is>
      </c>
      <c r="H14" s="4" t="inlineStr">
        <is>
          <t>Inflação</t>
        </is>
      </c>
      <c r="I14" s="7" t="n"/>
      <c r="J14" s="8" t="n">
        <v>0.5</v>
      </c>
      <c r="K14" s="8" t="n"/>
      <c r="L14" s="4" t="inlineStr"/>
      <c r="M14" s="5" t="n"/>
      <c r="N14" s="5" t="n"/>
      <c r="O14" s="5" t="n"/>
      <c r="P14" s="4" t="inlineStr"/>
      <c r="Q14" s="4" t="inlineStr">
        <is>
          <t>Não</t>
        </is>
      </c>
      <c r="R14" s="4" t="inlineStr">
        <is>
          <t>Site (HTML)</t>
        </is>
      </c>
      <c r="S14" s="4" t="n">
        <v>1</v>
      </c>
      <c r="T14" s="4" t="inlineStr">
        <is>
          <t>Não</t>
        </is>
      </c>
      <c r="U14" s="4" t="inlineStr">
        <is>
          <t>Sim</t>
        </is>
      </c>
      <c r="V14" s="4" t="inlineStr">
        <is>
          <t>Não</t>
        </is>
      </c>
      <c r="W14" s="4" t="inlineStr"/>
    </row>
    <row r="15">
      <c r="A15" s="4" t="inlineStr">
        <is>
          <t>Itaú Private</t>
        </is>
      </c>
      <c r="B15" s="4" t="inlineStr">
        <is>
          <t>Private Juro Real Target II 2024</t>
        </is>
      </c>
      <c r="C15" s="6" t="inlineStr"/>
      <c r="D15" s="4" t="inlineStr"/>
      <c r="E15" s="4" t="inlineStr"/>
      <c r="F15" s="4" t="inlineStr"/>
      <c r="G15" s="4" t="inlineStr">
        <is>
          <t>Renda Fixa</t>
        </is>
      </c>
      <c r="H15" s="4" t="inlineStr">
        <is>
          <t>Inflação</t>
        </is>
      </c>
      <c r="I15" s="7" t="n"/>
      <c r="J15" s="8" t="n">
        <v>0.5</v>
      </c>
      <c r="K15" s="8" t="n"/>
      <c r="L15" s="4" t="inlineStr"/>
      <c r="M15" s="5" t="n"/>
      <c r="N15" s="5" t="n"/>
      <c r="O15" s="5" t="n"/>
      <c r="P15" s="4" t="inlineStr"/>
      <c r="Q15" s="4" t="inlineStr">
        <is>
          <t>Não</t>
        </is>
      </c>
      <c r="R15" s="4" t="inlineStr">
        <is>
          <t>Site (HTML)</t>
        </is>
      </c>
      <c r="S15" s="4" t="n">
        <v>1</v>
      </c>
      <c r="T15" s="4" t="inlineStr">
        <is>
          <t>Não</t>
        </is>
      </c>
      <c r="U15" s="4" t="inlineStr">
        <is>
          <t>Sim</t>
        </is>
      </c>
      <c r="V15" s="4" t="inlineStr">
        <is>
          <t>Não</t>
        </is>
      </c>
      <c r="W15" s="4" t="inlineStr"/>
    </row>
    <row r="16">
      <c r="A16" s="4" t="inlineStr">
        <is>
          <t>Itaú Private</t>
        </is>
      </c>
      <c r="B16" s="4" t="inlineStr">
        <is>
          <t>Private Kinea Multimercado</t>
        </is>
      </c>
      <c r="C16" s="6" t="inlineStr"/>
      <c r="D16" s="4" t="inlineStr"/>
      <c r="E16" s="4" t="inlineStr"/>
      <c r="F16" s="4" t="inlineStr"/>
      <c r="G16" s="4" t="inlineStr">
        <is>
          <t>Multimercado</t>
        </is>
      </c>
      <c r="H16" s="4" t="inlineStr">
        <is>
          <t>Multimercados</t>
        </is>
      </c>
      <c r="I16" s="7" t="n"/>
      <c r="J16" s="8" t="n">
        <v>1.5</v>
      </c>
      <c r="K16" s="8" t="n"/>
      <c r="L16" s="4" t="inlineStr"/>
      <c r="M16" s="5" t="n"/>
      <c r="N16" s="5" t="n"/>
      <c r="O16" s="5" t="n"/>
      <c r="P16" s="4" t="inlineStr"/>
      <c r="Q16" s="4" t="inlineStr">
        <is>
          <t>Sim</t>
        </is>
      </c>
      <c r="R16" s="4" t="inlineStr">
        <is>
          <t>Site (HTML)</t>
        </is>
      </c>
      <c r="S16" s="4" t="n">
        <v>1</v>
      </c>
      <c r="T16" s="4" t="inlineStr">
        <is>
          <t>Não</t>
        </is>
      </c>
      <c r="U16" s="4" t="inlineStr">
        <is>
          <t>Sim</t>
        </is>
      </c>
      <c r="V16" s="4" t="inlineStr">
        <is>
          <t>Não</t>
        </is>
      </c>
      <c r="W16" s="4" t="inlineStr"/>
    </row>
    <row r="17">
      <c r="A17" s="4" t="inlineStr">
        <is>
          <t>Itaú Private</t>
        </is>
      </c>
      <c r="B17" s="4" t="inlineStr">
        <is>
          <t>Private Prev Absolute MM</t>
        </is>
      </c>
      <c r="C17" s="6" t="inlineStr"/>
      <c r="D17" s="4" t="inlineStr"/>
      <c r="E17" s="4" t="inlineStr"/>
      <c r="F17" s="4" t="inlineStr"/>
      <c r="G17" s="4" t="inlineStr">
        <is>
          <t>Multimercado</t>
        </is>
      </c>
      <c r="H17" s="4" t="inlineStr">
        <is>
          <t>Multimercados</t>
        </is>
      </c>
      <c r="I17" s="7" t="n"/>
      <c r="J17" s="8" t="n">
        <v>2</v>
      </c>
      <c r="K17" s="8" t="n"/>
      <c r="L17" s="4" t="inlineStr"/>
      <c r="M17" s="5" t="n"/>
      <c r="N17" s="5" t="n"/>
      <c r="O17" s="5" t="n"/>
      <c r="P17" s="4" t="inlineStr"/>
      <c r="Q17" s="4" t="inlineStr">
        <is>
          <t>Não</t>
        </is>
      </c>
      <c r="R17" s="4" t="inlineStr">
        <is>
          <t>Site (HTML)</t>
        </is>
      </c>
      <c r="S17" s="4" t="n">
        <v>1</v>
      </c>
      <c r="T17" s="4" t="inlineStr">
        <is>
          <t>Não</t>
        </is>
      </c>
      <c r="U17" s="4" t="inlineStr">
        <is>
          <t>Sim</t>
        </is>
      </c>
      <c r="V17" s="4" t="inlineStr">
        <is>
          <t>Não</t>
        </is>
      </c>
      <c r="W17" s="4" t="inlineStr"/>
    </row>
    <row r="18">
      <c r="A18" s="4" t="inlineStr">
        <is>
          <t>Itaú Private</t>
        </is>
      </c>
      <c r="B18" s="4" t="inlineStr">
        <is>
          <t>Private Prev Active Fix</t>
        </is>
      </c>
      <c r="C18" s="6" t="inlineStr"/>
      <c r="D18" s="4" t="inlineStr"/>
      <c r="E18" s="4" t="inlineStr"/>
      <c r="F18" s="4" t="inlineStr"/>
      <c r="G18" s="4" t="inlineStr">
        <is>
          <t>Renda Fixa</t>
        </is>
      </c>
      <c r="H18" s="4" t="inlineStr">
        <is>
          <t>Juros Pós-Fixados</t>
        </is>
      </c>
      <c r="I18" s="7" t="n"/>
      <c r="J18" s="8" t="n">
        <v>0.5</v>
      </c>
      <c r="K18" s="8" t="n"/>
      <c r="L18" s="4" t="inlineStr"/>
      <c r="M18" s="5" t="n"/>
      <c r="N18" s="5" t="n"/>
      <c r="O18" s="5" t="n"/>
      <c r="P18" s="4" t="inlineStr"/>
      <c r="Q18" s="4" t="inlineStr">
        <is>
          <t>Não</t>
        </is>
      </c>
      <c r="R18" s="4" t="inlineStr">
        <is>
          <t>Site (HTML)</t>
        </is>
      </c>
      <c r="S18" s="4" t="n">
        <v>1</v>
      </c>
      <c r="T18" s="4" t="inlineStr">
        <is>
          <t>Não</t>
        </is>
      </c>
      <c r="U18" s="4" t="inlineStr">
        <is>
          <t>Sim</t>
        </is>
      </c>
      <c r="V18" s="4" t="inlineStr">
        <is>
          <t>Não</t>
        </is>
      </c>
      <c r="W18" s="4" t="inlineStr"/>
    </row>
    <row r="19">
      <c r="A19" s="4" t="inlineStr">
        <is>
          <t>Itaú Private</t>
        </is>
      </c>
      <c r="B19" s="4" t="inlineStr">
        <is>
          <t>Private Prev Adam MM VGBL</t>
        </is>
      </c>
      <c r="C19" s="6" t="inlineStr"/>
      <c r="D19" s="4" t="inlineStr"/>
      <c r="E19" s="4" t="inlineStr"/>
      <c r="F19" s="4" t="inlineStr"/>
      <c r="G19" s="4" t="inlineStr">
        <is>
          <t>Renda Fixa</t>
        </is>
      </c>
      <c r="H19" s="4" t="inlineStr">
        <is>
          <t>Multimercados</t>
        </is>
      </c>
      <c r="I19" s="7" t="n"/>
      <c r="J19" s="8" t="n">
        <v>2</v>
      </c>
      <c r="K19" s="8" t="n"/>
      <c r="L19" s="4" t="inlineStr"/>
      <c r="M19" s="5" t="n"/>
      <c r="N19" s="5" t="n"/>
      <c r="O19" s="5" t="n"/>
      <c r="P19" s="4" t="inlineStr"/>
      <c r="Q19" s="4" t="inlineStr">
        <is>
          <t>Não</t>
        </is>
      </c>
      <c r="R19" s="4" t="inlineStr">
        <is>
          <t>Site (HTML)</t>
        </is>
      </c>
      <c r="S19" s="4" t="n">
        <v>1</v>
      </c>
      <c r="T19" s="4" t="inlineStr">
        <is>
          <t>Não</t>
        </is>
      </c>
      <c r="U19" s="4" t="inlineStr">
        <is>
          <t>Sim</t>
        </is>
      </c>
      <c r="V19" s="4" t="inlineStr">
        <is>
          <t>Não</t>
        </is>
      </c>
      <c r="W19" s="4" t="inlineStr"/>
    </row>
    <row r="20">
      <c r="A20" s="4" t="inlineStr">
        <is>
          <t>Itaú Private</t>
        </is>
      </c>
      <c r="B20" s="4" t="inlineStr">
        <is>
          <t>Private Prev Ativo RF</t>
        </is>
      </c>
      <c r="C20" s="6" t="inlineStr"/>
      <c r="D20" s="4" t="inlineStr"/>
      <c r="E20" s="4" t="inlineStr"/>
      <c r="F20" s="4" t="inlineStr"/>
      <c r="G20" s="4" t="inlineStr">
        <is>
          <t>Renda Fixa</t>
        </is>
      </c>
      <c r="H20" s="4" t="inlineStr">
        <is>
          <t>PREVIDÊNCIA - Renda Fixa</t>
        </is>
      </c>
      <c r="I20" s="7" t="n"/>
      <c r="J20" s="8" t="n">
        <v>1.25</v>
      </c>
      <c r="K20" s="8" t="n"/>
      <c r="L20" s="4" t="inlineStr"/>
      <c r="M20" s="5" t="n"/>
      <c r="N20" s="5" t="n"/>
      <c r="O20" s="5" t="n"/>
      <c r="P20" s="4" t="inlineStr"/>
      <c r="Q20" s="4" t="inlineStr">
        <is>
          <t>Não</t>
        </is>
      </c>
      <c r="R20" s="4" t="inlineStr">
        <is>
          <t>Site (HTML)</t>
        </is>
      </c>
      <c r="S20" s="4" t="n">
        <v>1</v>
      </c>
      <c r="T20" s="4" t="inlineStr">
        <is>
          <t>Não</t>
        </is>
      </c>
      <c r="U20" s="4" t="inlineStr">
        <is>
          <t>Sim</t>
        </is>
      </c>
      <c r="V20" s="4" t="inlineStr">
        <is>
          <t>Não</t>
        </is>
      </c>
      <c r="W20" s="4" t="inlineStr"/>
    </row>
    <row r="21">
      <c r="A21" s="4" t="inlineStr">
        <is>
          <t>Itaú Private</t>
        </is>
      </c>
      <c r="B21" s="4" t="inlineStr">
        <is>
          <t>Private Prev Dinamico Crédito Privado</t>
        </is>
      </c>
      <c r="C21" s="6" t="inlineStr"/>
      <c r="D21" s="4" t="inlineStr"/>
      <c r="E21" s="4" t="inlineStr"/>
      <c r="F21" s="4" t="inlineStr"/>
      <c r="G21" s="4" t="inlineStr">
        <is>
          <t>Multimercado</t>
        </is>
      </c>
      <c r="H21" s="4" t="inlineStr">
        <is>
          <t>PREVIDÊNCIA - Renda Fixa</t>
        </is>
      </c>
      <c r="I21" s="7" t="n"/>
      <c r="J21" s="8" t="n">
        <v>1</v>
      </c>
      <c r="K21" s="8" t="n"/>
      <c r="L21" s="4" t="inlineStr"/>
      <c r="M21" s="5" t="n"/>
      <c r="N21" s="5" t="n"/>
      <c r="O21" s="5" t="n"/>
      <c r="P21" s="4" t="inlineStr"/>
      <c r="Q21" s="4" t="inlineStr">
        <is>
          <t>Sim</t>
        </is>
      </c>
      <c r="R21" s="4" t="inlineStr">
        <is>
          <t>Site (HTML)</t>
        </is>
      </c>
      <c r="S21" s="4" t="n">
        <v>1</v>
      </c>
      <c r="T21" s="4" t="inlineStr">
        <is>
          <t>Não</t>
        </is>
      </c>
      <c r="U21" s="4" t="inlineStr">
        <is>
          <t>Sim</t>
        </is>
      </c>
      <c r="V21" s="4" t="inlineStr">
        <is>
          <t>Não</t>
        </is>
      </c>
      <c r="W21" s="4" t="inlineStr"/>
    </row>
    <row r="22">
      <c r="A22" s="4" t="inlineStr">
        <is>
          <t>Itaú Private</t>
        </is>
      </c>
      <c r="B22" s="4" t="inlineStr">
        <is>
          <t>Private Prev Dunamis Ações</t>
        </is>
      </c>
      <c r="C22" s="6" t="inlineStr"/>
      <c r="D22" s="4" t="inlineStr"/>
      <c r="E22" s="4" t="inlineStr"/>
      <c r="F22" s="4" t="inlineStr"/>
      <c r="G22" s="4" t="inlineStr">
        <is>
          <t>Multimercado</t>
        </is>
      </c>
      <c r="H22" s="4" t="inlineStr">
        <is>
          <t>Ações</t>
        </is>
      </c>
      <c r="I22" s="7" t="n"/>
      <c r="J22" s="8" t="n">
        <v>2</v>
      </c>
      <c r="K22" s="8" t="n"/>
      <c r="L22" s="4" t="inlineStr"/>
      <c r="M22" s="5" t="n"/>
      <c r="N22" s="5" t="n"/>
      <c r="O22" s="5" t="n"/>
      <c r="P22" s="4" t="inlineStr"/>
      <c r="Q22" s="4" t="inlineStr">
        <is>
          <t>Sim</t>
        </is>
      </c>
      <c r="R22" s="4" t="inlineStr">
        <is>
          <t>Site (HTML)</t>
        </is>
      </c>
      <c r="S22" s="4" t="n">
        <v>1</v>
      </c>
      <c r="T22" s="4" t="inlineStr">
        <is>
          <t>Não</t>
        </is>
      </c>
      <c r="U22" s="4" t="inlineStr">
        <is>
          <t>Sim</t>
        </is>
      </c>
      <c r="V22" s="4" t="inlineStr">
        <is>
          <t>Não</t>
        </is>
      </c>
      <c r="W22" s="4" t="inlineStr"/>
    </row>
    <row r="23">
      <c r="A23" s="4" t="inlineStr">
        <is>
          <t>Itaú Private</t>
        </is>
      </c>
      <c r="B23" s="4" t="inlineStr">
        <is>
          <t>Private Prev High Yield</t>
        </is>
      </c>
      <c r="C23" s="6" t="inlineStr"/>
      <c r="D23" s="4" t="inlineStr"/>
      <c r="E23" s="4" t="inlineStr"/>
      <c r="F23" s="4" t="inlineStr"/>
      <c r="G23" s="4" t="inlineStr">
        <is>
          <t>Multimercado</t>
        </is>
      </c>
      <c r="H23" s="4" t="inlineStr">
        <is>
          <t>Juros Pós-Fixados</t>
        </is>
      </c>
      <c r="I23" s="7" t="n"/>
      <c r="J23" s="8" t="n">
        <v>0.6</v>
      </c>
      <c r="K23" s="8" t="n"/>
      <c r="L23" s="4" t="inlineStr"/>
      <c r="M23" s="5" t="n"/>
      <c r="N23" s="5" t="n"/>
      <c r="O23" s="5" t="n"/>
      <c r="P23" s="4" t="inlineStr"/>
      <c r="Q23" s="4" t="inlineStr">
        <is>
          <t>Sim</t>
        </is>
      </c>
      <c r="R23" s="4" t="inlineStr">
        <is>
          <t>Site (HTML)</t>
        </is>
      </c>
      <c r="S23" s="4" t="n">
        <v>1</v>
      </c>
      <c r="T23" s="4" t="inlineStr">
        <is>
          <t>Não</t>
        </is>
      </c>
      <c r="U23" s="4" t="inlineStr">
        <is>
          <t>Sim</t>
        </is>
      </c>
      <c r="V23" s="4" t="inlineStr">
        <is>
          <t>Não</t>
        </is>
      </c>
      <c r="W23" s="4" t="inlineStr"/>
    </row>
    <row r="24">
      <c r="A24" s="4" t="inlineStr">
        <is>
          <t>Itaú Private</t>
        </is>
      </c>
      <c r="B24" s="4" t="inlineStr">
        <is>
          <t>Private Prev IMA-B II</t>
        </is>
      </c>
      <c r="C24" s="6" t="inlineStr"/>
      <c r="D24" s="4" t="inlineStr"/>
      <c r="E24" s="4" t="inlineStr"/>
      <c r="F24" s="4" t="inlineStr"/>
      <c r="G24" s="4" t="inlineStr">
        <is>
          <t>Renda Fixa</t>
        </is>
      </c>
      <c r="H24" s="4" t="inlineStr">
        <is>
          <t>Inflação</t>
        </is>
      </c>
      <c r="I24" s="7" t="n"/>
      <c r="J24" s="8" t="n">
        <v>0.5</v>
      </c>
      <c r="K24" s="8" t="n"/>
      <c r="L24" s="4" t="inlineStr"/>
      <c r="M24" s="5" t="n"/>
      <c r="N24" s="5" t="n"/>
      <c r="O24" s="5" t="n"/>
      <c r="P24" s="4" t="inlineStr"/>
      <c r="Q24" s="4" t="inlineStr">
        <is>
          <t>Não</t>
        </is>
      </c>
      <c r="R24" s="4" t="inlineStr">
        <is>
          <t>Site (HTML)</t>
        </is>
      </c>
      <c r="S24" s="4" t="n">
        <v>1</v>
      </c>
      <c r="T24" s="4" t="inlineStr">
        <is>
          <t>Não</t>
        </is>
      </c>
      <c r="U24" s="4" t="inlineStr">
        <is>
          <t>Sim</t>
        </is>
      </c>
      <c r="V24" s="4" t="inlineStr">
        <is>
          <t>Não</t>
        </is>
      </c>
      <c r="W24" s="4" t="inlineStr"/>
    </row>
    <row r="25">
      <c r="A25" s="4" t="inlineStr">
        <is>
          <t>Itaú Private</t>
        </is>
      </c>
      <c r="B25" s="4" t="inlineStr">
        <is>
          <t>Private Prev IMP 3</t>
        </is>
      </c>
      <c r="C25" s="6" t="inlineStr"/>
      <c r="D25" s="4" t="inlineStr"/>
      <c r="E25" s="4" t="inlineStr"/>
      <c r="F25" s="4" t="inlineStr"/>
      <c r="G25" s="4" t="inlineStr">
        <is>
          <t>Multimercado</t>
        </is>
      </c>
      <c r="H25" s="4" t="inlineStr">
        <is>
          <t>Multimercados</t>
        </is>
      </c>
      <c r="I25" s="7" t="n"/>
      <c r="J25" s="8" t="n">
        <v>1</v>
      </c>
      <c r="K25" s="8" t="n"/>
      <c r="L25" s="4" t="inlineStr"/>
      <c r="M25" s="5" t="n"/>
      <c r="N25" s="5" t="n"/>
      <c r="O25" s="5" t="n"/>
      <c r="P25" s="4" t="inlineStr"/>
      <c r="Q25" s="4" t="inlineStr">
        <is>
          <t>Sim</t>
        </is>
      </c>
      <c r="R25" s="4" t="inlineStr">
        <is>
          <t>Site (HTML)</t>
        </is>
      </c>
      <c r="S25" s="4" t="n">
        <v>1</v>
      </c>
      <c r="T25" s="4" t="inlineStr">
        <is>
          <t>Não</t>
        </is>
      </c>
      <c r="U25" s="4" t="inlineStr">
        <is>
          <t>Sim</t>
        </is>
      </c>
      <c r="V25" s="4" t="inlineStr">
        <is>
          <t>Não</t>
        </is>
      </c>
      <c r="W25" s="4" t="inlineStr"/>
    </row>
    <row r="26">
      <c r="A26" s="4" t="inlineStr">
        <is>
          <t>Itaú Private</t>
        </is>
      </c>
      <c r="B26" s="4" t="inlineStr">
        <is>
          <t>Private Prev IMP 3 II</t>
        </is>
      </c>
      <c r="C26" s="6" t="inlineStr"/>
      <c r="D26" s="4" t="inlineStr"/>
      <c r="E26" s="4" t="inlineStr"/>
      <c r="F26" s="4" t="inlineStr"/>
      <c r="G26" s="4" t="inlineStr">
        <is>
          <t>Multimercado</t>
        </is>
      </c>
      <c r="H26" s="4" t="inlineStr">
        <is>
          <t>Multimercados</t>
        </is>
      </c>
      <c r="I26" s="7" t="n"/>
      <c r="J26" s="8" t="n">
        <v>0.8</v>
      </c>
      <c r="K26" s="8" t="n"/>
      <c r="L26" s="4" t="inlineStr"/>
      <c r="M26" s="5" t="n"/>
      <c r="N26" s="5" t="n"/>
      <c r="O26" s="5" t="n"/>
      <c r="P26" s="4" t="inlineStr"/>
      <c r="Q26" s="4" t="inlineStr">
        <is>
          <t>Sim</t>
        </is>
      </c>
      <c r="R26" s="4" t="inlineStr">
        <is>
          <t>Site (HTML)</t>
        </is>
      </c>
      <c r="S26" s="4" t="n">
        <v>1</v>
      </c>
      <c r="T26" s="4" t="inlineStr">
        <is>
          <t>Não</t>
        </is>
      </c>
      <c r="U26" s="4" t="inlineStr">
        <is>
          <t>Sim</t>
        </is>
      </c>
      <c r="V26" s="4" t="inlineStr">
        <is>
          <t>Não</t>
        </is>
      </c>
      <c r="W26" s="4" t="inlineStr"/>
    </row>
    <row r="27">
      <c r="A27" s="4" t="inlineStr">
        <is>
          <t>Itaú Private</t>
        </is>
      </c>
      <c r="B27" s="4" t="inlineStr">
        <is>
          <t>Private Prev Ibov Passivo</t>
        </is>
      </c>
      <c r="C27" s="6" t="inlineStr"/>
      <c r="D27" s="4" t="inlineStr"/>
      <c r="E27" s="4" t="inlineStr"/>
      <c r="F27" s="4" t="inlineStr"/>
      <c r="G27" s="4" t="inlineStr">
        <is>
          <t>Renda Fixa</t>
        </is>
      </c>
      <c r="H27" s="4" t="inlineStr">
        <is>
          <t>Ações</t>
        </is>
      </c>
      <c r="I27" s="7" t="n"/>
      <c r="J27" s="8" t="n">
        <v>0.6</v>
      </c>
      <c r="K27" s="8" t="n"/>
      <c r="L27" s="4" t="inlineStr"/>
      <c r="M27" s="5" t="n"/>
      <c r="N27" s="5" t="n"/>
      <c r="O27" s="5" t="n"/>
      <c r="P27" s="4" t="inlineStr"/>
      <c r="Q27" s="4" t="inlineStr">
        <is>
          <t>Não</t>
        </is>
      </c>
      <c r="R27" s="4" t="inlineStr">
        <is>
          <t>Site (HTML)</t>
        </is>
      </c>
      <c r="S27" s="4" t="n">
        <v>1</v>
      </c>
      <c r="T27" s="4" t="inlineStr">
        <is>
          <t>Não</t>
        </is>
      </c>
      <c r="U27" s="4" t="inlineStr">
        <is>
          <t>Sim</t>
        </is>
      </c>
      <c r="V27" s="4" t="inlineStr">
        <is>
          <t>Não</t>
        </is>
      </c>
      <c r="W27" s="4" t="inlineStr"/>
    </row>
    <row r="28">
      <c r="A28" s="4" t="inlineStr">
        <is>
          <t>Itaú Private</t>
        </is>
      </c>
      <c r="B28" s="4" t="inlineStr">
        <is>
          <t>Private Prev Multigestor</t>
        </is>
      </c>
      <c r="C28" s="6" t="inlineStr"/>
      <c r="D28" s="4" t="inlineStr"/>
      <c r="E28" s="4" t="inlineStr"/>
      <c r="F28" s="4" t="inlineStr"/>
      <c r="G28" s="4" t="inlineStr">
        <is>
          <t>Multimercado</t>
        </is>
      </c>
      <c r="H28" s="4" t="inlineStr">
        <is>
          <t>Multimercados</t>
        </is>
      </c>
      <c r="I28" s="7" t="n"/>
      <c r="J28" s="8" t="n">
        <v>0.75</v>
      </c>
      <c r="K28" s="8" t="n"/>
      <c r="L28" s="4" t="inlineStr"/>
      <c r="M28" s="5" t="n"/>
      <c r="N28" s="5" t="n"/>
      <c r="O28" s="5" t="n"/>
      <c r="P28" s="4" t="inlineStr"/>
      <c r="Q28" s="4" t="inlineStr">
        <is>
          <t>Não</t>
        </is>
      </c>
      <c r="R28" s="4" t="inlineStr">
        <is>
          <t>Site (HTML)</t>
        </is>
      </c>
      <c r="S28" s="4" t="n">
        <v>1</v>
      </c>
      <c r="T28" s="4" t="inlineStr">
        <is>
          <t>Não</t>
        </is>
      </c>
      <c r="U28" s="4" t="inlineStr">
        <is>
          <t>Sim</t>
        </is>
      </c>
      <c r="V28" s="4" t="inlineStr">
        <is>
          <t>Não</t>
        </is>
      </c>
      <c r="W28" s="4" t="inlineStr"/>
    </row>
    <row r="29">
      <c r="A29" s="4" t="inlineStr">
        <is>
          <t>Itaú Private</t>
        </is>
      </c>
      <c r="B29" s="4" t="inlineStr">
        <is>
          <t>Private Prev NTN-B 2024</t>
        </is>
      </c>
      <c r="C29" s="6" t="inlineStr"/>
      <c r="D29" s="4" t="inlineStr"/>
      <c r="E29" s="4" t="inlineStr"/>
      <c r="F29" s="4" t="inlineStr"/>
      <c r="G29" s="4" t="inlineStr">
        <is>
          <t>Renda Fixa</t>
        </is>
      </c>
      <c r="H29" s="4" t="inlineStr">
        <is>
          <t>PREVIDÊNCIA - Renda Fixa</t>
        </is>
      </c>
      <c r="I29" s="7" t="n"/>
      <c r="J29" s="8" t="n"/>
      <c r="K29" s="8" t="n"/>
      <c r="L29" s="4" t="inlineStr"/>
      <c r="M29" s="5" t="n"/>
      <c r="N29" s="5" t="n"/>
      <c r="O29" s="5" t="n"/>
      <c r="P29" s="4" t="inlineStr"/>
      <c r="Q29" s="4" t="inlineStr">
        <is>
          <t>Não</t>
        </is>
      </c>
      <c r="R29" s="4" t="inlineStr">
        <is>
          <t>Site (HTML)</t>
        </is>
      </c>
      <c r="S29" s="4" t="n">
        <v>1</v>
      </c>
      <c r="T29" s="4" t="inlineStr">
        <is>
          <t>Não</t>
        </is>
      </c>
      <c r="U29" s="4" t="inlineStr">
        <is>
          <t>Sim</t>
        </is>
      </c>
      <c r="V29" s="4" t="inlineStr">
        <is>
          <t>Não</t>
        </is>
      </c>
      <c r="W29" s="4" t="inlineStr"/>
    </row>
    <row r="30">
      <c r="A30" s="4" t="inlineStr">
        <is>
          <t>Itaú Private</t>
        </is>
      </c>
      <c r="B30" s="4" t="inlineStr">
        <is>
          <t>Private Prev NTN-B 2030</t>
        </is>
      </c>
      <c r="C30" s="6" t="inlineStr"/>
      <c r="D30" s="4" t="inlineStr"/>
      <c r="E30" s="4" t="inlineStr"/>
      <c r="F30" s="4" t="inlineStr"/>
      <c r="G30" s="4" t="inlineStr">
        <is>
          <t>Renda Fixa</t>
        </is>
      </c>
      <c r="H30" s="4" t="inlineStr">
        <is>
          <t>PREVIDÊNCIA - Renda Fixa</t>
        </is>
      </c>
      <c r="I30" s="7" t="n"/>
      <c r="J30" s="8" t="n"/>
      <c r="K30" s="8" t="n"/>
      <c r="L30" s="4" t="inlineStr"/>
      <c r="M30" s="5" t="n"/>
      <c r="N30" s="5" t="n"/>
      <c r="O30" s="5" t="n"/>
      <c r="P30" s="4" t="inlineStr"/>
      <c r="Q30" s="4" t="inlineStr">
        <is>
          <t>Não</t>
        </is>
      </c>
      <c r="R30" s="4" t="inlineStr">
        <is>
          <t>Site (HTML)</t>
        </is>
      </c>
      <c r="S30" s="4" t="n">
        <v>1</v>
      </c>
      <c r="T30" s="4" t="inlineStr">
        <is>
          <t>Não</t>
        </is>
      </c>
      <c r="U30" s="4" t="inlineStr">
        <is>
          <t>Sim</t>
        </is>
      </c>
      <c r="V30" s="4" t="inlineStr">
        <is>
          <t>Não</t>
        </is>
      </c>
      <c r="W30" s="4" t="inlineStr"/>
    </row>
    <row r="31">
      <c r="A31" s="4" t="inlineStr">
        <is>
          <t>Itaú Private</t>
        </is>
      </c>
      <c r="B31" s="4" t="inlineStr">
        <is>
          <t>Private Prev NTNB Ultra 2023</t>
        </is>
      </c>
      <c r="C31" s="6" t="inlineStr"/>
      <c r="D31" s="4" t="inlineStr"/>
      <c r="E31" s="4" t="inlineStr"/>
      <c r="F31" s="4" t="inlineStr"/>
      <c r="G31" s="4" t="inlineStr">
        <is>
          <t>Renda Fixa</t>
        </is>
      </c>
      <c r="H31" s="4" t="inlineStr">
        <is>
          <t>Inflação</t>
        </is>
      </c>
      <c r="I31" s="7" t="n"/>
      <c r="J31" s="8" t="n">
        <v>0.5</v>
      </c>
      <c r="K31" s="8" t="n"/>
      <c r="L31" s="4" t="inlineStr"/>
      <c r="M31" s="5" t="n"/>
      <c r="N31" s="5" t="n"/>
      <c r="O31" s="5" t="n"/>
      <c r="P31" s="4" t="inlineStr"/>
      <c r="Q31" s="4" t="inlineStr">
        <is>
          <t>Sim</t>
        </is>
      </c>
      <c r="R31" s="4" t="inlineStr">
        <is>
          <t>Site (HTML)</t>
        </is>
      </c>
      <c r="S31" s="4" t="n">
        <v>1</v>
      </c>
      <c r="T31" s="4" t="inlineStr">
        <is>
          <t>Não</t>
        </is>
      </c>
      <c r="U31" s="4" t="inlineStr">
        <is>
          <t>Sim</t>
        </is>
      </c>
      <c r="V31" s="4" t="inlineStr">
        <is>
          <t>Não</t>
        </is>
      </c>
      <c r="W31" s="4" t="inlineStr"/>
    </row>
    <row r="32">
      <c r="A32" s="4" t="inlineStr">
        <is>
          <t>Itaú Private</t>
        </is>
      </c>
      <c r="B32" s="4" t="inlineStr">
        <is>
          <t>Private Prev NTNB Ultra 2024</t>
        </is>
      </c>
      <c r="C32" s="6" t="inlineStr"/>
      <c r="D32" s="4" t="inlineStr"/>
      <c r="E32" s="4" t="inlineStr"/>
      <c r="F32" s="4" t="inlineStr"/>
      <c r="G32" s="4" t="inlineStr">
        <is>
          <t>Renda Fixa</t>
        </is>
      </c>
      <c r="H32" s="4" t="inlineStr">
        <is>
          <t>Inflação</t>
        </is>
      </c>
      <c r="I32" s="7" t="n"/>
      <c r="J32" s="8" t="n">
        <v>0.5</v>
      </c>
      <c r="K32" s="8" t="n"/>
      <c r="L32" s="4" t="inlineStr"/>
      <c r="M32" s="5" t="n"/>
      <c r="N32" s="5" t="n"/>
      <c r="O32" s="5" t="n"/>
      <c r="P32" s="4" t="inlineStr"/>
      <c r="Q32" s="4" t="inlineStr">
        <is>
          <t>Sim</t>
        </is>
      </c>
      <c r="R32" s="4" t="inlineStr">
        <is>
          <t>Site (HTML)</t>
        </is>
      </c>
      <c r="S32" s="4" t="n">
        <v>1</v>
      </c>
      <c r="T32" s="4" t="inlineStr">
        <is>
          <t>Não</t>
        </is>
      </c>
      <c r="U32" s="4" t="inlineStr">
        <is>
          <t>Sim</t>
        </is>
      </c>
      <c r="V32" s="4" t="inlineStr">
        <is>
          <t>Não</t>
        </is>
      </c>
      <c r="W32" s="4" t="inlineStr"/>
    </row>
    <row r="33">
      <c r="A33" s="4" t="inlineStr">
        <is>
          <t>Itaú Private</t>
        </is>
      </c>
      <c r="B33" s="4" t="inlineStr">
        <is>
          <t>Private Prev PERFIL 2 II</t>
        </is>
      </c>
      <c r="C33" s="6" t="inlineStr"/>
      <c r="D33" s="4" t="inlineStr"/>
      <c r="E33" s="4" t="inlineStr"/>
      <c r="F33" s="4" t="inlineStr"/>
      <c r="G33" s="4" t="inlineStr">
        <is>
          <t>Multimercado</t>
        </is>
      </c>
      <c r="H33" s="4" t="inlineStr">
        <is>
          <t>Multimercados</t>
        </is>
      </c>
      <c r="I33" s="7" t="n"/>
      <c r="J33" s="8" t="n">
        <v>0.6</v>
      </c>
      <c r="K33" s="8" t="n"/>
      <c r="L33" s="4" t="inlineStr"/>
      <c r="M33" s="5" t="n"/>
      <c r="N33" s="5" t="n"/>
      <c r="O33" s="5" t="n"/>
      <c r="P33" s="4" t="inlineStr"/>
      <c r="Q33" s="4" t="inlineStr">
        <is>
          <t>Sim</t>
        </is>
      </c>
      <c r="R33" s="4" t="inlineStr">
        <is>
          <t>Site (HTML)</t>
        </is>
      </c>
      <c r="S33" s="4" t="n">
        <v>1</v>
      </c>
      <c r="T33" s="4" t="inlineStr">
        <is>
          <t>Não</t>
        </is>
      </c>
      <c r="U33" s="4" t="inlineStr">
        <is>
          <t>Sim</t>
        </is>
      </c>
      <c r="V33" s="4" t="inlineStr">
        <is>
          <t>Não</t>
        </is>
      </c>
      <c r="W33" s="4" t="inlineStr"/>
    </row>
    <row r="34">
      <c r="A34" s="4" t="inlineStr">
        <is>
          <t>Itaú Private</t>
        </is>
      </c>
      <c r="B34" s="4" t="inlineStr">
        <is>
          <t>Private Prev Perfil 2</t>
        </is>
      </c>
      <c r="C34" s="6" t="inlineStr"/>
      <c r="D34" s="4" t="inlineStr"/>
      <c r="E34" s="4" t="inlineStr"/>
      <c r="F34" s="4" t="inlineStr"/>
      <c r="G34" s="4" t="inlineStr">
        <is>
          <t>Multimercado</t>
        </is>
      </c>
      <c r="H34" s="4" t="inlineStr">
        <is>
          <t>Multimercados</t>
        </is>
      </c>
      <c r="I34" s="7" t="n"/>
      <c r="J34" s="8" t="n">
        <v>0.8</v>
      </c>
      <c r="K34" s="8" t="n"/>
      <c r="L34" s="4" t="inlineStr"/>
      <c r="M34" s="5" t="n"/>
      <c r="N34" s="5" t="n"/>
      <c r="O34" s="5" t="n"/>
      <c r="P34" s="4" t="inlineStr"/>
      <c r="Q34" s="4" t="inlineStr">
        <is>
          <t>Sim</t>
        </is>
      </c>
      <c r="R34" s="4" t="inlineStr">
        <is>
          <t>Site (HTML)</t>
        </is>
      </c>
      <c r="S34" s="4" t="n">
        <v>1</v>
      </c>
      <c r="T34" s="4" t="inlineStr">
        <is>
          <t>Não</t>
        </is>
      </c>
      <c r="U34" s="4" t="inlineStr">
        <is>
          <t>Sim</t>
        </is>
      </c>
      <c r="V34" s="4" t="inlineStr">
        <is>
          <t>Não</t>
        </is>
      </c>
      <c r="W34" s="4" t="inlineStr"/>
    </row>
    <row r="35">
      <c r="A35" s="4" t="inlineStr">
        <is>
          <t>Itaú Private</t>
        </is>
      </c>
      <c r="B35" s="4" t="inlineStr">
        <is>
          <t>Private Prev Perfil 3</t>
        </is>
      </c>
      <c r="C35" s="6" t="inlineStr"/>
      <c r="D35" s="4" t="inlineStr"/>
      <c r="E35" s="4" t="inlineStr"/>
      <c r="F35" s="4" t="inlineStr"/>
      <c r="G35" s="4" t="inlineStr">
        <is>
          <t>Multimercado</t>
        </is>
      </c>
      <c r="H35" s="4" t="inlineStr">
        <is>
          <t>Multimercados</t>
        </is>
      </c>
      <c r="I35" s="7" t="n"/>
      <c r="J35" s="8" t="n">
        <v>1</v>
      </c>
      <c r="K35" s="8" t="n"/>
      <c r="L35" s="4" t="inlineStr"/>
      <c r="M35" s="5" t="n"/>
      <c r="N35" s="5" t="n"/>
      <c r="O35" s="5" t="n"/>
      <c r="P35" s="4" t="inlineStr"/>
      <c r="Q35" s="4" t="inlineStr">
        <is>
          <t>Sim</t>
        </is>
      </c>
      <c r="R35" s="4" t="inlineStr">
        <is>
          <t>Site (HTML)</t>
        </is>
      </c>
      <c r="S35" s="4" t="n">
        <v>1</v>
      </c>
      <c r="T35" s="4" t="inlineStr">
        <is>
          <t>Não</t>
        </is>
      </c>
      <c r="U35" s="4" t="inlineStr">
        <is>
          <t>Sim</t>
        </is>
      </c>
      <c r="V35" s="4" t="inlineStr">
        <is>
          <t>Não</t>
        </is>
      </c>
      <c r="W35" s="4" t="inlineStr"/>
    </row>
    <row r="36">
      <c r="A36" s="4" t="inlineStr">
        <is>
          <t>Itaú Private</t>
        </is>
      </c>
      <c r="B36" s="4" t="inlineStr">
        <is>
          <t>Private Prev Premium II</t>
        </is>
      </c>
      <c r="C36" s="6" t="inlineStr"/>
      <c r="D36" s="4" t="inlineStr"/>
      <c r="E36" s="4" t="inlineStr"/>
      <c r="F36" s="4" t="inlineStr"/>
      <c r="G36" s="4" t="inlineStr">
        <is>
          <t>Renda Fixa</t>
        </is>
      </c>
      <c r="H36" s="4" t="inlineStr">
        <is>
          <t>Juros Prefixados</t>
        </is>
      </c>
      <c r="I36" s="7" t="n"/>
      <c r="J36" s="8" t="n">
        <v>0.6</v>
      </c>
      <c r="K36" s="8" t="n"/>
      <c r="L36" s="4" t="inlineStr"/>
      <c r="M36" s="5" t="n"/>
      <c r="N36" s="5" t="n"/>
      <c r="O36" s="5" t="n"/>
      <c r="P36" s="4" t="inlineStr"/>
      <c r="Q36" s="4" t="inlineStr">
        <is>
          <t>Não</t>
        </is>
      </c>
      <c r="R36" s="4" t="inlineStr">
        <is>
          <t>Site (HTML)</t>
        </is>
      </c>
      <c r="S36" s="4" t="n">
        <v>1</v>
      </c>
      <c r="T36" s="4" t="inlineStr">
        <is>
          <t>Não</t>
        </is>
      </c>
      <c r="U36" s="4" t="inlineStr">
        <is>
          <t>Sim</t>
        </is>
      </c>
      <c r="V36" s="4" t="inlineStr">
        <is>
          <t>Não</t>
        </is>
      </c>
      <c r="W36" s="4" t="inlineStr"/>
    </row>
    <row r="37">
      <c r="A37" s="4" t="inlineStr">
        <is>
          <t>Itaú Private</t>
        </is>
      </c>
      <c r="B37" s="4" t="inlineStr">
        <is>
          <t>Private Prev Pré Fixado Ultra</t>
        </is>
      </c>
      <c r="C37" s="6" t="inlineStr"/>
      <c r="D37" s="4" t="inlineStr"/>
      <c r="E37" s="4" t="inlineStr"/>
      <c r="F37" s="4" t="inlineStr"/>
      <c r="G37" s="4" t="inlineStr">
        <is>
          <t>Renda Fixa</t>
        </is>
      </c>
      <c r="H37" s="4" t="inlineStr">
        <is>
          <t>Juros Prefixados</t>
        </is>
      </c>
      <c r="I37" s="7" t="n"/>
      <c r="J37" s="8" t="n">
        <v>0.6</v>
      </c>
      <c r="K37" s="8" t="n"/>
      <c r="L37" s="4" t="inlineStr"/>
      <c r="M37" s="5" t="n"/>
      <c r="N37" s="5" t="n"/>
      <c r="O37" s="5" t="n"/>
      <c r="P37" s="4" t="inlineStr"/>
      <c r="Q37" s="4" t="inlineStr">
        <is>
          <t>Não</t>
        </is>
      </c>
      <c r="R37" s="4" t="inlineStr">
        <is>
          <t>Site (HTML)</t>
        </is>
      </c>
      <c r="S37" s="4" t="n">
        <v>1</v>
      </c>
      <c r="T37" s="4" t="inlineStr">
        <is>
          <t>Não</t>
        </is>
      </c>
      <c r="U37" s="4" t="inlineStr">
        <is>
          <t>Sim</t>
        </is>
      </c>
      <c r="V37" s="4" t="inlineStr">
        <is>
          <t>Não</t>
        </is>
      </c>
      <c r="W37" s="4" t="inlineStr"/>
    </row>
    <row r="38">
      <c r="A38" s="4" t="inlineStr">
        <is>
          <t>Itaú Private</t>
        </is>
      </c>
      <c r="B38" s="4" t="inlineStr">
        <is>
          <t>Private Prev RF</t>
        </is>
      </c>
      <c r="C38" s="6" t="inlineStr"/>
      <c r="D38" s="4" t="inlineStr"/>
      <c r="E38" s="4" t="inlineStr"/>
      <c r="F38" s="4" t="inlineStr"/>
      <c r="G38" s="4" t="inlineStr">
        <is>
          <t>Renda Fixa</t>
        </is>
      </c>
      <c r="H38" s="4" t="inlineStr">
        <is>
          <t>PREVIDÊNCIA - Renda Fixa</t>
        </is>
      </c>
      <c r="I38" s="7" t="n"/>
      <c r="J38" s="8" t="n">
        <v>0.8</v>
      </c>
      <c r="K38" s="8" t="n"/>
      <c r="L38" s="4" t="inlineStr"/>
      <c r="M38" s="5" t="n"/>
      <c r="N38" s="5" t="n"/>
      <c r="O38" s="5" t="n"/>
      <c r="P38" s="4" t="inlineStr"/>
      <c r="Q38" s="4" t="inlineStr">
        <is>
          <t>Não</t>
        </is>
      </c>
      <c r="R38" s="4" t="inlineStr">
        <is>
          <t>Site (HTML)</t>
        </is>
      </c>
      <c r="S38" s="4" t="n">
        <v>1</v>
      </c>
      <c r="T38" s="4" t="inlineStr">
        <is>
          <t>Não</t>
        </is>
      </c>
      <c r="U38" s="4" t="inlineStr">
        <is>
          <t>Sim</t>
        </is>
      </c>
      <c r="V38" s="4" t="inlineStr">
        <is>
          <t>Não</t>
        </is>
      </c>
      <c r="W38" s="4" t="inlineStr"/>
    </row>
    <row r="39">
      <c r="A39" s="4" t="inlineStr">
        <is>
          <t>Itaú Private</t>
        </is>
      </c>
      <c r="B39" s="4" t="inlineStr">
        <is>
          <t>Private Prev Rf Vision Plus</t>
        </is>
      </c>
      <c r="C39" s="6" t="inlineStr"/>
      <c r="D39" s="4" t="inlineStr"/>
      <c r="E39" s="4" t="inlineStr"/>
      <c r="F39" s="4" t="inlineStr"/>
      <c r="G39" s="4" t="inlineStr">
        <is>
          <t>Multimercado</t>
        </is>
      </c>
      <c r="H39" s="4" t="inlineStr">
        <is>
          <t>Juros Prefixados</t>
        </is>
      </c>
      <c r="I39" s="7" t="n"/>
      <c r="J39" s="8" t="n">
        <v>0.6</v>
      </c>
      <c r="K39" s="8" t="n"/>
      <c r="L39" s="4" t="inlineStr"/>
      <c r="M39" s="5" t="n"/>
      <c r="N39" s="5" t="n"/>
      <c r="O39" s="5" t="n"/>
      <c r="P39" s="4" t="inlineStr"/>
      <c r="Q39" s="4" t="inlineStr">
        <is>
          <t>Não</t>
        </is>
      </c>
      <c r="R39" s="4" t="inlineStr">
        <is>
          <t>Site (HTML)</t>
        </is>
      </c>
      <c r="S39" s="4" t="n">
        <v>1</v>
      </c>
      <c r="T39" s="4" t="inlineStr">
        <is>
          <t>Não</t>
        </is>
      </c>
      <c r="U39" s="4" t="inlineStr">
        <is>
          <t>Sim</t>
        </is>
      </c>
      <c r="V39" s="4" t="inlineStr">
        <is>
          <t>Não</t>
        </is>
      </c>
      <c r="W39" s="4" t="inlineStr"/>
    </row>
    <row r="40">
      <c r="A40" s="4" t="inlineStr">
        <is>
          <t>Itaú Private</t>
        </is>
      </c>
      <c r="B40" s="4" t="inlineStr">
        <is>
          <t>Private Prev SPX Lancer MM</t>
        </is>
      </c>
      <c r="C40" s="6" t="inlineStr"/>
      <c r="D40" s="4" t="inlineStr"/>
      <c r="E40" s="4" t="inlineStr"/>
      <c r="F40" s="4" t="inlineStr"/>
      <c r="G40" s="4" t="inlineStr">
        <is>
          <t>Multimercado</t>
        </is>
      </c>
      <c r="H40" s="4" t="inlineStr">
        <is>
          <t>Multimercados</t>
        </is>
      </c>
      <c r="I40" s="7" t="n"/>
      <c r="J40" s="8" t="n">
        <v>2</v>
      </c>
      <c r="K40" s="8" t="n"/>
      <c r="L40" s="4" t="inlineStr"/>
      <c r="M40" s="5" t="n"/>
      <c r="N40" s="5" t="n"/>
      <c r="O40" s="5" t="n"/>
      <c r="P40" s="4" t="inlineStr"/>
      <c r="Q40" s="4" t="inlineStr">
        <is>
          <t>Não</t>
        </is>
      </c>
      <c r="R40" s="4" t="inlineStr">
        <is>
          <t>Site (HTML)</t>
        </is>
      </c>
      <c r="S40" s="4" t="n">
        <v>1</v>
      </c>
      <c r="T40" s="4" t="inlineStr">
        <is>
          <t>Não</t>
        </is>
      </c>
      <c r="U40" s="4" t="inlineStr">
        <is>
          <t>Sim</t>
        </is>
      </c>
      <c r="V40" s="4" t="inlineStr">
        <is>
          <t>Não</t>
        </is>
      </c>
      <c r="W40" s="4" t="inlineStr"/>
    </row>
    <row r="41">
      <c r="A41" s="4" t="inlineStr">
        <is>
          <t>Itaú Private</t>
        </is>
      </c>
      <c r="B41" s="4" t="inlineStr">
        <is>
          <t>Private Prev Ultra NTN-B 2030</t>
        </is>
      </c>
      <c r="C41" s="6" t="inlineStr"/>
      <c r="D41" s="4" t="inlineStr"/>
      <c r="E41" s="4" t="inlineStr"/>
      <c r="F41" s="4" t="inlineStr"/>
      <c r="G41" s="4" t="inlineStr">
        <is>
          <t>Renda Fixa</t>
        </is>
      </c>
      <c r="H41" s="4" t="inlineStr">
        <is>
          <t>PREVIDÊNCIA - Renda Fixa</t>
        </is>
      </c>
      <c r="I41" s="7" t="n"/>
      <c r="J41" s="8" t="n"/>
      <c r="K41" s="8" t="n"/>
      <c r="L41" s="4" t="inlineStr"/>
      <c r="M41" s="5" t="n"/>
      <c r="N41" s="5" t="n"/>
      <c r="O41" s="5" t="n"/>
      <c r="P41" s="4" t="inlineStr"/>
      <c r="Q41" s="4" t="inlineStr">
        <is>
          <t>Não</t>
        </is>
      </c>
      <c r="R41" s="4" t="inlineStr">
        <is>
          <t>Site (HTML)</t>
        </is>
      </c>
      <c r="S41" s="4" t="n">
        <v>1</v>
      </c>
      <c r="T41" s="4" t="inlineStr">
        <is>
          <t>Não</t>
        </is>
      </c>
      <c r="U41" s="4" t="inlineStr">
        <is>
          <t>Sim</t>
        </is>
      </c>
      <c r="V41" s="4" t="inlineStr">
        <is>
          <t>Não</t>
        </is>
      </c>
      <c r="W41" s="4" t="inlineStr"/>
    </row>
    <row r="42">
      <c r="A42" s="4" t="inlineStr">
        <is>
          <t>Itaú Private</t>
        </is>
      </c>
      <c r="B42" s="4" t="inlineStr">
        <is>
          <t>Private Prev Vision Plus MM</t>
        </is>
      </c>
      <c r="C42" s="6" t="inlineStr"/>
      <c r="D42" s="4" t="inlineStr"/>
      <c r="E42" s="4" t="inlineStr"/>
      <c r="F42" s="4" t="inlineStr"/>
      <c r="G42" s="4" t="inlineStr">
        <is>
          <t>Renda Fixa</t>
        </is>
      </c>
      <c r="H42" s="4" t="inlineStr">
        <is>
          <t>Multimercados</t>
        </is>
      </c>
      <c r="I42" s="7" t="n"/>
      <c r="J42" s="8" t="n">
        <v>2</v>
      </c>
      <c r="K42" s="8" t="n"/>
      <c r="L42" s="4" t="inlineStr"/>
      <c r="M42" s="5" t="n"/>
      <c r="N42" s="5" t="n"/>
      <c r="O42" s="5" t="n"/>
      <c r="P42" s="4" t="inlineStr"/>
      <c r="Q42" s="4" t="inlineStr">
        <is>
          <t>Não</t>
        </is>
      </c>
      <c r="R42" s="4" t="inlineStr">
        <is>
          <t>Site (HTML)</t>
        </is>
      </c>
      <c r="S42" s="4" t="n">
        <v>1</v>
      </c>
      <c r="T42" s="4" t="inlineStr">
        <is>
          <t>Não</t>
        </is>
      </c>
      <c r="U42" s="4" t="inlineStr">
        <is>
          <t>Sim</t>
        </is>
      </c>
      <c r="V42" s="4" t="inlineStr">
        <is>
          <t>Não</t>
        </is>
      </c>
      <c r="W42" s="4" t="inlineStr"/>
    </row>
  </sheetData>
  <autoFilter ref="A1:W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16" customWidth="1" min="4" max="4"/>
    <col width="21" customWidth="1" min="5" max="5"/>
    <col width="12" customWidth="1" min="6" max="6"/>
  </cols>
  <sheetData>
    <row r="1" ht="30" customHeight="1">
      <c r="A1" s="3" t="inlineStr">
        <is>
          <t>Plataforma</t>
        </is>
      </c>
      <c r="B1" s="3" t="inlineStr">
        <is>
          <t>Fonte</t>
        </is>
      </c>
      <c r="C1" s="3" t="inlineStr">
        <is>
          <t>Fundos trazidos</t>
        </is>
      </c>
      <c r="D1" s="3" t="inlineStr">
        <is>
          <t>Só nesta fonte</t>
        </is>
      </c>
      <c r="E1" s="3" t="inlineStr">
        <is>
          <t>Total da casa (união)</t>
        </is>
      </c>
      <c r="F1" s="3" t="inlineStr">
        <is>
          <t>% do total</t>
        </is>
      </c>
    </row>
    <row r="2">
      <c r="A2" s="4" t="inlineStr">
        <is>
          <t>XP Investimentos</t>
        </is>
      </c>
      <c r="B2" s="4" t="inlineStr">
        <is>
          <t>Site (navegador)</t>
        </is>
      </c>
      <c r="C2" s="5" t="n">
        <v>223</v>
      </c>
      <c r="D2" s="5" t="n">
        <v>223</v>
      </c>
      <c r="E2" s="5" t="n">
        <v>223</v>
      </c>
      <c r="F2" s="9">
        <f>IF($E2=0,0,$C2/$E2)</f>
        <v/>
      </c>
    </row>
    <row r="3">
      <c r="A3" s="4" t="inlineStr">
        <is>
          <t>BTG Pactual</t>
        </is>
      </c>
      <c r="B3" s="4" t="inlineStr">
        <is>
          <t>API interna</t>
        </is>
      </c>
      <c r="C3" s="5" t="n">
        <v>226</v>
      </c>
      <c r="D3" s="5" t="n">
        <v>226</v>
      </c>
      <c r="E3" s="5" t="n">
        <v>226</v>
      </c>
      <c r="F3" s="9">
        <f>IF($E3=0,0,$C3/$E3)</f>
        <v/>
      </c>
    </row>
    <row r="4">
      <c r="A4" s="4" t="inlineStr">
        <is>
          <t>Itaú Private</t>
        </is>
      </c>
      <c r="B4" s="4" t="inlineStr">
        <is>
          <t>Site (HTML)</t>
        </is>
      </c>
      <c r="C4" s="5" t="n">
        <v>41</v>
      </c>
      <c r="D4" s="5" t="n">
        <v>41</v>
      </c>
      <c r="E4" s="5" t="n">
        <v>41</v>
      </c>
      <c r="F4" s="9">
        <f>IF($E4=0,0,$C4/$E4)</f>
        <v/>
      </c>
    </row>
    <row r="6">
      <c r="A6" s="2" t="inlineStr">
        <is>
          <t>"Fundos trazidos" é quanto aquela fonte devolveu sozinha; a soma pode passar do total</t>
        </is>
      </c>
    </row>
    <row r="7">
      <c r="A7" s="2" t="inlineStr">
        <is>
          <t>da casa, porque o mesmo fundo costuma aparecer em mais de uma fonte.</t>
        </is>
      </c>
    </row>
    <row r="8">
      <c r="A8" s="2" t="inlineStr">
        <is>
          <t>"Só nesta fonte" é o que se perderia desligando aquela coleta - o número que decide</t>
        </is>
      </c>
    </row>
    <row r="9">
      <c r="A9" s="2" t="inlineStr">
        <is>
          <t>se manter o scraping de uma casa compensa o tempo que ele custa.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Captação dos fundos de vitrine - por casa</t>
        </is>
      </c>
    </row>
    <row r="2">
      <c r="A2" s="10" t="inlineStr">
        <is>
          <t>Fonte</t>
        </is>
      </c>
      <c r="B2" s="11" t="inlineStr">
        <is>
          <t>Informe diário da CVM (INF_DIARIO)</t>
        </is>
      </c>
      <c r="C2" s="12" t="inlineStr">
        <is>
          <t>https://dados.cvm.gov.br/dataset/fi-doc-inf_diario</t>
        </is>
      </c>
    </row>
    <row r="3">
      <c r="A3" s="10" t="inlineStr">
        <is>
          <t>Período</t>
        </is>
      </c>
      <c r="B3" s="11" t="inlineStr">
        <is>
          <t>de 01/07/2026 a 22/09/2026</t>
        </is>
      </c>
    </row>
    <row r="4">
      <c r="A4" s="10" t="inlineStr">
        <is>
          <t>Competências</t>
        </is>
      </c>
      <c r="B4" s="11" t="inlineStr">
        <is>
          <t>3 (jul/2026 a set/2026)</t>
        </is>
      </c>
    </row>
    <row r="5">
      <c r="A5" s="2" t="inlineStr">
        <is>
          <t>A CVM publica fluxo por FUNDO, nunca por distribuidor: os números por casa são o fluxo dos fundos que ela exibe, no mercado inteiro. Movimento estrutural fica fora de todas as somas.</t>
        </is>
      </c>
    </row>
    <row r="7">
      <c r="A7" s="11" t="inlineStr">
        <is>
          <t>Captação líquida dos fundos da vitrine de 01/07/2026 a 22/09/2026: XP Investimentos -R$ 31 mi (-0,04% do PL de início), BTG Pactual +R$ 989 mi (+1,97%). Maior captação entre as casas: BTG Pactual.</t>
        </is>
      </c>
    </row>
    <row r="8">
      <c r="A8" s="11" t="inlineStr">
        <is>
          <t>Por família de ativo, a diferença entre XP Investimentos e BTG Pactual (-R$ 1,0 bi) vem de Multimercados (-R$ 878 mi) e Renda Fixa (-R$ 145 mi).</t>
        </is>
      </c>
    </row>
    <row r="10">
      <c r="A10" s="13" t="inlineStr">
        <is>
          <t>De onde vem o saldo</t>
        </is>
      </c>
    </row>
    <row r="11" ht="30" customHeight="1">
      <c r="A11" s="3" t="inlineStr">
        <is>
          <t>Casa</t>
        </is>
      </c>
      <c r="B11" s="3" t="inlineStr">
        <is>
          <t>Fundos na vitrine</t>
        </is>
      </c>
      <c r="C11" s="3" t="inlineStr">
        <is>
          <t>Fundos com informe</t>
        </is>
      </c>
      <c r="D11" s="3" t="inlineStr">
        <is>
          <t>Captação líquida (R$)</t>
        </is>
      </c>
      <c r="E11" s="3" t="inlineStr">
        <is>
          <t>PL de início (R$)</t>
        </is>
      </c>
      <c r="F11" s="3" t="inlineStr">
        <is>
          <t>Captação / PL de início (%)</t>
        </is>
      </c>
    </row>
    <row r="12">
      <c r="A12" s="4" t="inlineStr">
        <is>
          <t>BTG Pactual</t>
        </is>
      </c>
      <c r="B12" s="5" t="n">
        <v>226</v>
      </c>
      <c r="C12" s="14" t="n">
        <v>226</v>
      </c>
      <c r="D12" s="7" t="n">
        <v>988525304.35</v>
      </c>
      <c r="E12" s="7" t="n">
        <v>50193946634.48</v>
      </c>
      <c r="F12" s="8" t="n">
        <v>1.969</v>
      </c>
      <c r="I12" s="15" t="n"/>
      <c r="J12" s="16" t="n"/>
      <c r="K12" s="16" t="n"/>
      <c r="M12" s="17" t="n"/>
      <c r="N12" s="17" t="n"/>
      <c r="O12" s="17" t="n"/>
    </row>
    <row r="13">
      <c r="A13" s="4" t="inlineStr">
        <is>
          <t>XP Investimentos</t>
        </is>
      </c>
      <c r="B13" s="5" t="n">
        <v>218</v>
      </c>
      <c r="C13" s="14" t="n">
        <v>214</v>
      </c>
      <c r="D13" s="7" t="n">
        <v>-31209742.76</v>
      </c>
      <c r="E13" s="7" t="n">
        <v>75234026077.67</v>
      </c>
      <c r="F13" s="8" t="n">
        <v>-0.041</v>
      </c>
      <c r="I13" s="15" t="n"/>
      <c r="J13" s="16" t="n"/>
      <c r="K13" s="16" t="n"/>
      <c r="M13" s="17" t="n"/>
      <c r="N13" s="17" t="n"/>
      <c r="O13" s="17" t="n"/>
    </row>
    <row r="14">
      <c r="A14" s="2" t="inlineStr">
        <is>
          <t>Sem o corte produto próprio x terceiros: o gestor registrado do fundo que a casa vende é a seguradora ou a asset dela, não o dono da estratégia: em 23/09, 88 dos 118 fundos que a regra chamaria de produto próprio da XP tinham como gestor a XP Vida e Previdência (Kinea, AZ Quest, Kapitalo), e os FICs de Absolute e Kapitalo no BTG, a BTG Pactual Gestão e Consultoria.</t>
        </is>
      </c>
    </row>
    <row r="16">
      <c r="A16" s="13" t="inlineStr">
        <is>
          <t>Por família de ativo</t>
        </is>
      </c>
    </row>
    <row r="17" ht="30" customHeight="1">
      <c r="A17" s="3" t="inlineStr">
        <is>
          <t>Família</t>
        </is>
      </c>
      <c r="B17" s="3" t="inlineStr">
        <is>
          <t>BTG Pactual (R$)</t>
        </is>
      </c>
      <c r="C17" s="3" t="inlineStr">
        <is>
          <t>XP Investimentos (R$)</t>
        </is>
      </c>
      <c r="D17" s="3" t="inlineStr">
        <is>
          <t>Todas as vitrines (R$)</t>
        </is>
      </c>
      <c r="E17" s="3" t="inlineStr">
        <is>
          <t>Fundos no universo</t>
        </is>
      </c>
    </row>
    <row r="18">
      <c r="A18" s="4" t="inlineStr">
        <is>
          <t>Renda Fixa</t>
        </is>
      </c>
      <c r="B18" s="7" t="n">
        <v>1116527371.88</v>
      </c>
      <c r="C18" s="18" t="n">
        <v>971793203.79</v>
      </c>
      <c r="D18" s="7" t="n">
        <v>2088961767.71</v>
      </c>
      <c r="E18" s="5" t="n">
        <v>129</v>
      </c>
      <c r="I18" s="15" t="n"/>
      <c r="J18" s="16" t="n"/>
      <c r="K18" s="16" t="n"/>
      <c r="M18" s="17" t="n"/>
      <c r="N18" s="17" t="n"/>
      <c r="O18" s="17" t="n"/>
    </row>
    <row r="19">
      <c r="A19" s="4" t="inlineStr">
        <is>
          <t>Balanceados</t>
        </is>
      </c>
      <c r="B19" s="7" t="n">
        <v>-5544864.44</v>
      </c>
      <c r="C19" s="18" t="n">
        <v>2885017.23</v>
      </c>
      <c r="D19" s="7" t="n">
        <v>-2659847.21</v>
      </c>
      <c r="E19" s="5" t="n">
        <v>3</v>
      </c>
      <c r="I19" s="15" t="n"/>
      <c r="J19" s="16" t="n"/>
      <c r="K19" s="16" t="n"/>
      <c r="M19" s="17" t="n"/>
      <c r="N19" s="17" t="n"/>
      <c r="O19" s="17" t="n"/>
    </row>
    <row r="20">
      <c r="A20" s="4" t="inlineStr">
        <is>
          <t>Ações</t>
        </is>
      </c>
      <c r="B20" s="7" t="n">
        <v>-12841816.77</v>
      </c>
      <c r="C20" s="18" t="n">
        <v>-18229965.21</v>
      </c>
      <c r="D20" s="7" t="n">
        <v>-31071781.98</v>
      </c>
      <c r="E20" s="5" t="n">
        <v>40</v>
      </c>
      <c r="I20" s="15" t="n"/>
      <c r="J20" s="16" t="n"/>
      <c r="K20" s="16" t="n"/>
      <c r="M20" s="17" t="n"/>
      <c r="N20" s="17" t="n"/>
      <c r="O20" s="17" t="n"/>
    </row>
    <row r="21">
      <c r="A21" s="4" t="inlineStr">
        <is>
          <t>Multimercados</t>
        </is>
      </c>
      <c r="B21" s="7" t="n">
        <v>-109615386.32</v>
      </c>
      <c r="C21" s="18" t="n">
        <v>-987657998.5700001</v>
      </c>
      <c r="D21" s="7" t="n">
        <v>-1097273384.89</v>
      </c>
      <c r="E21" s="5" t="n">
        <v>262</v>
      </c>
      <c r="I21" s="15" t="n"/>
      <c r="J21" s="16" t="n"/>
      <c r="K21" s="16" t="n"/>
      <c r="M21" s="17" t="n"/>
      <c r="N21" s="17" t="n"/>
      <c r="O21" s="17" t="n"/>
    </row>
    <row r="23">
      <c r="A23" s="13" t="inlineStr">
        <is>
          <t>Tendência dos fundos, por casa</t>
        </is>
      </c>
    </row>
    <row r="24" ht="30" customHeight="1">
      <c r="A24" s="3" t="inlineStr">
        <is>
          <t>Casa</t>
        </is>
      </c>
      <c r="B24" s="3" t="inlineStr">
        <is>
          <t>acelerando</t>
        </is>
      </c>
      <c r="C24" s="3" t="inlineStr">
        <is>
          <t>desacelerando</t>
        </is>
      </c>
      <c r="D24" s="3" t="inlineStr">
        <is>
          <t>virou entrada</t>
        </is>
      </c>
      <c r="E24" s="3" t="inlineStr">
        <is>
          <t>virou saída</t>
        </is>
      </c>
      <c r="F24" s="3" t="inlineStr">
        <is>
          <t>saída persistente</t>
        </is>
      </c>
      <c r="G24" s="3" t="inlineStr">
        <is>
          <t>estável</t>
        </is>
      </c>
      <c r="H24" s="3" t="inlineStr">
        <is>
          <t>sem série</t>
        </is>
      </c>
      <c r="I24" s="3" t="inlineStr">
        <is>
          <t>Total</t>
        </is>
      </c>
    </row>
    <row r="25">
      <c r="A25" s="4" t="inlineStr">
        <is>
          <t>BTG Pactual</t>
        </is>
      </c>
      <c r="B25" s="5" t="n">
        <v>34</v>
      </c>
      <c r="C25" s="14" t="n">
        <v>35</v>
      </c>
      <c r="D25" s="5" t="n">
        <v>38</v>
      </c>
      <c r="E25" s="5" t="n">
        <v>17</v>
      </c>
      <c r="F25" s="5" t="n">
        <v>84</v>
      </c>
      <c r="G25" s="5" t="n">
        <v>12</v>
      </c>
      <c r="H25" s="5" t="n">
        <v>1</v>
      </c>
      <c r="I25" s="7" t="n">
        <v>221</v>
      </c>
      <c r="J25" s="16" t="n"/>
      <c r="K25" s="16" t="n"/>
      <c r="M25" s="17" t="n"/>
      <c r="N25" s="17" t="n"/>
      <c r="O25" s="17" t="n"/>
    </row>
    <row r="26">
      <c r="A26" s="4" t="inlineStr">
        <is>
          <t>XP Investimentos</t>
        </is>
      </c>
      <c r="B26" s="5" t="n">
        <v>27</v>
      </c>
      <c r="C26" s="14" t="n">
        <v>15</v>
      </c>
      <c r="D26" s="5" t="n">
        <v>26</v>
      </c>
      <c r="E26" s="5" t="n">
        <v>15</v>
      </c>
      <c r="F26" s="5" t="n">
        <v>111</v>
      </c>
      <c r="G26" s="5" t="n">
        <v>15</v>
      </c>
      <c r="H26" s="5" t="n">
        <v>2</v>
      </c>
      <c r="I26" s="7" t="n">
        <v>211</v>
      </c>
      <c r="J26" s="16" t="n"/>
      <c r="K26" s="16" t="n"/>
      <c r="M26" s="17" t="n"/>
      <c r="N26" s="17" t="n"/>
      <c r="O26" s="17" t="n"/>
    </row>
    <row r="28">
      <c r="A28" s="11" t="inlineStr">
        <is>
          <t>acelerando</t>
        </is>
      </c>
      <c r="B28" s="2" t="inlineStr">
        <is>
          <t>captando mais por dia que nos meses anteriores</t>
        </is>
      </c>
    </row>
    <row r="29">
      <c r="A29" s="11" t="inlineStr">
        <is>
          <t>desacelerando</t>
        </is>
      </c>
      <c r="B29" s="2" t="inlineStr">
        <is>
          <t>ainda captando, mas menos por dia que antes</t>
        </is>
      </c>
    </row>
    <row r="30">
      <c r="A30" s="11" t="inlineStr">
        <is>
          <t>virou entrada</t>
        </is>
      </c>
      <c r="B30" s="2" t="inlineStr">
        <is>
          <t>estava perdendo dinheiro e passou a captar</t>
        </is>
      </c>
    </row>
    <row r="31">
      <c r="A31" s="11" t="inlineStr">
        <is>
          <t>virou saída</t>
        </is>
      </c>
      <c r="B31" s="2" t="inlineStr">
        <is>
          <t>estava captando e passou a perder dinheiro</t>
        </is>
      </c>
    </row>
    <row r="32">
      <c r="A32" s="11" t="inlineStr">
        <is>
          <t>saída persistente</t>
        </is>
      </c>
      <c r="B32" s="2" t="inlineStr">
        <is>
          <t>perdendo dinheiro no último mês e na média anterior</t>
        </is>
      </c>
    </row>
    <row r="33">
      <c r="A33" s="11" t="inlineStr">
        <is>
          <t>estável</t>
        </is>
      </c>
      <c r="B33" s="2" t="inlineStr">
        <is>
          <t>sem mudança material no ritmo</t>
        </is>
      </c>
    </row>
    <row r="34">
      <c r="A34" s="11" t="inlineStr">
        <is>
          <t>sem série</t>
        </is>
      </c>
      <c r="B34" s="2" t="inlineStr">
        <is>
          <t>competências de menos para falar em tendência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5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16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Captação dos fundos de vitrine</t>
        </is>
      </c>
    </row>
    <row r="2">
      <c r="A2" s="10" t="inlineStr">
        <is>
          <t>Fonte</t>
        </is>
      </c>
      <c r="B2" s="11" t="inlineStr">
        <is>
          <t>Informe diário da CVM (INF_DIARIO)</t>
        </is>
      </c>
      <c r="C2" s="12" t="inlineStr">
        <is>
          <t>https://dados.cvm.gov.br/dataset/fi-doc-inf_diario</t>
        </is>
      </c>
    </row>
    <row r="3">
      <c r="A3" s="10" t="inlineStr">
        <is>
          <t>Período</t>
        </is>
      </c>
      <c r="B3" s="11" t="inlineStr">
        <is>
          <t>de 01/07/2026 a 22/09/2026</t>
        </is>
      </c>
    </row>
    <row r="4">
      <c r="A4" s="10" t="inlineStr">
        <is>
          <t>Competências</t>
        </is>
      </c>
      <c r="B4" s="11" t="inlineStr">
        <is>
          <t>3 (jul/2026 a set/2026)</t>
        </is>
      </c>
    </row>
    <row r="5">
      <c r="A5" s="2" t="inlineStr">
        <is>
          <t>A CVM publica fluxo por FUNDO, nunca por distribuidor: um fundo em três vitrines entra inteiro nas três somas. Uma linha do informe é uma SUBCLASSE: PL, cotistas e fluxo somam as subclasses da classe, e a rentabilidade é a média dos retornos delas ponderada pelo PL. Rentabilidade é da cota patrimonial, ex-provento, com base no PRIMEIRO PREGÃO do período - as abas 'Rentabilidade 12 meses' e 'Rentabilidade por fundo' usam a cota do fim da competência anterior, que é a convenção de lâmina, e por isso o mesmo fundo aparece com número ligeiramente diferente nelas.</t>
        </is>
      </c>
    </row>
    <row r="7" ht="30" customHeight="1">
      <c r="A7" s="3" t="inlineStr">
        <is>
          <t>Fundo</t>
        </is>
      </c>
      <c r="B7" s="3" t="inlineStr">
        <is>
          <t>CNPJ</t>
        </is>
      </c>
      <c r="C7" s="3" t="inlineStr">
        <is>
          <t>Classe</t>
        </is>
      </c>
      <c r="D7" s="3" t="inlineStr">
        <is>
          <t>Gestora</t>
        </is>
      </c>
      <c r="E7" s="3" t="inlineStr">
        <is>
          <t>Vitrines</t>
        </is>
      </c>
      <c r="F7" s="3" t="inlineStr">
        <is>
          <t>Captação bruta (R$)</t>
        </is>
      </c>
      <c r="G7" s="3" t="inlineStr">
        <is>
          <t>Resgates (R$)</t>
        </is>
      </c>
      <c r="H7" s="3" t="inlineStr">
        <is>
          <t>Captação líquida (R$)</t>
        </is>
      </c>
      <c r="I7" s="3" t="inlineStr">
        <is>
          <t>PL início (R$)</t>
        </is>
      </c>
      <c r="J7" s="3" t="inlineStr">
        <is>
          <t>PL fim (R$)</t>
        </is>
      </c>
      <c r="K7" s="3" t="inlineStr">
        <is>
          <t>Captação líquida / PL início (%)</t>
        </is>
      </c>
      <c r="L7" s="3" t="inlineStr">
        <is>
          <t>Rentabilidade no período, base no 1o pregão (%)</t>
        </is>
      </c>
      <c r="M7" s="3" t="inlineStr">
        <is>
          <t>Pregões observados</t>
        </is>
      </c>
      <c r="N7" s="3" t="inlineStr">
        <is>
          <t>Tendência</t>
        </is>
      </c>
      <c r="O7" s="3" t="inlineStr">
        <is>
          <t>Movimento estrutural</t>
        </is>
      </c>
    </row>
    <row r="8">
      <c r="A8" s="11" t="inlineStr">
        <is>
          <t>BTG Pactual Cred Corp Plus Prev FIE FICFIM CrPr RL</t>
        </is>
      </c>
      <c r="B8" s="11" t="inlineStr">
        <is>
          <t>41.801.819/0001-35</t>
        </is>
      </c>
      <c r="C8" s="11" t="inlineStr">
        <is>
          <t>Renda Fixa</t>
        </is>
      </c>
      <c r="D8" s="11" t="inlineStr">
        <is>
          <t>BTG PACTUAL ASSET MANAGEMENT S/A DTVM</t>
        </is>
      </c>
      <c r="E8" s="11" t="inlineStr">
        <is>
          <t>btg</t>
        </is>
      </c>
      <c r="F8" s="19" t="n">
        <v>821184680.9</v>
      </c>
      <c r="G8" s="19" t="n">
        <v>47618227.77</v>
      </c>
      <c r="H8" s="20" t="n">
        <v>773566453.13</v>
      </c>
      <c r="I8" s="19" t="n">
        <v>402925928.51</v>
      </c>
      <c r="J8" s="19" t="n">
        <v>1198283222.23</v>
      </c>
      <c r="K8" s="21" t="n">
        <v>191.99</v>
      </c>
      <c r="L8" s="21" t="n">
        <v>3.19</v>
      </c>
      <c r="M8" s="22" t="n">
        <v>59</v>
      </c>
      <c r="N8" s="11" t="inlineStr">
        <is>
          <t>desacelerando</t>
        </is>
      </c>
      <c r="O8" s="11" t="inlineStr"/>
    </row>
    <row r="9">
      <c r="A9" s="11" t="inlineStr">
        <is>
          <t>Mag Cash Xp Seg Prev Ficfirf Rl</t>
        </is>
      </c>
      <c r="B9" s="11" t="inlineStr">
        <is>
          <t>58.543.779/0001-71</t>
        </is>
      </c>
      <c r="C9" s="11" t="inlineStr">
        <is>
          <t>Renda Fixa</t>
        </is>
      </c>
      <c r="D9" s="11" t="inlineStr">
        <is>
          <t>MONGERAL AEGON INVESTIMENTOS LTDA</t>
        </is>
      </c>
      <c r="E9" s="11" t="inlineStr">
        <is>
          <t>xp</t>
        </is>
      </c>
      <c r="F9" s="19" t="n">
        <v>539240616.25</v>
      </c>
      <c r="G9" s="19" t="n">
        <v>65544023.92</v>
      </c>
      <c r="H9" s="20" t="n">
        <v>473696592.33</v>
      </c>
      <c r="I9" s="19" t="n">
        <v>1062373555.37</v>
      </c>
      <c r="J9" s="19" t="n">
        <v>1572359518.67</v>
      </c>
      <c r="K9" s="21" t="n">
        <v>44.59</v>
      </c>
      <c r="L9" s="21" t="n">
        <v>3.14</v>
      </c>
      <c r="M9" s="22" t="n">
        <v>59</v>
      </c>
      <c r="N9" s="11" t="inlineStr">
        <is>
          <t>estável</t>
        </is>
      </c>
      <c r="O9" s="11" t="inlineStr"/>
    </row>
    <row r="10">
      <c r="A10" s="11" t="inlineStr">
        <is>
          <t>BTG Pactual Tesouro Selic Prev FIRF Ref. DI RL</t>
        </is>
      </c>
      <c r="B10" s="11" t="inlineStr">
        <is>
          <t>29.078.039/0001-03</t>
        </is>
      </c>
      <c r="C10" s="11" t="inlineStr">
        <is>
          <t>Renda Fixa</t>
        </is>
      </c>
      <c r="D10" s="11" t="inlineStr">
        <is>
          <t>BTG PACTUAL ASSET MANAGEMENT S/A DTVM</t>
        </is>
      </c>
      <c r="E10" s="11" t="inlineStr">
        <is>
          <t>btg</t>
        </is>
      </c>
      <c r="F10" s="19" t="n">
        <v>998773463.86</v>
      </c>
      <c r="G10" s="19" t="n">
        <v>601517842.52</v>
      </c>
      <c r="H10" s="20" t="n">
        <v>397255621.34</v>
      </c>
      <c r="I10" s="19" t="n">
        <v>6436728595.94</v>
      </c>
      <c r="J10" s="19" t="n">
        <v>7034272971.74</v>
      </c>
      <c r="K10" s="21" t="n">
        <v>6.17</v>
      </c>
      <c r="L10" s="21" t="n">
        <v>3.08</v>
      </c>
      <c r="M10" s="22" t="n">
        <v>59</v>
      </c>
      <c r="N10" s="11" t="inlineStr">
        <is>
          <t>acelerando</t>
        </is>
      </c>
      <c r="O10" s="11" t="inlineStr"/>
    </row>
    <row r="11">
      <c r="A11" s="11" t="inlineStr">
        <is>
          <t>Trend Pós-Fixado XP Seg Prev FIC FIRF</t>
        </is>
      </c>
      <c r="B11" s="11" t="inlineStr">
        <is>
          <t>33.784.231/0001-92</t>
        </is>
      </c>
      <c r="C11" s="11" t="inlineStr">
        <is>
          <t>Renda Fixa</t>
        </is>
      </c>
      <c r="D11" s="11" t="inlineStr">
        <is>
          <t>XP VISTA ASSET MANAGEMENT LTDA.</t>
        </is>
      </c>
      <c r="E11" s="11" t="inlineStr">
        <is>
          <t>xp</t>
        </is>
      </c>
      <c r="F11" s="19" t="n">
        <v>943628573.9400001</v>
      </c>
      <c r="G11" s="19" t="n">
        <v>549418989.73</v>
      </c>
      <c r="H11" s="20" t="n">
        <v>394209584.21</v>
      </c>
      <c r="I11" s="19" t="n">
        <v>6596703326.12</v>
      </c>
      <c r="J11" s="19" t="n">
        <v>7185474771.74</v>
      </c>
      <c r="K11" s="21" t="n">
        <v>5.98</v>
      </c>
      <c r="L11" s="21" t="n">
        <v>3.02</v>
      </c>
      <c r="M11" s="22" t="n">
        <v>59</v>
      </c>
      <c r="N11" s="11" t="inlineStr">
        <is>
          <t>desacelerando</t>
        </is>
      </c>
      <c r="O11" s="11" t="inlineStr"/>
    </row>
    <row r="12">
      <c r="A12" s="11" t="inlineStr">
        <is>
          <t>JGP Crédito Prev Advisory XP Seg FIC RF CP</t>
        </is>
      </c>
      <c r="B12" s="11" t="inlineStr">
        <is>
          <t>32.319.225/0001-00</t>
        </is>
      </c>
      <c r="C12" s="11" t="inlineStr">
        <is>
          <t>Renda Fixa</t>
        </is>
      </c>
      <c r="D12" s="11" t="inlineStr">
        <is>
          <t>LETO ASSET MANAGEMENT LTDA</t>
        </is>
      </c>
      <c r="E12" s="11" t="inlineStr">
        <is>
          <t>xp</t>
        </is>
      </c>
      <c r="F12" s="19" t="n">
        <v>465590023.15</v>
      </c>
      <c r="G12" s="19" t="n">
        <v>151432051.18</v>
      </c>
      <c r="H12" s="20" t="n">
        <v>314157971.97</v>
      </c>
      <c r="I12" s="19" t="n">
        <v>3368793489.26</v>
      </c>
      <c r="J12" s="19" t="n">
        <v>3790270135.96</v>
      </c>
      <c r="K12" s="21" t="n">
        <v>9.33</v>
      </c>
      <c r="L12" s="21" t="n">
        <v>3.07</v>
      </c>
      <c r="M12" s="22" t="n">
        <v>59</v>
      </c>
      <c r="N12" s="11" t="inlineStr">
        <is>
          <t>estável</t>
        </is>
      </c>
      <c r="O12" s="11" t="inlineStr"/>
    </row>
    <row r="13">
      <c r="A13" s="11" t="inlineStr">
        <is>
          <t>Artesanal Prev FIM RL</t>
        </is>
      </c>
      <c r="B13" s="11" t="inlineStr">
        <is>
          <t>53.497.497/0001-61</t>
        </is>
      </c>
      <c r="C13" s="11" t="inlineStr">
        <is>
          <t>Multimercados</t>
        </is>
      </c>
      <c r="D13" s="11" t="inlineStr">
        <is>
          <t>ARTESANAL INVESTIMENTOS LTDA</t>
        </is>
      </c>
      <c r="E13" s="11" t="inlineStr">
        <is>
          <t>btg</t>
        </is>
      </c>
      <c r="F13" s="19" t="n">
        <v>312682501.01</v>
      </c>
      <c r="G13" s="19" t="n">
        <v>63404906.74</v>
      </c>
      <c r="H13" s="20" t="n">
        <v>249277594.27</v>
      </c>
      <c r="I13" s="19" t="n">
        <v>1088227373.64</v>
      </c>
      <c r="J13" s="19" t="n">
        <v>1369803166.58</v>
      </c>
      <c r="K13" s="21" t="n">
        <v>22.91</v>
      </c>
      <c r="L13" s="21" t="n">
        <v>3.07</v>
      </c>
      <c r="M13" s="22" t="n">
        <v>59</v>
      </c>
      <c r="N13" s="11" t="inlineStr">
        <is>
          <t>estável</t>
        </is>
      </c>
      <c r="O13" s="11" t="inlineStr"/>
    </row>
    <row r="14">
      <c r="A14" s="11" t="inlineStr">
        <is>
          <t>Tyton Credito Prev FIM CrPr RL</t>
        </is>
      </c>
      <c r="B14" s="11" t="inlineStr">
        <is>
          <t>53.847.333/0001-17</t>
        </is>
      </c>
      <c r="C14" s="11" t="inlineStr">
        <is>
          <t>Multimercados</t>
        </is>
      </c>
      <c r="D14" s="11" t="inlineStr">
        <is>
          <t>TYTON CAPITAL INVESTIMENTOS LTDA.</t>
        </is>
      </c>
      <c r="E14" s="11" t="inlineStr">
        <is>
          <t>btg</t>
        </is>
      </c>
      <c r="F14" s="19" t="n">
        <v>262769645.56</v>
      </c>
      <c r="G14" s="19" t="n">
        <v>17810857.73</v>
      </c>
      <c r="H14" s="20" t="n">
        <v>244958787.83</v>
      </c>
      <c r="I14" s="19" t="n">
        <v>533209588.83</v>
      </c>
      <c r="J14" s="19" t="n">
        <v>798566169.08</v>
      </c>
      <c r="K14" s="21" t="n">
        <v>45.94</v>
      </c>
      <c r="L14" s="21" t="n">
        <v>3.29</v>
      </c>
      <c r="M14" s="22" t="n">
        <v>59</v>
      </c>
      <c r="N14" s="11" t="inlineStr">
        <is>
          <t>estável</t>
        </is>
      </c>
      <c r="O14" s="11" t="inlineStr"/>
    </row>
    <row r="15">
      <c r="A15" s="11" t="inlineStr">
        <is>
          <t>Icatu Vanguarda Dinâmico Cdi Xp Seg Fim Crédito Rl</t>
        </is>
      </c>
      <c r="B15" s="11" t="inlineStr">
        <is>
          <t>53.990.541/0001-70</t>
        </is>
      </c>
      <c r="C15" s="11" t="inlineStr">
        <is>
          <t>Multimercados</t>
        </is>
      </c>
      <c r="D15" s="11" t="inlineStr">
        <is>
          <t>ICATU VANGUARDA GESTÃO DE RECURSOS LTDA</t>
        </is>
      </c>
      <c r="E15" s="11" t="inlineStr">
        <is>
          <t>xp</t>
        </is>
      </c>
      <c r="F15" s="19" t="n">
        <v>172668089.77</v>
      </c>
      <c r="G15" s="19" t="n">
        <v>15942793.28</v>
      </c>
      <c r="H15" s="20" t="n">
        <v>156725296.49</v>
      </c>
      <c r="I15" s="19" t="n">
        <v>472088942.74</v>
      </c>
      <c r="J15" s="19" t="n">
        <v>642857982.38</v>
      </c>
      <c r="K15" s="21" t="n">
        <v>33.2</v>
      </c>
      <c r="L15" s="21" t="n">
        <v>3</v>
      </c>
      <c r="M15" s="22" t="n">
        <v>59</v>
      </c>
      <c r="N15" s="11" t="inlineStr">
        <is>
          <t>estável</t>
        </is>
      </c>
      <c r="O15" s="11" t="inlineStr"/>
    </row>
    <row r="16">
      <c r="A16" s="11" t="inlineStr">
        <is>
          <t>XP Crédito Estruturado XP Seg Prev FIC FIRF</t>
        </is>
      </c>
      <c r="B16" s="11" t="inlineStr">
        <is>
          <t>36.352.610/0001-00</t>
        </is>
      </c>
      <c r="C16" s="11" t="inlineStr">
        <is>
          <t>Renda Fixa</t>
        </is>
      </c>
      <c r="D16" s="11" t="inlineStr">
        <is>
          <t>XP VIDA E PREVIDÊNCIA S.A.</t>
        </is>
      </c>
      <c r="E16" s="11" t="inlineStr">
        <is>
          <t>xp</t>
        </is>
      </c>
      <c r="F16" s="19" t="n">
        <v>216474459.29</v>
      </c>
      <c r="G16" s="19" t="n">
        <v>71298488.68000001</v>
      </c>
      <c r="H16" s="20" t="n">
        <v>145175970.61</v>
      </c>
      <c r="I16" s="19" t="n">
        <v>815357242.46</v>
      </c>
      <c r="J16" s="19" t="n">
        <v>983412035.38</v>
      </c>
      <c r="K16" s="21" t="n">
        <v>17.81</v>
      </c>
      <c r="L16" s="21" t="n">
        <v>2.99</v>
      </c>
      <c r="M16" s="22" t="n">
        <v>58</v>
      </c>
      <c r="N16" s="11" t="inlineStr">
        <is>
          <t>desacelerando</t>
        </is>
      </c>
      <c r="O16" s="11" t="inlineStr"/>
    </row>
    <row r="17">
      <c r="A17" s="11" t="inlineStr">
        <is>
          <t>Patria Previdenciário XP Seg FIC MM CP RL</t>
        </is>
      </c>
      <c r="B17" s="11" t="inlineStr">
        <is>
          <t>53.990.084/0001-14</t>
        </is>
      </c>
      <c r="C17" s="11" t="inlineStr">
        <is>
          <t>Multimercados</t>
        </is>
      </c>
      <c r="D17" s="11" t="inlineStr">
        <is>
          <t>PÁTRIA INVESTIMENTOS LTDA.</t>
        </is>
      </c>
      <c r="E17" s="11" t="inlineStr">
        <is>
          <t>xp</t>
        </is>
      </c>
      <c r="F17" s="19" t="n">
        <v>142724187.4</v>
      </c>
      <c r="G17" s="19" t="n">
        <v>1739058.8</v>
      </c>
      <c r="H17" s="20" t="n">
        <v>140985128.6</v>
      </c>
      <c r="I17" s="19" t="n">
        <v>257269061.45</v>
      </c>
      <c r="J17" s="19" t="n">
        <v>405299418.53</v>
      </c>
      <c r="K17" s="21" t="n">
        <v>54.8</v>
      </c>
      <c r="L17" s="21" t="n">
        <v>3.13</v>
      </c>
      <c r="M17" s="22" t="n">
        <v>58</v>
      </c>
      <c r="N17" s="11" t="inlineStr">
        <is>
          <t>estável</t>
        </is>
      </c>
      <c r="O17" s="11" t="inlineStr"/>
    </row>
    <row r="18">
      <c r="A18" s="11" t="inlineStr">
        <is>
          <t>Xp Liquidez 50 Firf Rl</t>
        </is>
      </c>
      <c r="B18" s="11" t="inlineStr">
        <is>
          <t>52.986.302/0001-84</t>
        </is>
      </c>
      <c r="C18" s="11" t="inlineStr">
        <is>
          <t>Renda Fixa</t>
        </is>
      </c>
      <c r="D18" s="11" t="inlineStr">
        <is>
          <t>XP VISTA ASSET MANAGEMENT LTDA.</t>
        </is>
      </c>
      <c r="E18" s="11" t="inlineStr">
        <is>
          <t>xp</t>
        </is>
      </c>
      <c r="F18" s="19" t="n">
        <v>248864422.58</v>
      </c>
      <c r="G18" s="19" t="n">
        <v>113567392.83</v>
      </c>
      <c r="H18" s="20" t="n">
        <v>135297029.75</v>
      </c>
      <c r="I18" s="19" t="n">
        <v>925976760.17</v>
      </c>
      <c r="J18" s="19" t="n">
        <v>1088591216.87</v>
      </c>
      <c r="K18" s="21" t="n">
        <v>14.61</v>
      </c>
      <c r="L18" s="21" t="n">
        <v>3.06</v>
      </c>
      <c r="M18" s="22" t="n">
        <v>59</v>
      </c>
      <c r="N18" s="11" t="inlineStr">
        <is>
          <t>estável</t>
        </is>
      </c>
      <c r="O18" s="11" t="inlineStr"/>
    </row>
    <row r="19">
      <c r="A19" s="11" t="inlineStr">
        <is>
          <t>BTG CDB Plus Prev FIM CrPr RL</t>
        </is>
      </c>
      <c r="B19" s="11" t="inlineStr">
        <is>
          <t>47.564.915/0001-93</t>
        </is>
      </c>
      <c r="C19" s="11" t="inlineStr">
        <is>
          <t>Multimercados</t>
        </is>
      </c>
      <c r="D19" s="11" t="inlineStr">
        <is>
          <t>BTG PACTUAL ASSET MANAGEMENT S/A DTVM</t>
        </is>
      </c>
      <c r="E19" s="11" t="inlineStr">
        <is>
          <t>btg</t>
        </is>
      </c>
      <c r="F19" s="19" t="n">
        <v>282907423.04</v>
      </c>
      <c r="G19" s="19" t="n">
        <v>148417197.11</v>
      </c>
      <c r="H19" s="20" t="n">
        <v>134490225.93</v>
      </c>
      <c r="I19" s="19" t="n">
        <v>1959400686.76</v>
      </c>
      <c r="J19" s="19" t="n">
        <v>2154707664.79</v>
      </c>
      <c r="K19" s="21" t="n">
        <v>6.86</v>
      </c>
      <c r="L19" s="21" t="n">
        <v>3.06</v>
      </c>
      <c r="M19" s="22" t="n">
        <v>59</v>
      </c>
      <c r="N19" s="11" t="inlineStr">
        <is>
          <t>desacelerando</t>
        </is>
      </c>
      <c r="O19" s="11" t="inlineStr"/>
    </row>
    <row r="20">
      <c r="A20" s="11" t="inlineStr">
        <is>
          <t>Bradesco Ultra Xp Seg Prev Ficfirf</t>
        </is>
      </c>
      <c r="B20" s="11" t="inlineStr">
        <is>
          <t>52.986.170/0001-90</t>
        </is>
      </c>
      <c r="C20" s="11" t="inlineStr">
        <is>
          <t>Renda Fixa</t>
        </is>
      </c>
      <c r="D20" s="11" t="inlineStr">
        <is>
          <t>XP VIDA E PREVIDÊNCIA S.A.</t>
        </is>
      </c>
      <c r="E20" s="11" t="inlineStr">
        <is>
          <t>xp</t>
        </is>
      </c>
      <c r="F20" s="19" t="n">
        <v>149778824.33</v>
      </c>
      <c r="G20" s="19" t="n">
        <v>35670094.56</v>
      </c>
      <c r="H20" s="20" t="n">
        <v>114108729.77</v>
      </c>
      <c r="I20" s="19" t="n">
        <v>686773202.01</v>
      </c>
      <c r="J20" s="19" t="n">
        <v>822378079.83</v>
      </c>
      <c r="K20" s="21" t="n">
        <v>16.62</v>
      </c>
      <c r="L20" s="21" t="n">
        <v>3.09</v>
      </c>
      <c r="M20" s="22" t="n">
        <v>59</v>
      </c>
      <c r="N20" s="11" t="inlineStr">
        <is>
          <t>acelerando</t>
        </is>
      </c>
      <c r="O20" s="11" t="inlineStr"/>
    </row>
    <row r="21">
      <c r="A21" s="11" t="inlineStr">
        <is>
          <t>MAG Prev Cash FICFIRF Access RL</t>
        </is>
      </c>
      <c r="B21" s="11" t="inlineStr">
        <is>
          <t>51.168.372/0001-62</t>
        </is>
      </c>
      <c r="C21" s="11" t="inlineStr">
        <is>
          <t>Renda Fixa</t>
        </is>
      </c>
      <c r="D21" s="11" t="inlineStr">
        <is>
          <t>BTG PACTUAL GESTÃO E CONSULTORIA DE INVESTIMENTOS LTDA</t>
        </is>
      </c>
      <c r="E21" s="11" t="inlineStr">
        <is>
          <t>btg</t>
        </is>
      </c>
      <c r="F21" s="19" t="n">
        <v>128926298.62</v>
      </c>
      <c r="G21" s="19" t="n">
        <v>15315493.26</v>
      </c>
      <c r="H21" s="20" t="n">
        <v>113610805.36</v>
      </c>
      <c r="I21" s="19" t="n">
        <v>319179506.89</v>
      </c>
      <c r="J21" s="19" t="n">
        <v>441927087.46</v>
      </c>
      <c r="K21" s="21" t="n">
        <v>35.59</v>
      </c>
      <c r="L21" s="21" t="n">
        <v>3.09</v>
      </c>
      <c r="M21" s="22" t="n">
        <v>59</v>
      </c>
      <c r="N21" s="11" t="inlineStr">
        <is>
          <t>desacelerando</t>
        </is>
      </c>
      <c r="O21" s="11" t="inlineStr"/>
    </row>
    <row r="22">
      <c r="A22" s="11" t="inlineStr">
        <is>
          <t>Atena Prev Xp Seg Fic Firf Cp</t>
        </is>
      </c>
      <c r="B22" s="11" t="inlineStr">
        <is>
          <t>51.188.983/0001-72</t>
        </is>
      </c>
      <c r="C22" s="11" t="inlineStr">
        <is>
          <t>Renda Fixa</t>
        </is>
      </c>
      <c r="D22" s="11" t="inlineStr">
        <is>
          <t>ATENA CAPITAL GESTÃO DE RECURSOS LTDA.</t>
        </is>
      </c>
      <c r="E22" s="11" t="inlineStr">
        <is>
          <t>xp</t>
        </is>
      </c>
      <c r="F22" s="19" t="n">
        <v>109932920.64</v>
      </c>
      <c r="G22" s="19" t="n">
        <v>16992715.09</v>
      </c>
      <c r="H22" s="20" t="n">
        <v>92940205.55</v>
      </c>
      <c r="I22" s="19" t="n">
        <v>413424912.84</v>
      </c>
      <c r="J22" s="19" t="n">
        <v>518443755.63</v>
      </c>
      <c r="K22" s="21" t="n">
        <v>22.48</v>
      </c>
      <c r="L22" s="21" t="n">
        <v>3.12</v>
      </c>
      <c r="M22" s="22" t="n">
        <v>59</v>
      </c>
      <c r="N22" s="11" t="inlineStr">
        <is>
          <t>estável</t>
        </is>
      </c>
      <c r="O22" s="11" t="inlineStr"/>
    </row>
    <row r="23">
      <c r="A23" s="11" t="inlineStr">
        <is>
          <t>M8 Capital Prev FICFIRF CrPr RL</t>
        </is>
      </c>
      <c r="B23" s="11" t="inlineStr">
        <is>
          <t>47.350.581/0001-55</t>
        </is>
      </c>
      <c r="C23" s="11" t="inlineStr">
        <is>
          <t>Renda Fixa</t>
        </is>
      </c>
      <c r="D23" s="11" t="inlineStr">
        <is>
          <t>M8 PARTNERS GESTORA DE RECURSOS LTDA.</t>
        </is>
      </c>
      <c r="E23" s="11" t="inlineStr">
        <is>
          <t>btg</t>
        </is>
      </c>
      <c r="F23" s="19" t="n">
        <v>102665890.42</v>
      </c>
      <c r="G23" s="19" t="n">
        <v>18985001.53</v>
      </c>
      <c r="H23" s="20" t="n">
        <v>83680888.89</v>
      </c>
      <c r="I23" s="19" t="n">
        <v>827954927.62</v>
      </c>
      <c r="J23" s="19" t="n">
        <v>936442972.3200001</v>
      </c>
      <c r="K23" s="21" t="n">
        <v>10.11</v>
      </c>
      <c r="L23" s="21" t="n">
        <v>3.09</v>
      </c>
      <c r="M23" s="22" t="n">
        <v>59</v>
      </c>
      <c r="N23" s="11" t="inlineStr">
        <is>
          <t>estável</t>
        </is>
      </c>
      <c r="O23" s="11" t="inlineStr"/>
    </row>
    <row r="24">
      <c r="A24" s="11" t="inlineStr">
        <is>
          <t>Augme Prev Ficfim Cp</t>
        </is>
      </c>
      <c r="B24" s="11" t="inlineStr">
        <is>
          <t>53.482.542/0001-04</t>
        </is>
      </c>
      <c r="C24" s="11" t="inlineStr">
        <is>
          <t>Multimercados</t>
        </is>
      </c>
      <c r="D24" s="11" t="inlineStr">
        <is>
          <t>XP VIDA E PREVIDÊNCIA S.A.</t>
        </is>
      </c>
      <c r="E24" s="11" t="inlineStr">
        <is>
          <t>xp</t>
        </is>
      </c>
      <c r="F24" s="19" t="n">
        <v>93123903.31999999</v>
      </c>
      <c r="G24" s="19" t="n">
        <v>15682002.48</v>
      </c>
      <c r="H24" s="20" t="n">
        <v>77441900.84</v>
      </c>
      <c r="I24" s="19" t="n">
        <v>374555436.24</v>
      </c>
      <c r="J24" s="19" t="n">
        <v>463711363.43</v>
      </c>
      <c r="K24" s="21" t="n">
        <v>20.68</v>
      </c>
      <c r="L24" s="21" t="n">
        <v>2.89</v>
      </c>
      <c r="M24" s="22" t="n">
        <v>59</v>
      </c>
      <c r="N24" s="11" t="inlineStr">
        <is>
          <t>acelerando</t>
        </is>
      </c>
      <c r="O24" s="11" t="inlineStr"/>
    </row>
    <row r="25">
      <c r="A25" s="11" t="inlineStr">
        <is>
          <t>Vinci Crédito Prev Advisory Firf Cp Rl</t>
        </is>
      </c>
      <c r="B25" s="11" t="inlineStr">
        <is>
          <t>44.230.868/0001-53</t>
        </is>
      </c>
      <c r="C25" s="11" t="inlineStr">
        <is>
          <t>Renda Fixa</t>
        </is>
      </c>
      <c r="D25" s="11" t="inlineStr">
        <is>
          <t>VINCI GESTORA DE RECURSOS LTDA</t>
        </is>
      </c>
      <c r="E25" s="11" t="inlineStr">
        <is>
          <t>xp</t>
        </is>
      </c>
      <c r="F25" s="19" t="n">
        <v>82865906.26000001</v>
      </c>
      <c r="G25" s="19" t="n">
        <v>10765101.9</v>
      </c>
      <c r="H25" s="20" t="n">
        <v>72100804.36</v>
      </c>
      <c r="I25" s="19" t="n">
        <v>264255858.21</v>
      </c>
      <c r="J25" s="19" t="n">
        <v>345949185.59</v>
      </c>
      <c r="K25" s="21" t="n">
        <v>27.28</v>
      </c>
      <c r="L25" s="21" t="n">
        <v>3.36</v>
      </c>
      <c r="M25" s="22" t="n">
        <v>59</v>
      </c>
      <c r="N25" s="11" t="inlineStr">
        <is>
          <t>acelerando</t>
        </is>
      </c>
      <c r="O25" s="11" t="inlineStr"/>
    </row>
    <row r="26">
      <c r="A26" s="11" t="inlineStr">
        <is>
          <t>BTG Pactual Total Prev FICFIM RL</t>
        </is>
      </c>
      <c r="B26" s="11" t="inlineStr">
        <is>
          <t>50.875.410/0001-54</t>
        </is>
      </c>
      <c r="C26" s="11" t="inlineStr">
        <is>
          <t>Multimercados</t>
        </is>
      </c>
      <c r="D26" s="11" t="inlineStr">
        <is>
          <t>BTG PACTUAL ASSET MANAGEMENT S/A DTVM</t>
        </is>
      </c>
      <c r="E26" s="11" t="inlineStr">
        <is>
          <t>btg</t>
        </is>
      </c>
      <c r="F26" s="19" t="n">
        <v>72877046.41</v>
      </c>
      <c r="G26" s="19" t="n">
        <v>1259250.15</v>
      </c>
      <c r="H26" s="20" t="n">
        <v>71617796.26000001</v>
      </c>
      <c r="I26" s="19" t="n">
        <v>34471876.85</v>
      </c>
      <c r="J26" s="19" t="n">
        <v>108204385.69</v>
      </c>
      <c r="K26" s="21" t="n">
        <v>207.76</v>
      </c>
      <c r="L26" s="21" t="n">
        <v>3.25</v>
      </c>
      <c r="M26" s="22" t="n">
        <v>59</v>
      </c>
      <c r="N26" s="11" t="inlineStr">
        <is>
          <t>estável</t>
        </is>
      </c>
      <c r="O26" s="11" t="inlineStr"/>
    </row>
    <row r="27">
      <c r="A27" s="11" t="inlineStr">
        <is>
          <t>Capitânia Previdence Xp Seg Fif Rf Cp Rl</t>
        </is>
      </c>
      <c r="B27" s="11" t="inlineStr">
        <is>
          <t>61.725.196/0001-76</t>
        </is>
      </c>
      <c r="C27" s="11" t="inlineStr">
        <is>
          <t>Renda Fixa</t>
        </is>
      </c>
      <c r="D27" s="11" t="inlineStr">
        <is>
          <t>CAPITANIA PREV S.A.</t>
        </is>
      </c>
      <c r="E27" s="11" t="inlineStr">
        <is>
          <t>xp</t>
        </is>
      </c>
      <c r="F27" s="19" t="n">
        <v>74872907.3</v>
      </c>
      <c r="G27" s="19" t="n">
        <v>10349982.02</v>
      </c>
      <c r="H27" s="20" t="n">
        <v>64522925.28</v>
      </c>
      <c r="I27" s="19" t="n">
        <v>77271376.25</v>
      </c>
      <c r="J27" s="19" t="n">
        <v>144746227.29</v>
      </c>
      <c r="K27" s="21" t="n">
        <v>83.5</v>
      </c>
      <c r="L27" s="21" t="n">
        <v>3.1</v>
      </c>
      <c r="M27" s="22" t="n">
        <v>59</v>
      </c>
      <c r="N27" s="11" t="inlineStr">
        <is>
          <t>acelerando</t>
        </is>
      </c>
      <c r="O27" s="11" t="inlineStr"/>
    </row>
    <row r="28">
      <c r="A28" s="11" t="inlineStr">
        <is>
          <t>Bnp Paribas Match Plus Xp Seguros Ficfirf Cp</t>
        </is>
      </c>
      <c r="B28" s="11" t="inlineStr">
        <is>
          <t>51.673.830/0001-10</t>
        </is>
      </c>
      <c r="C28" s="11" t="inlineStr">
        <is>
          <t>Renda Fixa</t>
        </is>
      </c>
      <c r="D28" s="11" t="inlineStr">
        <is>
          <t>XP VIDA E PREVIDÊNCIA S.A.</t>
        </is>
      </c>
      <c r="E28" s="11" t="inlineStr">
        <is>
          <t>xp</t>
        </is>
      </c>
      <c r="F28" s="19" t="n">
        <v>114736262.26</v>
      </c>
      <c r="G28" s="19" t="n">
        <v>51820543.55</v>
      </c>
      <c r="H28" s="20" t="n">
        <v>62915718.71</v>
      </c>
      <c r="I28" s="19" t="n">
        <v>716942040.13</v>
      </c>
      <c r="J28" s="19" t="n">
        <v>801964207.76</v>
      </c>
      <c r="K28" s="21" t="n">
        <v>8.779999999999999</v>
      </c>
      <c r="L28" s="21" t="n">
        <v>3.05</v>
      </c>
      <c r="M28" s="22" t="n">
        <v>59</v>
      </c>
      <c r="N28" s="11" t="inlineStr">
        <is>
          <t>estável</t>
        </is>
      </c>
      <c r="O28" s="11" t="inlineStr"/>
    </row>
    <row r="29">
      <c r="A29" s="11" t="inlineStr">
        <is>
          <t>Root Capital Hg Prev Plus Xp Seg Fic De Fif Multi Cp Rl</t>
        </is>
      </c>
      <c r="B29" s="11" t="inlineStr">
        <is>
          <t>62.669.471/0001-44</t>
        </is>
      </c>
      <c r="C29" s="11" t="inlineStr">
        <is>
          <t>Renda Fixa</t>
        </is>
      </c>
      <c r="D29" s="11" t="inlineStr">
        <is>
          <t>ROOT CAPITAL - GESTÃO DE RECURSOS LTDA</t>
        </is>
      </c>
      <c r="E29" s="11" t="inlineStr">
        <is>
          <t>xp</t>
        </is>
      </c>
      <c r="F29" s="19" t="n">
        <v>65030118.06</v>
      </c>
      <c r="G29" s="19" t="n">
        <v>3127892.99</v>
      </c>
      <c r="H29" s="20" t="n">
        <v>61902225.07</v>
      </c>
      <c r="I29" s="19" t="n">
        <v>110751820.39</v>
      </c>
      <c r="J29" s="19" t="n">
        <v>175812232.3</v>
      </c>
      <c r="K29" s="21" t="n">
        <v>55.89</v>
      </c>
      <c r="L29" s="21" t="n">
        <v>3.17</v>
      </c>
      <c r="M29" s="22" t="n">
        <v>59</v>
      </c>
      <c r="N29" s="11" t="inlineStr">
        <is>
          <t>estável</t>
        </is>
      </c>
      <c r="O29" s="11" t="inlineStr"/>
    </row>
    <row r="30">
      <c r="A30" s="11" t="inlineStr">
        <is>
          <t>Bradesco Ultra Prev Access FICFIRF CrPr RL</t>
        </is>
      </c>
      <c r="B30" s="11" t="inlineStr">
        <is>
          <t>47.564.878/0001-13</t>
        </is>
      </c>
      <c r="C30" s="11" t="inlineStr">
        <is>
          <t>Renda Fixa</t>
        </is>
      </c>
      <c r="D30" s="11" t="inlineStr">
        <is>
          <t>BTG PACTUAL GESTÃO E CONSULTORIA DE INVESTIMENTOS LTDA</t>
        </is>
      </c>
      <c r="E30" s="11" t="inlineStr">
        <is>
          <t>btg</t>
        </is>
      </c>
      <c r="F30" s="19" t="n">
        <v>102903961.13</v>
      </c>
      <c r="G30" s="19" t="n">
        <v>42671503.96</v>
      </c>
      <c r="H30" s="20" t="n">
        <v>60232457.17</v>
      </c>
      <c r="I30" s="19" t="n">
        <v>837198263.97</v>
      </c>
      <c r="J30" s="19" t="n">
        <v>923676852.28</v>
      </c>
      <c r="K30" s="21" t="n">
        <v>7.19</v>
      </c>
      <c r="L30" s="21" t="n">
        <v>3.08</v>
      </c>
      <c r="M30" s="22" t="n">
        <v>59</v>
      </c>
      <c r="N30" s="11" t="inlineStr">
        <is>
          <t>acelerando</t>
        </is>
      </c>
      <c r="O30" s="11" t="inlineStr"/>
    </row>
    <row r="31">
      <c r="A31" s="11" t="inlineStr">
        <is>
          <t>Ibiuna Credit Xp Seg Prev Ficfim Cp Rl</t>
        </is>
      </c>
      <c r="B31" s="11" t="inlineStr">
        <is>
          <t>44.409.353/0001-15</t>
        </is>
      </c>
      <c r="C31" s="11" t="inlineStr">
        <is>
          <t>Multimercados</t>
        </is>
      </c>
      <c r="D31" s="11" t="inlineStr">
        <is>
          <t>XP VIDA E PREVIDÊNCIA S.A.</t>
        </is>
      </c>
      <c r="E31" s="11" t="inlineStr">
        <is>
          <t>xp</t>
        </is>
      </c>
      <c r="F31" s="19" t="n">
        <v>77710148.98999999</v>
      </c>
      <c r="G31" s="19" t="n">
        <v>18681408.82</v>
      </c>
      <c r="H31" s="20" t="n">
        <v>59028740.17</v>
      </c>
      <c r="I31" s="19" t="n">
        <v>367655122.58</v>
      </c>
      <c r="J31" s="19" t="n">
        <v>437900504.63</v>
      </c>
      <c r="K31" s="21" t="n">
        <v>16.06</v>
      </c>
      <c r="L31" s="21" t="n">
        <v>2.77</v>
      </c>
      <c r="M31" s="22" t="n">
        <v>59</v>
      </c>
      <c r="N31" s="11" t="inlineStr">
        <is>
          <t>desacelerando</t>
        </is>
      </c>
      <c r="O31" s="11" t="inlineStr"/>
    </row>
    <row r="32">
      <c r="A32" s="11" t="inlineStr">
        <is>
          <t>Mag Prev Rf Fic Fim</t>
        </is>
      </c>
      <c r="B32" s="11" t="inlineStr">
        <is>
          <t>45.645.112/0001-38</t>
        </is>
      </c>
      <c r="C32" s="11" t="inlineStr">
        <is>
          <t>Multimercados</t>
        </is>
      </c>
      <c r="D32" s="11" t="inlineStr">
        <is>
          <t>XP VIDA E PREVIDÊNCIA S.A.</t>
        </is>
      </c>
      <c r="E32" s="11" t="inlineStr">
        <is>
          <t>xp</t>
        </is>
      </c>
      <c r="F32" s="19" t="n">
        <v>73186585.70999999</v>
      </c>
      <c r="G32" s="19" t="n">
        <v>22030680.27</v>
      </c>
      <c r="H32" s="20" t="n">
        <v>51155905.44</v>
      </c>
      <c r="I32" s="19" t="n">
        <v>105446938.51</v>
      </c>
      <c r="J32" s="19" t="n">
        <v>160348577.81</v>
      </c>
      <c r="K32" s="21" t="n">
        <v>48.51</v>
      </c>
      <c r="L32" s="21" t="n">
        <v>3.12</v>
      </c>
      <c r="M32" s="22" t="n">
        <v>59</v>
      </c>
      <c r="N32" s="11" t="inlineStr">
        <is>
          <t>estável</t>
        </is>
      </c>
      <c r="O32" s="11" t="inlineStr"/>
    </row>
    <row r="33">
      <c r="A33" s="11" t="inlineStr">
        <is>
          <t>Trend B35 Prev XP Seg FIC FIRF RL</t>
        </is>
      </c>
      <c r="B33" s="11" t="inlineStr">
        <is>
          <t>27.077.318/0001-27</t>
        </is>
      </c>
      <c r="C33" s="11" t="inlineStr">
        <is>
          <t>Renda Fixa</t>
        </is>
      </c>
      <c r="D33" s="11" t="inlineStr">
        <is>
          <t>XP ALLOCATION ASSET MANAGEMENT LTDA</t>
        </is>
      </c>
      <c r="E33" s="11" t="inlineStr">
        <is>
          <t>xp</t>
        </is>
      </c>
      <c r="F33" s="19" t="n">
        <v>110001781.99</v>
      </c>
      <c r="G33" s="19" t="n">
        <v>59597313.66</v>
      </c>
      <c r="H33" s="20" t="n">
        <v>50404468.33</v>
      </c>
      <c r="I33" s="19" t="n">
        <v>1590416911.39</v>
      </c>
      <c r="J33" s="19" t="n">
        <v>1725818421.83</v>
      </c>
      <c r="K33" s="21" t="n">
        <v>3.17</v>
      </c>
      <c r="L33" s="21" t="n">
        <v>5.36</v>
      </c>
      <c r="M33" s="22" t="n">
        <v>58</v>
      </c>
      <c r="N33" s="11" t="inlineStr">
        <is>
          <t>acelerando</t>
        </is>
      </c>
      <c r="O33" s="11" t="inlineStr"/>
    </row>
    <row r="34">
      <c r="A34" s="11" t="inlineStr">
        <is>
          <t>Brave Prev XP Seguros FIC FIRF CP RL</t>
        </is>
      </c>
      <c r="B34" s="11" t="inlineStr">
        <is>
          <t>51.675.926/0001-18</t>
        </is>
      </c>
      <c r="C34" s="11" t="inlineStr">
        <is>
          <t>Renda Fixa</t>
        </is>
      </c>
      <c r="D34" s="11" t="inlineStr">
        <is>
          <t>BRAVE GESTORA DE RECURSOS LTDA.</t>
        </is>
      </c>
      <c r="E34" s="11" t="inlineStr">
        <is>
          <t>xp</t>
        </is>
      </c>
      <c r="F34" s="19" t="n">
        <v>64041767.24</v>
      </c>
      <c r="G34" s="19" t="n">
        <v>16829124.75</v>
      </c>
      <c r="H34" s="20" t="n">
        <v>47212642.49</v>
      </c>
      <c r="I34" s="19" t="n">
        <v>441714902.15</v>
      </c>
      <c r="J34" s="19" t="n">
        <v>506313928.44</v>
      </c>
      <c r="K34" s="21" t="n">
        <v>10.69</v>
      </c>
      <c r="L34" s="21" t="n">
        <v>3.11</v>
      </c>
      <c r="M34" s="22" t="n">
        <v>57</v>
      </c>
      <c r="N34" s="11" t="inlineStr">
        <is>
          <t>acelerando</t>
        </is>
      </c>
      <c r="O34" s="11" t="inlineStr"/>
    </row>
    <row r="35">
      <c r="A35" s="11" t="inlineStr">
        <is>
          <t>Icatu Vanguarda BP Dinâmico CDI PREV FIM</t>
        </is>
      </c>
      <c r="B35" s="11" t="inlineStr">
        <is>
          <t>64.717.139/0001-33</t>
        </is>
      </c>
      <c r="C35" s="11" t="inlineStr">
        <is>
          <t>Multimercados</t>
        </is>
      </c>
      <c r="D35" s="11" t="inlineStr">
        <is>
          <t>ICATU VANGUARDA GESTÃO DE RECURSOS LTDA</t>
        </is>
      </c>
      <c r="E35" s="11" t="inlineStr">
        <is>
          <t>btg</t>
        </is>
      </c>
      <c r="F35" s="19" t="n">
        <v>44874055.3</v>
      </c>
      <c r="G35" s="19" t="n">
        <v>526445.27</v>
      </c>
      <c r="H35" s="20" t="n">
        <v>44347610.03</v>
      </c>
      <c r="I35" s="19" t="n">
        <v>21874568.94</v>
      </c>
      <c r="J35" s="19" t="n">
        <v>67451473.54000001</v>
      </c>
      <c r="K35" s="21" t="n">
        <v>202.74</v>
      </c>
      <c r="L35" s="21" t="n">
        <v>3.13</v>
      </c>
      <c r="M35" s="22" t="n">
        <v>59</v>
      </c>
      <c r="N35" s="11" t="inlineStr">
        <is>
          <t>estável</t>
        </is>
      </c>
      <c r="O35" s="11" t="inlineStr"/>
    </row>
    <row r="36">
      <c r="A36" s="11" t="inlineStr">
        <is>
          <t>Occam BP Prev FIRF CrPr RL</t>
        </is>
      </c>
      <c r="B36" s="11" t="inlineStr">
        <is>
          <t>47.586.503/0001-54</t>
        </is>
      </c>
      <c r="C36" s="11" t="inlineStr">
        <is>
          <t>Renda Fixa</t>
        </is>
      </c>
      <c r="D36" s="11" t="inlineStr">
        <is>
          <t>NOVA OCCAM BRASIL GESTAO DE RECURSOS LTDA.</t>
        </is>
      </c>
      <c r="E36" s="11" t="inlineStr">
        <is>
          <t>btg</t>
        </is>
      </c>
      <c r="F36" s="19" t="n">
        <v>73266168.17</v>
      </c>
      <c r="G36" s="19" t="n">
        <v>33219767.19</v>
      </c>
      <c r="H36" s="20" t="n">
        <v>40046400.98</v>
      </c>
      <c r="I36" s="19" t="n">
        <v>569441254.23</v>
      </c>
      <c r="J36" s="19" t="n">
        <v>627843157.23</v>
      </c>
      <c r="K36" s="21" t="n">
        <v>7.03</v>
      </c>
      <c r="L36" s="21" t="n">
        <v>3.11</v>
      </c>
      <c r="M36" s="22" t="n">
        <v>59</v>
      </c>
      <c r="N36" s="11" t="inlineStr">
        <is>
          <t>acelerando</t>
        </is>
      </c>
      <c r="O36" s="11" t="inlineStr"/>
    </row>
    <row r="37">
      <c r="A37" s="11" t="inlineStr">
        <is>
          <t>Jive Soul 45 Xp Seg Prev Fic Multimercado Cp Rl</t>
        </is>
      </c>
      <c r="B37" s="11" t="inlineStr">
        <is>
          <t>53.990.872/0001-00</t>
        </is>
      </c>
      <c r="C37" s="11" t="inlineStr">
        <is>
          <t>Multimercados</t>
        </is>
      </c>
      <c r="D37" s="11" t="inlineStr">
        <is>
          <t>JIVE HIGH YIELD GESTÃO DE RECURSOS LTDA.</t>
        </is>
      </c>
      <c r="E37" s="11" t="inlineStr">
        <is>
          <t>xp</t>
        </is>
      </c>
      <c r="F37" s="19" t="n">
        <v>39978591.52</v>
      </c>
      <c r="G37" s="19" t="n">
        <v>1211676.27</v>
      </c>
      <c r="H37" s="20" t="n">
        <v>38766915.25</v>
      </c>
      <c r="I37" s="19" t="n">
        <v>45087679.45</v>
      </c>
      <c r="J37" s="19" t="n">
        <v>85228535.06999999</v>
      </c>
      <c r="K37" s="21" t="n">
        <v>85.98</v>
      </c>
      <c r="L37" s="21" t="n">
        <v>2.94</v>
      </c>
      <c r="M37" s="22" t="n">
        <v>58</v>
      </c>
      <c r="N37" s="11" t="inlineStr">
        <is>
          <t>acelerando</t>
        </is>
      </c>
      <c r="O37" s="11" t="inlineStr"/>
    </row>
    <row r="38">
      <c r="A38" s="11" t="inlineStr">
        <is>
          <t>Trend Inflação Curta XP Seg Prev FICFI RF</t>
        </is>
      </c>
      <c r="B38" s="11" t="inlineStr">
        <is>
          <t>32.065.041/0001-52</t>
        </is>
      </c>
      <c r="C38" s="11" t="inlineStr">
        <is>
          <t>Renda Fixa</t>
        </is>
      </c>
      <c r="D38" s="11" t="inlineStr">
        <is>
          <t>XP ALLOCATION ASSET MANAGEMENT LTDA</t>
        </is>
      </c>
      <c r="E38" s="11" t="inlineStr">
        <is>
          <t>xp</t>
        </is>
      </c>
      <c r="F38" s="19" t="n">
        <v>66040926.92</v>
      </c>
      <c r="G38" s="19" t="n">
        <v>28532044.49</v>
      </c>
      <c r="H38" s="20" t="n">
        <v>37508882.43</v>
      </c>
      <c r="I38" s="19" t="n">
        <v>500504218.07</v>
      </c>
      <c r="J38" s="19" t="n">
        <v>558451335.6900001</v>
      </c>
      <c r="K38" s="21" t="n">
        <v>7.49</v>
      </c>
      <c r="L38" s="21" t="n">
        <v>4.02</v>
      </c>
      <c r="M38" s="22" t="n">
        <v>58</v>
      </c>
      <c r="N38" s="11" t="inlineStr">
        <is>
          <t>estável</t>
        </is>
      </c>
      <c r="O38" s="11" t="inlineStr"/>
    </row>
    <row r="39">
      <c r="A39" s="11" t="inlineStr">
        <is>
          <t>Mapfre Confianza XP Seg FIC FIF RF RL</t>
        </is>
      </c>
      <c r="B39" s="11" t="inlineStr">
        <is>
          <t>56.385.272/0001-01</t>
        </is>
      </c>
      <c r="C39" s="11" t="inlineStr">
        <is>
          <t>Renda Fixa</t>
        </is>
      </c>
      <c r="D39" s="11" t="inlineStr">
        <is>
          <t>MAPFRE INVESTIMENTOS LTDA.</t>
        </is>
      </c>
      <c r="E39" s="11" t="inlineStr">
        <is>
          <t>xp</t>
        </is>
      </c>
      <c r="F39" s="19" t="n">
        <v>44991636.18</v>
      </c>
      <c r="G39" s="19" t="n">
        <v>8724273.189999999</v>
      </c>
      <c r="H39" s="20" t="n">
        <v>36267362.99</v>
      </c>
      <c r="I39" s="19" t="n">
        <v>40407776.78</v>
      </c>
      <c r="J39" s="19" t="n">
        <v>78151295.51000001</v>
      </c>
      <c r="K39" s="21" t="n">
        <v>89.75</v>
      </c>
      <c r="L39" s="21" t="n">
        <v>3.04</v>
      </c>
      <c r="M39" s="22" t="n">
        <v>59</v>
      </c>
      <c r="N39" s="11" t="inlineStr">
        <is>
          <t>acelerando</t>
        </is>
      </c>
      <c r="O39" s="11" t="inlineStr"/>
    </row>
    <row r="40">
      <c r="A40" s="11" t="inlineStr">
        <is>
          <t>BTG Pactual NTN B 2035 Yield Prev FIRF RL</t>
        </is>
      </c>
      <c r="B40" s="11" t="inlineStr">
        <is>
          <t>42.357.379/0001-31</t>
        </is>
      </c>
      <c r="C40" s="11" t="inlineStr">
        <is>
          <t>Renda Fixa</t>
        </is>
      </c>
      <c r="D40" s="11" t="inlineStr">
        <is>
          <t>BTG PACTUAL ASSET MANAGEMENT S/A DTVM</t>
        </is>
      </c>
      <c r="E40" s="11" t="inlineStr">
        <is>
          <t>btg</t>
        </is>
      </c>
      <c r="F40" s="19" t="n">
        <v>83829775.61</v>
      </c>
      <c r="G40" s="19" t="n">
        <v>47844533.03</v>
      </c>
      <c r="H40" s="20" t="n">
        <v>35985242.58</v>
      </c>
      <c r="I40" s="19" t="n">
        <v>1125501316.12</v>
      </c>
      <c r="J40" s="19" t="n">
        <v>1215322344.15</v>
      </c>
      <c r="K40" s="21" t="n">
        <v>3.2</v>
      </c>
      <c r="L40" s="21" t="n">
        <v>4.71</v>
      </c>
      <c r="M40" s="22" t="n">
        <v>59</v>
      </c>
      <c r="N40" s="11" t="inlineStr">
        <is>
          <t>acelerando</t>
        </is>
      </c>
      <c r="O40" s="11" t="inlineStr"/>
    </row>
    <row r="41">
      <c r="A41" s="11" t="inlineStr">
        <is>
          <t>Trend B50 Prev Xp Seg Fic Firf</t>
        </is>
      </c>
      <c r="B41" s="11" t="inlineStr">
        <is>
          <t>47.033.019/0001-06</t>
        </is>
      </c>
      <c r="C41" s="11" t="inlineStr">
        <is>
          <t>Renda Fixa</t>
        </is>
      </c>
      <c r="D41" s="11" t="inlineStr">
        <is>
          <t>XP ALLOCATION ASSET MANAGEMENT LTDA</t>
        </is>
      </c>
      <c r="E41" s="11" t="inlineStr">
        <is>
          <t>xp</t>
        </is>
      </c>
      <c r="F41" s="19" t="n">
        <v>52122201.79</v>
      </c>
      <c r="G41" s="19" t="n">
        <v>16498370.49</v>
      </c>
      <c r="H41" s="20" t="n">
        <v>35623831.3</v>
      </c>
      <c r="I41" s="19" t="n">
        <v>658022431.23</v>
      </c>
      <c r="J41" s="19" t="n">
        <v>730551639.17</v>
      </c>
      <c r="K41" s="21" t="n">
        <v>5.41</v>
      </c>
      <c r="L41" s="21" t="n">
        <v>5.56</v>
      </c>
      <c r="M41" s="22" t="n">
        <v>58</v>
      </c>
      <c r="N41" s="11" t="inlineStr">
        <is>
          <t>acelerando</t>
        </is>
      </c>
      <c r="O41" s="11" t="inlineStr"/>
    </row>
    <row r="42">
      <c r="A42" s="11" t="inlineStr">
        <is>
          <t>Itaú Dual Advanced XP Seg I FIF CIC Multi CP RL</t>
        </is>
      </c>
      <c r="B42" s="11" t="inlineStr">
        <is>
          <t>68.097.895/0001-68</t>
        </is>
      </c>
      <c r="C42" s="11" t="inlineStr">
        <is>
          <t>Multimercados</t>
        </is>
      </c>
      <c r="D42" s="11" t="inlineStr">
        <is>
          <t>ITAU UNIBANCO ASSET MANAGEMENT LTDA.</t>
        </is>
      </c>
      <c r="E42" s="11" t="inlineStr">
        <is>
          <t>xp</t>
        </is>
      </c>
      <c r="F42" s="19" t="n">
        <v>35120618.12</v>
      </c>
      <c r="G42" s="19" t="n">
        <v>0</v>
      </c>
      <c r="H42" s="20" t="n">
        <v>35120618.12</v>
      </c>
      <c r="I42" s="19" t="n">
        <v>62426.14</v>
      </c>
      <c r="J42" s="19" t="n">
        <v>35453722.54</v>
      </c>
      <c r="K42" s="21" t="n">
        <v>56259.47</v>
      </c>
      <c r="L42" s="21" t="n">
        <v>1.77</v>
      </c>
      <c r="M42" s="22" t="n">
        <v>35</v>
      </c>
      <c r="N42" s="11" t="inlineStr">
        <is>
          <t>desacelerando</t>
        </is>
      </c>
      <c r="O42" s="11" t="inlineStr"/>
    </row>
    <row r="43">
      <c r="A43" s="11" t="inlineStr">
        <is>
          <t>Polígono Charlie BP PREV FIF</t>
        </is>
      </c>
      <c r="B43" s="11" t="inlineStr">
        <is>
          <t>64.897.073/0001-00</t>
        </is>
      </c>
      <c r="C43" s="11" t="inlineStr">
        <is>
          <t>Renda Fixa</t>
        </is>
      </c>
      <c r="D43" s="11" t="inlineStr">
        <is>
          <t>POLÍGONO CAPITAL LTDA</t>
        </is>
      </c>
      <c r="E43" s="11" t="inlineStr">
        <is>
          <t>btg</t>
        </is>
      </c>
      <c r="F43" s="19" t="n">
        <v>35296046.3</v>
      </c>
      <c r="G43" s="19" t="n">
        <v>1496270.79</v>
      </c>
      <c r="H43" s="20" t="n">
        <v>33799775.51</v>
      </c>
      <c r="I43" s="19" t="n">
        <v>20212985.66</v>
      </c>
      <c r="J43" s="19" t="n">
        <v>54914075.19</v>
      </c>
      <c r="K43" s="21" t="n">
        <v>167.22</v>
      </c>
      <c r="L43" s="21" t="n">
        <v>3.17</v>
      </c>
      <c r="M43" s="22" t="n">
        <v>59</v>
      </c>
      <c r="N43" s="11" t="inlineStr">
        <is>
          <t>desacelerando</t>
        </is>
      </c>
      <c r="O43" s="11" t="inlineStr"/>
    </row>
    <row r="44">
      <c r="A44" s="11" t="inlineStr">
        <is>
          <t>M8 Capital XP Seg Previdência FIC FIRF CP RL</t>
        </is>
      </c>
      <c r="B44" s="11" t="inlineStr">
        <is>
          <t>61.539.506/0001-68</t>
        </is>
      </c>
      <c r="C44" s="11" t="inlineStr">
        <is>
          <t>Renda Fixa</t>
        </is>
      </c>
      <c r="D44" s="11" t="inlineStr">
        <is>
          <t>M8 PARTNERS GESTORA DE RECURSOS LTDA.</t>
        </is>
      </c>
      <c r="E44" s="11" t="inlineStr">
        <is>
          <t>xp</t>
        </is>
      </c>
      <c r="F44" s="19" t="n">
        <v>33578952.49</v>
      </c>
      <c r="G44" s="19" t="n">
        <v>782396</v>
      </c>
      <c r="H44" s="20" t="n">
        <v>32796556.49</v>
      </c>
      <c r="I44" s="19" t="n">
        <v>62509027.46</v>
      </c>
      <c r="J44" s="19" t="n">
        <v>97011632</v>
      </c>
      <c r="K44" s="21" t="n">
        <v>52.47</v>
      </c>
      <c r="L44" s="21" t="n">
        <v>3.08</v>
      </c>
      <c r="M44" s="22" t="n">
        <v>59</v>
      </c>
      <c r="N44" s="11" t="inlineStr">
        <is>
          <t>acelerando</t>
        </is>
      </c>
      <c r="O44" s="11" t="inlineStr"/>
    </row>
    <row r="45">
      <c r="A45" s="11" t="inlineStr">
        <is>
          <t>A1 High Grade Prev XP Seg FIC FIRF CP RL</t>
        </is>
      </c>
      <c r="B45" s="11" t="inlineStr">
        <is>
          <t>63.573.988/0001-06</t>
        </is>
      </c>
      <c r="C45" s="11" t="inlineStr">
        <is>
          <t>Renda Fixa</t>
        </is>
      </c>
      <c r="D45" s="11" t="inlineStr">
        <is>
          <t>ASSET1 INVESTIMENTOS S/A</t>
        </is>
      </c>
      <c r="E45" s="11" t="inlineStr">
        <is>
          <t>xp</t>
        </is>
      </c>
      <c r="F45" s="19" t="n">
        <v>33139693.38</v>
      </c>
      <c r="G45" s="19" t="n">
        <v>2943685.59</v>
      </c>
      <c r="H45" s="20" t="n">
        <v>30196007.79</v>
      </c>
      <c r="I45" s="19" t="n">
        <v>37651694.07</v>
      </c>
      <c r="J45" s="19" t="n">
        <v>73852128.09</v>
      </c>
      <c r="K45" s="21" t="n">
        <v>80.2</v>
      </c>
      <c r="L45" s="21" t="n">
        <v>3.16</v>
      </c>
      <c r="M45" s="22" t="n">
        <v>59</v>
      </c>
      <c r="N45" s="11" t="inlineStr">
        <is>
          <t>acelerando</t>
        </is>
      </c>
      <c r="O45" s="11" t="inlineStr"/>
    </row>
    <row r="46">
      <c r="A46" s="11" t="inlineStr">
        <is>
          <t>Trend Bolsa Americana 40 Prev XP FIM RL</t>
        </is>
      </c>
      <c r="B46" s="11" t="inlineStr">
        <is>
          <t>41.610.532/0001-28</t>
        </is>
      </c>
      <c r="C46" s="11" t="inlineStr">
        <is>
          <t>Multimercados</t>
        </is>
      </c>
      <c r="D46" s="11" t="inlineStr">
        <is>
          <t>XP ALLOCATION ASSET MANAGEMENT LTDA</t>
        </is>
      </c>
      <c r="E46" s="11" t="inlineStr">
        <is>
          <t>xp</t>
        </is>
      </c>
      <c r="F46" s="19" t="n">
        <v>42066562.55</v>
      </c>
      <c r="G46" s="19" t="n">
        <v>15191028.33</v>
      </c>
      <c r="H46" s="20" t="n">
        <v>26875534.22</v>
      </c>
      <c r="I46" s="19" t="n">
        <v>185388110.62</v>
      </c>
      <c r="J46" s="19" t="n">
        <v>220368784.01</v>
      </c>
      <c r="K46" s="21" t="n">
        <v>14.5</v>
      </c>
      <c r="L46" s="21" t="n">
        <v>4.11</v>
      </c>
      <c r="M46" s="22" t="n">
        <v>59</v>
      </c>
      <c r="N46" s="11" t="inlineStr">
        <is>
          <t>acelerando</t>
        </is>
      </c>
      <c r="O46" s="11" t="inlineStr"/>
    </row>
    <row r="47">
      <c r="A47" s="11" t="inlineStr">
        <is>
          <t>Exes Prev II FIE FIM CrPr RL</t>
        </is>
      </c>
      <c r="B47" s="11" t="inlineStr">
        <is>
          <t>60.859.486/0001-40</t>
        </is>
      </c>
      <c r="C47" s="11" t="inlineStr">
        <is>
          <t>Multimercados</t>
        </is>
      </c>
      <c r="D47" s="11" t="inlineStr">
        <is>
          <t>EXES GESTORA DE RECURSOS LTDA.</t>
        </is>
      </c>
      <c r="E47" s="11" t="inlineStr">
        <is>
          <t>btg</t>
        </is>
      </c>
      <c r="F47" s="19" t="n">
        <v>26736533.22</v>
      </c>
      <c r="G47" s="19" t="n">
        <v>711079.36</v>
      </c>
      <c r="H47" s="20" t="n">
        <v>26025453.86</v>
      </c>
      <c r="I47" s="19" t="n">
        <v>75445686.42</v>
      </c>
      <c r="J47" s="19" t="n">
        <v>103655462.56</v>
      </c>
      <c r="K47" s="21" t="n">
        <v>34.5</v>
      </c>
      <c r="L47" s="21" t="n">
        <v>2.96</v>
      </c>
      <c r="M47" s="22" t="n">
        <v>59</v>
      </c>
      <c r="N47" s="11" t="inlineStr">
        <is>
          <t>desacelerando</t>
        </is>
      </c>
      <c r="O47" s="11" t="inlineStr"/>
    </row>
    <row r="48">
      <c r="A48" s="11" t="inlineStr">
        <is>
          <t>Trend B29 Xp Seguros Prev Firf Rl</t>
        </is>
      </c>
      <c r="B48" s="11" t="inlineStr">
        <is>
          <t>49.228.354/0001-87</t>
        </is>
      </c>
      <c r="C48" s="11" t="inlineStr">
        <is>
          <t>Renda Fixa</t>
        </is>
      </c>
      <c r="D48" s="11" t="inlineStr">
        <is>
          <t>XP ALLOCATION ASSET MANAGEMENT LTDA</t>
        </is>
      </c>
      <c r="E48" s="11" t="inlineStr">
        <is>
          <t>xp</t>
        </is>
      </c>
      <c r="F48" s="19" t="n">
        <v>29198145.81</v>
      </c>
      <c r="G48" s="19" t="n">
        <v>4280646.68</v>
      </c>
      <c r="H48" s="20" t="n">
        <v>24917499.13</v>
      </c>
      <c r="I48" s="19" t="n">
        <v>57919436.37</v>
      </c>
      <c r="J48" s="19" t="n">
        <v>85862480.54000001</v>
      </c>
      <c r="K48" s="21" t="n">
        <v>43.02</v>
      </c>
      <c r="L48" s="21" t="n">
        <v>4.27</v>
      </c>
      <c r="M48" s="22" t="n">
        <v>59</v>
      </c>
      <c r="N48" s="11" t="inlineStr">
        <is>
          <t>desacelerando</t>
        </is>
      </c>
      <c r="O48" s="11" t="inlineStr"/>
    </row>
    <row r="49">
      <c r="A49" s="11" t="inlineStr">
        <is>
          <t>Persevera Prospera Xp Seg Prev Firf Cp</t>
        </is>
      </c>
      <c r="B49" s="11" t="inlineStr">
        <is>
          <t>53.856.982/0001-84</t>
        </is>
      </c>
      <c r="C49" s="11" t="inlineStr">
        <is>
          <t>Renda Fixa</t>
        </is>
      </c>
      <c r="D49" s="11" t="inlineStr">
        <is>
          <t>PERSEVERA GESTÃO DE RECURSOS LTDA.</t>
        </is>
      </c>
      <c r="E49" s="11" t="inlineStr">
        <is>
          <t>xp</t>
        </is>
      </c>
      <c r="F49" s="19" t="n">
        <v>72149539.5</v>
      </c>
      <c r="G49" s="19" t="n">
        <v>47453373.79</v>
      </c>
      <c r="H49" s="20" t="n">
        <v>24696165.71</v>
      </c>
      <c r="I49" s="19" t="n">
        <v>932398397.95</v>
      </c>
      <c r="J49" s="19" t="n">
        <v>987948045.09</v>
      </c>
      <c r="K49" s="21" t="n">
        <v>2.65</v>
      </c>
      <c r="L49" s="21" t="n">
        <v>3.32</v>
      </c>
      <c r="M49" s="22" t="n">
        <v>59</v>
      </c>
      <c r="N49" s="11" t="inlineStr">
        <is>
          <t>acelerando</t>
        </is>
      </c>
      <c r="O49" s="11" t="inlineStr"/>
    </row>
    <row r="50">
      <c r="A50" s="11" t="inlineStr">
        <is>
          <t>BTG Pactual Cred Corp II Prev FICFIM CrPr RL</t>
        </is>
      </c>
      <c r="B50" s="11" t="inlineStr">
        <is>
          <t>44.025.282/0001-57</t>
        </is>
      </c>
      <c r="C50" s="11" t="inlineStr">
        <is>
          <t>Multimercados</t>
        </is>
      </c>
      <c r="D50" s="11" t="inlineStr">
        <is>
          <t>BTG PACTUAL ASSET MANAGEMENT S/A DTVM</t>
        </is>
      </c>
      <c r="E50" s="11" t="inlineStr">
        <is>
          <t>btg</t>
        </is>
      </c>
      <c r="F50" s="19" t="n">
        <v>333602349.23</v>
      </c>
      <c r="G50" s="19" t="n">
        <v>310483404.3</v>
      </c>
      <c r="H50" s="20" t="n">
        <v>23118944.93</v>
      </c>
      <c r="I50" s="19" t="n">
        <v>5978154352.55</v>
      </c>
      <c r="J50" s="19" t="n">
        <v>6185234658.5</v>
      </c>
      <c r="K50" s="21" t="n">
        <v>0.39</v>
      </c>
      <c r="L50" s="21" t="n">
        <v>3.01</v>
      </c>
      <c r="M50" s="22" t="n">
        <v>59</v>
      </c>
      <c r="N50" s="11" t="inlineStr">
        <is>
          <t>virou entrada</t>
        </is>
      </c>
      <c r="O50" s="11" t="inlineStr"/>
    </row>
    <row r="51">
      <c r="A51" s="11" t="inlineStr">
        <is>
          <t>BTG Pactual Reference Tesouro Selic Prev FIRF RL</t>
        </is>
      </c>
      <c r="B51" s="11" t="inlineStr">
        <is>
          <t>55.275.422/0001-61</t>
        </is>
      </c>
      <c r="C51" s="11" t="inlineStr">
        <is>
          <t>Renda Fixa</t>
        </is>
      </c>
      <c r="D51" s="11" t="inlineStr">
        <is>
          <t>BTG PACTUAL ASSET MANAGEMENT S/A DTVM</t>
        </is>
      </c>
      <c r="E51" s="11" t="inlineStr">
        <is>
          <t>btg</t>
        </is>
      </c>
      <c r="F51" s="19" t="n">
        <v>28031145.42</v>
      </c>
      <c r="G51" s="19" t="n">
        <v>7086882.74</v>
      </c>
      <c r="H51" s="20" t="n">
        <v>20944262.68</v>
      </c>
      <c r="I51" s="19" t="n">
        <v>106908471.85</v>
      </c>
      <c r="J51" s="19" t="n">
        <v>130697103.28</v>
      </c>
      <c r="K51" s="21" t="n">
        <v>19.59</v>
      </c>
      <c r="L51" s="21" t="n">
        <v>3</v>
      </c>
      <c r="M51" s="22" t="n">
        <v>59</v>
      </c>
      <c r="N51" s="11" t="inlineStr">
        <is>
          <t>acelerando</t>
        </is>
      </c>
      <c r="O51" s="11" t="inlineStr"/>
    </row>
    <row r="52">
      <c r="A52" s="11" t="inlineStr">
        <is>
          <t>BTG Pactual Cred Corp Prev Ipca FIRF CrPr RL</t>
        </is>
      </c>
      <c r="B52" s="11" t="inlineStr">
        <is>
          <t>43.103.846/0001-60</t>
        </is>
      </c>
      <c r="C52" s="11" t="inlineStr">
        <is>
          <t>Renda Fixa</t>
        </is>
      </c>
      <c r="D52" s="11" t="inlineStr">
        <is>
          <t>BTG PACTUAL ASSET MANAGEMENT S/A DTVM</t>
        </is>
      </c>
      <c r="E52" s="11" t="inlineStr">
        <is>
          <t>btg</t>
        </is>
      </c>
      <c r="F52" s="19" t="n">
        <v>27723465.88</v>
      </c>
      <c r="G52" s="19" t="n">
        <v>6813067.89</v>
      </c>
      <c r="H52" s="20" t="n">
        <v>20910397.99</v>
      </c>
      <c r="I52" s="19" t="n">
        <v>111189773.94</v>
      </c>
      <c r="J52" s="19" t="n">
        <v>137387887.96</v>
      </c>
      <c r="K52" s="21" t="n">
        <v>18.81</v>
      </c>
      <c r="L52" s="21" t="n">
        <v>4.89</v>
      </c>
      <c r="M52" s="22" t="n">
        <v>59</v>
      </c>
      <c r="N52" s="11" t="inlineStr">
        <is>
          <t>acelerando</t>
        </is>
      </c>
      <c r="O52" s="11" t="inlineStr"/>
    </row>
    <row r="53">
      <c r="A53" s="11" t="inlineStr">
        <is>
          <t>Root Capital HY BTG Prev FICFIRF CrPr RL</t>
        </is>
      </c>
      <c r="B53" s="11" t="inlineStr">
        <is>
          <t>54.142.143/0001-67</t>
        </is>
      </c>
      <c r="C53" s="11" t="inlineStr">
        <is>
          <t>Renda Fixa</t>
        </is>
      </c>
      <c r="D53" s="11" t="inlineStr">
        <is>
          <t>ROOT CAPITAL - GESTÃO DE RECURSOS LTDA</t>
        </is>
      </c>
      <c r="E53" s="11" t="inlineStr">
        <is>
          <t>btg</t>
        </is>
      </c>
      <c r="F53" s="19" t="n">
        <v>20526592.51</v>
      </c>
      <c r="G53" s="19" t="n">
        <v>200464.08</v>
      </c>
      <c r="H53" s="20" t="n">
        <v>20326128.43</v>
      </c>
      <c r="I53" s="19" t="n">
        <v>116797270.65</v>
      </c>
      <c r="J53" s="19" t="n">
        <v>141276373.32</v>
      </c>
      <c r="K53" s="21" t="n">
        <v>17.4</v>
      </c>
      <c r="L53" s="21" t="n">
        <v>3.33</v>
      </c>
      <c r="M53" s="22" t="n">
        <v>59</v>
      </c>
      <c r="N53" s="11" t="inlineStr">
        <is>
          <t>desacelerando</t>
        </is>
      </c>
      <c r="O53" s="11" t="inlineStr"/>
    </row>
    <row r="54">
      <c r="A54" s="11" t="inlineStr">
        <is>
          <t>Itaú Dual Advanced Prev FIF FIC MM Access</t>
        </is>
      </c>
      <c r="B54" s="11" t="inlineStr">
        <is>
          <t>68.134.799/0001-42</t>
        </is>
      </c>
      <c r="C54" s="11" t="inlineStr">
        <is>
          <t>Multimercados</t>
        </is>
      </c>
      <c r="D54" s="11" t="inlineStr">
        <is>
          <t>BTG PACTUAL GESTÃO E CONSULTORIA DE INVESTIMENTOS LTDA</t>
        </is>
      </c>
      <c r="E54" s="11" t="inlineStr">
        <is>
          <t>btg</t>
        </is>
      </c>
      <c r="F54" s="19" t="n">
        <v>19588034.78</v>
      </c>
      <c r="G54" s="19" t="n">
        <v>0</v>
      </c>
      <c r="H54" s="20" t="n">
        <v>19588034.78</v>
      </c>
      <c r="I54" s="19" t="n">
        <v>1000000</v>
      </c>
      <c r="J54" s="19" t="n">
        <v>19733982.62</v>
      </c>
      <c r="K54" s="21" t="n">
        <v>1958.8</v>
      </c>
      <c r="L54" s="21" t="n">
        <v>1.9</v>
      </c>
      <c r="M54" s="22" t="n">
        <v>35</v>
      </c>
      <c r="N54" s="11" t="inlineStr">
        <is>
          <t>acelerando</t>
        </is>
      </c>
      <c r="O54" s="11" t="inlineStr"/>
    </row>
    <row r="55">
      <c r="A55" s="11" t="inlineStr">
        <is>
          <t>BTG Pactual NTN B 2045 Yield Prev FIRF RL</t>
        </is>
      </c>
      <c r="B55" s="11" t="inlineStr">
        <is>
          <t>54.248.765/0001-74</t>
        </is>
      </c>
      <c r="C55" s="11" t="inlineStr">
        <is>
          <t>Renda Fixa</t>
        </is>
      </c>
      <c r="D55" s="11" t="inlineStr">
        <is>
          <t>BTG PACTUAL ASSET MANAGEMENT S/A DTVM</t>
        </is>
      </c>
      <c r="E55" s="11" t="inlineStr">
        <is>
          <t>btg</t>
        </is>
      </c>
      <c r="F55" s="19" t="n">
        <v>23284131.81</v>
      </c>
      <c r="G55" s="19" t="n">
        <v>5491629.6</v>
      </c>
      <c r="H55" s="20" t="n">
        <v>17792502.21</v>
      </c>
      <c r="I55" s="19" t="n">
        <v>161196926.9</v>
      </c>
      <c r="J55" s="19" t="n">
        <v>187754338.03</v>
      </c>
      <c r="K55" s="21" t="n">
        <v>11.04</v>
      </c>
      <c r="L55" s="21" t="n">
        <v>5.53</v>
      </c>
      <c r="M55" s="22" t="n">
        <v>59</v>
      </c>
      <c r="N55" s="11" t="inlineStr">
        <is>
          <t>acelerando</t>
        </is>
      </c>
      <c r="O55" s="11" t="inlineStr"/>
    </row>
    <row r="56">
      <c r="A56" s="11" t="inlineStr">
        <is>
          <t>Trend Imab5+ &amp; Bolsa Americana Dólar Xp Seg Prev Fim Rl</t>
        </is>
      </c>
      <c r="B56" s="11" t="inlineStr">
        <is>
          <t>52.840.043/0001-89</t>
        </is>
      </c>
      <c r="C56" s="11" t="inlineStr">
        <is>
          <t>Multimercados</t>
        </is>
      </c>
      <c r="D56" s="11" t="inlineStr">
        <is>
          <t>XP ALLOCATION ASSET MANAGEMENT LTDA</t>
        </is>
      </c>
      <c r="E56" s="11" t="inlineStr">
        <is>
          <t>xp</t>
        </is>
      </c>
      <c r="F56" s="19" t="n">
        <v>20975419.83</v>
      </c>
      <c r="G56" s="19" t="n">
        <v>3717419.85</v>
      </c>
      <c r="H56" s="20" t="n">
        <v>17257999.98</v>
      </c>
      <c r="I56" s="19" t="n">
        <v>146897233.71</v>
      </c>
      <c r="J56" s="19" t="n">
        <v>169800437.63</v>
      </c>
      <c r="K56" s="21" t="n">
        <v>11.75</v>
      </c>
      <c r="L56" s="21" t="n">
        <v>3.7</v>
      </c>
      <c r="M56" s="22" t="n">
        <v>59</v>
      </c>
      <c r="N56" s="11" t="inlineStr">
        <is>
          <t>estável</t>
        </is>
      </c>
      <c r="O56" s="11" t="inlineStr"/>
    </row>
    <row r="57">
      <c r="A57" s="11" t="inlineStr">
        <is>
          <t>BTG Pactual NTN B 2055 Yield Prev FIRF RL</t>
        </is>
      </c>
      <c r="B57" s="11" t="inlineStr">
        <is>
          <t>50.876.690/0001-15</t>
        </is>
      </c>
      <c r="C57" s="11" t="inlineStr">
        <is>
          <t>Renda Fixa</t>
        </is>
      </c>
      <c r="D57" s="11" t="inlineStr">
        <is>
          <t>BTG PACTUAL ASSET MANAGEMENT S/A DTVM</t>
        </is>
      </c>
      <c r="E57" s="11" t="inlineStr">
        <is>
          <t>btg</t>
        </is>
      </c>
      <c r="F57" s="19" t="n">
        <v>28476944</v>
      </c>
      <c r="G57" s="19" t="n">
        <v>11628973.99</v>
      </c>
      <c r="H57" s="20" t="n">
        <v>16847970.01</v>
      </c>
      <c r="I57" s="19" t="n">
        <v>429253381.6</v>
      </c>
      <c r="J57" s="19" t="n">
        <v>471931286.31</v>
      </c>
      <c r="K57" s="21" t="n">
        <v>3.92</v>
      </c>
      <c r="L57" s="21" t="n">
        <v>6.06</v>
      </c>
      <c r="M57" s="22" t="n">
        <v>59</v>
      </c>
      <c r="N57" s="11" t="inlineStr">
        <is>
          <t>acelerando</t>
        </is>
      </c>
      <c r="O57" s="11" t="inlineStr"/>
    </row>
    <row r="58">
      <c r="A58" s="11" t="inlineStr">
        <is>
          <t>Western Asset Total Credit XP Seg Prev FIF RF CP RL</t>
        </is>
      </c>
      <c r="B58" s="11" t="inlineStr">
        <is>
          <t>67.654.705/0001-01</t>
        </is>
      </c>
      <c r="C58" s="11" t="inlineStr">
        <is>
          <t>Renda Fixa</t>
        </is>
      </c>
      <c r="D58" s="11" t="inlineStr">
        <is>
          <t>Franklin Templeton Brasil Ltda.</t>
        </is>
      </c>
      <c r="E58" s="11" t="inlineStr">
        <is>
          <t>xp</t>
        </is>
      </c>
      <c r="F58" s="19" t="n">
        <v>15960964.35</v>
      </c>
      <c r="G58" s="19" t="n">
        <v>0</v>
      </c>
      <c r="H58" s="20" t="n">
        <v>15960964.35</v>
      </c>
      <c r="I58" s="19" t="n">
        <v>15015249.5</v>
      </c>
      <c r="J58" s="19" t="n">
        <v>16044677.85</v>
      </c>
      <c r="K58" s="21" t="n">
        <v>106.3</v>
      </c>
      <c r="L58" s="21" t="n">
        <v>0.54</v>
      </c>
      <c r="M58" s="22" t="n">
        <v>12</v>
      </c>
      <c r="N58" s="11" t="inlineStr">
        <is>
          <t>sem série</t>
        </is>
      </c>
      <c r="O58" s="11" t="inlineStr"/>
    </row>
    <row r="59">
      <c r="A59" s="11" t="inlineStr">
        <is>
          <t>XP Seg Superprev 2 FIM</t>
        </is>
      </c>
      <c r="B59" s="11" t="inlineStr">
        <is>
          <t>37.900.216/0001-13</t>
        </is>
      </c>
      <c r="C59" s="11" t="inlineStr">
        <is>
          <t>Multimercados</t>
        </is>
      </c>
      <c r="D59" s="11" t="inlineStr">
        <is>
          <t>XP VIDA E PREVIDÊNCIA S.A.</t>
        </is>
      </c>
      <c r="E59" s="11" t="inlineStr">
        <is>
          <t>xp</t>
        </is>
      </c>
      <c r="F59" s="19" t="n">
        <v>38665161.6</v>
      </c>
      <c r="G59" s="19" t="n">
        <v>24015173.27</v>
      </c>
      <c r="H59" s="20" t="n">
        <v>14649988.33</v>
      </c>
      <c r="I59" s="19" t="n">
        <v>529392619.34</v>
      </c>
      <c r="J59" s="19" t="n">
        <v>561286820.74</v>
      </c>
      <c r="K59" s="21" t="n">
        <v>2.77</v>
      </c>
      <c r="L59" s="21" t="n">
        <v>3.22</v>
      </c>
      <c r="M59" s="22" t="n">
        <v>59</v>
      </c>
      <c r="N59" s="11" t="inlineStr">
        <is>
          <t>virou saída</t>
        </is>
      </c>
      <c r="O59" s="11" t="inlineStr"/>
    </row>
    <row r="60">
      <c r="A60" s="11" t="inlineStr">
        <is>
          <t>Daycoval Classic Xp Seg Prev Fif Rf Cp Rl</t>
        </is>
      </c>
      <c r="B60" s="11" t="inlineStr">
        <is>
          <t>61.941.773/0001-67</t>
        </is>
      </c>
      <c r="C60" s="11" t="inlineStr">
        <is>
          <t>Renda Fixa</t>
        </is>
      </c>
      <c r="D60" s="11" t="inlineStr">
        <is>
          <t>DAYCOVAL ASSET MANAGEMENT ADMINISTRACAO DE RECURSOS LTDA</t>
        </is>
      </c>
      <c r="E60" s="11" t="inlineStr">
        <is>
          <t>xp</t>
        </is>
      </c>
      <c r="F60" s="19" t="n">
        <v>16880644.62</v>
      </c>
      <c r="G60" s="19" t="n">
        <v>2403997.12</v>
      </c>
      <c r="H60" s="20" t="n">
        <v>14476647.5</v>
      </c>
      <c r="I60" s="19" t="n">
        <v>4116852.21</v>
      </c>
      <c r="J60" s="19" t="n">
        <v>19046154.15</v>
      </c>
      <c r="K60" s="21" t="n">
        <v>351.64</v>
      </c>
      <c r="L60" s="21" t="n">
        <v>3.35</v>
      </c>
      <c r="M60" s="22" t="n">
        <v>59</v>
      </c>
      <c r="N60" s="11" t="inlineStr">
        <is>
          <t>desacelerando</t>
        </is>
      </c>
      <c r="O60" s="11" t="inlineStr"/>
    </row>
    <row r="61">
      <c r="A61" s="11" t="inlineStr">
        <is>
          <t>Augme Xp Seg Prev Hy Fif Multimercado Cp Rl</t>
        </is>
      </c>
      <c r="B61" s="11" t="inlineStr">
        <is>
          <t>60.749.195/0001-07</t>
        </is>
      </c>
      <c r="C61" s="11" t="inlineStr">
        <is>
          <t>Multimercados</t>
        </is>
      </c>
      <c r="D61" s="11" t="inlineStr">
        <is>
          <t>AUGME CAPITAL GESTÃO DE RECURSOS LTDA.</t>
        </is>
      </c>
      <c r="E61" s="11" t="inlineStr">
        <is>
          <t>xp</t>
        </is>
      </c>
      <c r="F61" s="19" t="n">
        <v>15494248.87</v>
      </c>
      <c r="G61" s="19" t="n">
        <v>1063987.34</v>
      </c>
      <c r="H61" s="20" t="n">
        <v>14430261.53</v>
      </c>
      <c r="I61" s="19" t="n">
        <v>33664388.37</v>
      </c>
      <c r="J61" s="19" t="n">
        <v>49031578.2</v>
      </c>
      <c r="K61" s="21" t="n">
        <v>42.87</v>
      </c>
      <c r="L61" s="21" t="n">
        <v>2.89</v>
      </c>
      <c r="M61" s="22" t="n">
        <v>59</v>
      </c>
      <c r="N61" s="11" t="inlineStr">
        <is>
          <t>acelerando</t>
        </is>
      </c>
      <c r="O61" s="11" t="inlineStr"/>
    </row>
    <row r="62">
      <c r="A62" s="11" t="inlineStr">
        <is>
          <t>BTG Pactual Ipca Curta Prev FICFIRF CrPr RL</t>
        </is>
      </c>
      <c r="B62" s="11" t="inlineStr">
        <is>
          <t>54.305.132/0001-50</t>
        </is>
      </c>
      <c r="C62" s="11" t="inlineStr">
        <is>
          <t>Renda Fixa</t>
        </is>
      </c>
      <c r="D62" s="11" t="inlineStr">
        <is>
          <t>BTG PACTUAL ASSET MANAGEMENT S/A DTVM</t>
        </is>
      </c>
      <c r="E62" s="11" t="inlineStr">
        <is>
          <t>btg</t>
        </is>
      </c>
      <c r="F62" s="19" t="n">
        <v>17130375.99</v>
      </c>
      <c r="G62" s="19" t="n">
        <v>3649376.24</v>
      </c>
      <c r="H62" s="20" t="n">
        <v>13480999.75</v>
      </c>
      <c r="I62" s="19" t="n">
        <v>125294569.79</v>
      </c>
      <c r="J62" s="19" t="n">
        <v>144272400.49</v>
      </c>
      <c r="K62" s="21" t="n">
        <v>10.76</v>
      </c>
      <c r="L62" s="21" t="n">
        <v>4.02</v>
      </c>
      <c r="M62" s="22" t="n">
        <v>59</v>
      </c>
      <c r="N62" s="11" t="inlineStr">
        <is>
          <t>desacelerando</t>
        </is>
      </c>
      <c r="O62" s="11" t="inlineStr"/>
    </row>
    <row r="63">
      <c r="A63" s="11" t="inlineStr">
        <is>
          <t>Ibiuna RF Ativo XP Seg Prev FIE I FIF CI RF RL</t>
        </is>
      </c>
      <c r="B63" s="11" t="inlineStr">
        <is>
          <t>65.536.263/0001-65</t>
        </is>
      </c>
      <c r="C63" s="11" t="inlineStr">
        <is>
          <t>Renda Fixa</t>
        </is>
      </c>
      <c r="D63" s="11" t="inlineStr">
        <is>
          <t>IBIUNA PREVIDÊNCIA GESTÃO DE RECURSOS LTDA.</t>
        </is>
      </c>
      <c r="E63" s="11" t="inlineStr">
        <is>
          <t>xp</t>
        </is>
      </c>
      <c r="F63" s="19" t="n">
        <v>12193499.41</v>
      </c>
      <c r="G63" s="19" t="n">
        <v>0</v>
      </c>
      <c r="H63" s="20" t="n">
        <v>12193499.41</v>
      </c>
      <c r="I63" s="19" t="n">
        <v>11788802.34</v>
      </c>
      <c r="J63" s="19" t="n">
        <v>12501766.42</v>
      </c>
      <c r="K63" s="21" t="n">
        <v>103.43</v>
      </c>
      <c r="L63" s="21" t="n">
        <v>2.6</v>
      </c>
      <c r="M63" s="22" t="n">
        <v>42</v>
      </c>
      <c r="N63" s="11" t="inlineStr">
        <is>
          <t>desacelerando</t>
        </is>
      </c>
      <c r="O63" s="11" t="inlineStr"/>
    </row>
    <row r="64">
      <c r="A64" s="11" t="inlineStr">
        <is>
          <t>Solis Antares BTG Seguros Prev FICFIRF CrPr RL</t>
        </is>
      </c>
      <c r="B64" s="11" t="inlineStr">
        <is>
          <t>44.803.556/0001-91</t>
        </is>
      </c>
      <c r="C64" s="11" t="inlineStr">
        <is>
          <t>Renda Fixa</t>
        </is>
      </c>
      <c r="D64" s="11" t="inlineStr">
        <is>
          <t>SOLIS INVESTIMENTOS S A</t>
        </is>
      </c>
      <c r="E64" s="11" t="inlineStr">
        <is>
          <t>btg</t>
        </is>
      </c>
      <c r="F64" s="19" t="n">
        <v>14444725.13</v>
      </c>
      <c r="G64" s="19" t="n">
        <v>2698906.58</v>
      </c>
      <c r="H64" s="20" t="n">
        <v>11745818.55</v>
      </c>
      <c r="I64" s="19" t="n">
        <v>64905579.97</v>
      </c>
      <c r="J64" s="19" t="n">
        <v>79011501.15000001</v>
      </c>
      <c r="K64" s="21" t="n">
        <v>18.1</v>
      </c>
      <c r="L64" s="21" t="n">
        <v>3.29</v>
      </c>
      <c r="M64" s="22" t="n">
        <v>59</v>
      </c>
      <c r="N64" s="11" t="inlineStr">
        <is>
          <t>desacelerando</t>
        </is>
      </c>
      <c r="O64" s="11" t="inlineStr"/>
    </row>
    <row r="65">
      <c r="A65" s="11" t="inlineStr">
        <is>
          <t>Tyton Credito Prev IQ FIF FIC FIM</t>
        </is>
      </c>
      <c r="B65" s="11" t="inlineStr">
        <is>
          <t>65.440.420/0001-34</t>
        </is>
      </c>
      <c r="C65" s="11" t="inlineStr">
        <is>
          <t>Multimercados</t>
        </is>
      </c>
      <c r="D65" s="11" t="inlineStr">
        <is>
          <t>TYTON CAPITAL INVESTIMENTOS LTDA.</t>
        </is>
      </c>
      <c r="E65" s="11" t="inlineStr">
        <is>
          <t>btg</t>
        </is>
      </c>
      <c r="F65" s="19" t="n">
        <v>11153286.57</v>
      </c>
      <c r="G65" s="19" t="n">
        <v>0</v>
      </c>
      <c r="H65" s="20" t="n">
        <v>11153286.57</v>
      </c>
      <c r="I65" s="19" t="n">
        <v>6532042.01</v>
      </c>
      <c r="J65" s="19" t="n">
        <v>18137713.91</v>
      </c>
      <c r="K65" s="21" t="n">
        <v>170.75</v>
      </c>
      <c r="L65" s="21" t="n">
        <v>3.55</v>
      </c>
      <c r="M65" s="22" t="n">
        <v>59</v>
      </c>
      <c r="N65" s="11" t="inlineStr">
        <is>
          <t>desacelerando</t>
        </is>
      </c>
      <c r="O65" s="11" t="inlineStr"/>
    </row>
    <row r="66">
      <c r="A66" s="11" t="inlineStr">
        <is>
          <t>ARX Denali Prev FIRF Access CrPr RL</t>
        </is>
      </c>
      <c r="B66" s="11" t="inlineStr">
        <is>
          <t>47.564.808/0001-65</t>
        </is>
      </c>
      <c r="C66" s="11" t="inlineStr">
        <is>
          <t>Renda Fixa</t>
        </is>
      </c>
      <c r="D66" s="11" t="inlineStr">
        <is>
          <t>BTG PACTUAL GESTÃO E CONSULTORIA DE INVESTIMENTOS LTDA</t>
        </is>
      </c>
      <c r="E66" s="11" t="inlineStr">
        <is>
          <t>btg</t>
        </is>
      </c>
      <c r="F66" s="19" t="n">
        <v>44712098.79</v>
      </c>
      <c r="G66" s="19" t="n">
        <v>33995143.03</v>
      </c>
      <c r="H66" s="20" t="n">
        <v>10716955.76</v>
      </c>
      <c r="I66" s="19" t="n">
        <v>546558978.05</v>
      </c>
      <c r="J66" s="19" t="n">
        <v>572912593.98</v>
      </c>
      <c r="K66" s="21" t="n">
        <v>1.96</v>
      </c>
      <c r="L66" s="21" t="n">
        <v>2.93</v>
      </c>
      <c r="M66" s="22" t="n">
        <v>59</v>
      </c>
      <c r="N66" s="11" t="inlineStr">
        <is>
          <t>desacelerando</t>
        </is>
      </c>
      <c r="O66" s="11" t="inlineStr"/>
    </row>
    <row r="67">
      <c r="A67" s="11" t="inlineStr">
        <is>
          <t>Patria Prev BP Seg FIC FIM CP</t>
        </is>
      </c>
      <c r="B67" s="11" t="inlineStr">
        <is>
          <t>65.615.824/0001-11</t>
        </is>
      </c>
      <c r="C67" s="11" t="inlineStr">
        <is>
          <t>Multimercados</t>
        </is>
      </c>
      <c r="D67" s="11" t="inlineStr">
        <is>
          <t>PÁTRIA INVESTIMENTOS LTDA.</t>
        </is>
      </c>
      <c r="E67" s="11" t="inlineStr">
        <is>
          <t>btg</t>
        </is>
      </c>
      <c r="F67" s="19" t="n">
        <v>10624881.96</v>
      </c>
      <c r="G67" s="19" t="n">
        <v>0</v>
      </c>
      <c r="H67" s="20" t="n">
        <v>10624881.96</v>
      </c>
      <c r="I67" s="19" t="n">
        <v>0</v>
      </c>
      <c r="J67" s="19" t="n">
        <v>10895883.08</v>
      </c>
      <c r="K67" s="21" t="n"/>
      <c r="L67" s="21" t="n"/>
      <c r="M67" s="22" t="n">
        <v>51</v>
      </c>
      <c r="N67" s="11" t="inlineStr">
        <is>
          <t>desacelerando</t>
        </is>
      </c>
      <c r="O67" s="11" t="inlineStr"/>
    </row>
    <row r="68">
      <c r="A68" s="11" t="inlineStr">
        <is>
          <t>Kinea Prev Ipca Dinamico II BTG Pactual FIRF RL</t>
        </is>
      </c>
      <c r="B68" s="11" t="inlineStr">
        <is>
          <t>44.983.621/0001-08</t>
        </is>
      </c>
      <c r="C68" s="11" t="inlineStr">
        <is>
          <t>Renda Fixa</t>
        </is>
      </c>
      <c r="D68" s="11" t="inlineStr">
        <is>
          <t>BTG PACTUAL GESTÃO E CONSULTORIA DE INVESTIMENTOS LTDA</t>
        </is>
      </c>
      <c r="E68" s="11" t="inlineStr">
        <is>
          <t>btg</t>
        </is>
      </c>
      <c r="F68" s="19" t="n">
        <v>22842838.01</v>
      </c>
      <c r="G68" s="19" t="n">
        <v>13027507.35</v>
      </c>
      <c r="H68" s="20" t="n">
        <v>9815330.66</v>
      </c>
      <c r="I68" s="19" t="n">
        <v>236134150.53</v>
      </c>
      <c r="J68" s="19" t="n">
        <v>255630647.09</v>
      </c>
      <c r="K68" s="21" t="n">
        <v>4.16</v>
      </c>
      <c r="L68" s="21" t="n">
        <v>4.22</v>
      </c>
      <c r="M68" s="22" t="n">
        <v>59</v>
      </c>
      <c r="N68" s="11" t="inlineStr">
        <is>
          <t>virou entrada</t>
        </is>
      </c>
      <c r="O68" s="11" t="inlineStr"/>
    </row>
    <row r="69">
      <c r="A69" s="11" t="inlineStr">
        <is>
          <t>BTG Pactual Reference S&amp;P500 USD Prev FIM RL</t>
        </is>
      </c>
      <c r="B69" s="11" t="inlineStr">
        <is>
          <t>44.025.397/0001-41</t>
        </is>
      </c>
      <c r="C69" s="11" t="inlineStr">
        <is>
          <t>Multimercados</t>
        </is>
      </c>
      <c r="D69" s="11" t="inlineStr">
        <is>
          <t>BTG PACTUAL ASSET MANAGEMENT S/A DTVM</t>
        </is>
      </c>
      <c r="E69" s="11" t="inlineStr">
        <is>
          <t>btg</t>
        </is>
      </c>
      <c r="F69" s="19" t="n">
        <v>14950246.7</v>
      </c>
      <c r="G69" s="19" t="n">
        <v>5190599.79</v>
      </c>
      <c r="H69" s="20" t="n">
        <v>9759646.91</v>
      </c>
      <c r="I69" s="19" t="n">
        <v>92069573.97</v>
      </c>
      <c r="J69" s="19" t="n">
        <v>104359350.63</v>
      </c>
      <c r="K69" s="21" t="n">
        <v>10.6</v>
      </c>
      <c r="L69" s="21" t="n">
        <v>2.62</v>
      </c>
      <c r="M69" s="22" t="n">
        <v>59</v>
      </c>
      <c r="N69" s="11" t="inlineStr">
        <is>
          <t>desacelerando</t>
        </is>
      </c>
      <c r="O69" s="11" t="inlineStr"/>
    </row>
    <row r="70">
      <c r="A70" s="11" t="inlineStr">
        <is>
          <t>Ibiuna Credit Prev FICFIM Access CrPr RL</t>
        </is>
      </c>
      <c r="B70" s="11" t="inlineStr">
        <is>
          <t>44.672.703/0001-31</t>
        </is>
      </c>
      <c r="C70" s="11" t="inlineStr">
        <is>
          <t>Multimercados</t>
        </is>
      </c>
      <c r="D70" s="11" t="inlineStr">
        <is>
          <t>BTG PACTUAL GESTÃO E CONSULTORIA DE INVESTIMENTOS LTDA</t>
        </is>
      </c>
      <c r="E70" s="11" t="inlineStr">
        <is>
          <t>btg</t>
        </is>
      </c>
      <c r="F70" s="19" t="n">
        <v>10075165.26</v>
      </c>
      <c r="G70" s="19" t="n">
        <v>1432814.77</v>
      </c>
      <c r="H70" s="20" t="n">
        <v>8642350.49</v>
      </c>
      <c r="I70" s="19" t="n">
        <v>39242337.23</v>
      </c>
      <c r="J70" s="19" t="n">
        <v>49118591.09</v>
      </c>
      <c r="K70" s="21" t="n">
        <v>22.02</v>
      </c>
      <c r="L70" s="21" t="n">
        <v>2.79</v>
      </c>
      <c r="M70" s="22" t="n">
        <v>59</v>
      </c>
      <c r="N70" s="11" t="inlineStr">
        <is>
          <t>desacelerando</t>
        </is>
      </c>
      <c r="O70" s="11" t="inlineStr"/>
    </row>
    <row r="71">
      <c r="A71" s="11" t="inlineStr">
        <is>
          <t>BTG Pactual Prev IMA B FICFIRF de Fundos de RF RL</t>
        </is>
      </c>
      <c r="B71" s="11" t="inlineStr">
        <is>
          <t>22.187.479/0001-50</t>
        </is>
      </c>
      <c r="C71" s="11" t="inlineStr">
        <is>
          <t>Renda Fixa</t>
        </is>
      </c>
      <c r="D71" s="11" t="inlineStr">
        <is>
          <t>BTG PACTUAL ASSET MANAGEMENT S/A DTVM</t>
        </is>
      </c>
      <c r="E71" s="11" t="inlineStr">
        <is>
          <t>btg</t>
        </is>
      </c>
      <c r="F71" s="19" t="n">
        <v>24607045.94</v>
      </c>
      <c r="G71" s="19" t="n">
        <v>16307287.08</v>
      </c>
      <c r="H71" s="20" t="n">
        <v>8299758.86</v>
      </c>
      <c r="I71" s="19" t="n">
        <v>331271138.7</v>
      </c>
      <c r="J71" s="19" t="n">
        <v>355769415.79</v>
      </c>
      <c r="K71" s="21" t="n">
        <v>2.51</v>
      </c>
      <c r="L71" s="21" t="n">
        <v>4.96</v>
      </c>
      <c r="M71" s="22" t="n">
        <v>59</v>
      </c>
      <c r="N71" s="11" t="inlineStr">
        <is>
          <t>virou entrada</t>
        </is>
      </c>
      <c r="O71" s="11" t="inlineStr"/>
    </row>
    <row r="72">
      <c r="A72" s="11" t="inlineStr">
        <is>
          <t>Root Hy Xp Seg Prev Ficfirf Cp</t>
        </is>
      </c>
      <c r="B72" s="11" t="inlineStr">
        <is>
          <t>52.955.482/0001-37</t>
        </is>
      </c>
      <c r="C72" s="11" t="inlineStr">
        <is>
          <t>Renda Fixa</t>
        </is>
      </c>
      <c r="D72" s="11" t="inlineStr">
        <is>
          <t>ROOT CAPITAL - GESTÃO DE RECURSOS LTDA</t>
        </is>
      </c>
      <c r="E72" s="11" t="inlineStr">
        <is>
          <t>xp</t>
        </is>
      </c>
      <c r="F72" s="19" t="n">
        <v>11217028.19</v>
      </c>
      <c r="G72" s="19" t="n">
        <v>4118537.13</v>
      </c>
      <c r="H72" s="20" t="n">
        <v>7098491.06</v>
      </c>
      <c r="I72" s="19" t="n">
        <v>181670156.34</v>
      </c>
      <c r="J72" s="19" t="n">
        <v>194652308.24</v>
      </c>
      <c r="K72" s="21" t="n">
        <v>3.91</v>
      </c>
      <c r="L72" s="21" t="n">
        <v>3.27</v>
      </c>
      <c r="M72" s="22" t="n">
        <v>59</v>
      </c>
      <c r="N72" s="11" t="inlineStr">
        <is>
          <t>desacelerando</t>
        </is>
      </c>
      <c r="O72" s="11" t="inlineStr"/>
    </row>
    <row r="73">
      <c r="A73" s="11" t="inlineStr">
        <is>
          <t>Arca Grão XP Seg Prev Advisory FIC FIM</t>
        </is>
      </c>
      <c r="B73" s="11" t="inlineStr">
        <is>
          <t>42.794.534/0001-87</t>
        </is>
      </c>
      <c r="C73" s="11" t="inlineStr">
        <is>
          <t>Multimercados</t>
        </is>
      </c>
      <c r="D73" s="11" t="inlineStr">
        <is>
          <t>GRÃO GESTÃO DE RECURSOS LTDA.</t>
        </is>
      </c>
      <c r="E73" s="11" t="inlineStr">
        <is>
          <t>xp</t>
        </is>
      </c>
      <c r="F73" s="19" t="n">
        <v>43071087.56</v>
      </c>
      <c r="G73" s="19" t="n">
        <v>36140093.35</v>
      </c>
      <c r="H73" s="20" t="n">
        <v>6930994.21</v>
      </c>
      <c r="I73" s="19" t="n">
        <v>778188733.09</v>
      </c>
      <c r="J73" s="19" t="n">
        <v>814984658.83</v>
      </c>
      <c r="K73" s="21" t="n">
        <v>0.89</v>
      </c>
      <c r="L73" s="21" t="n">
        <v>3.83</v>
      </c>
      <c r="M73" s="22" t="n">
        <v>59</v>
      </c>
      <c r="N73" s="11" t="inlineStr">
        <is>
          <t>virou saída</t>
        </is>
      </c>
      <c r="O73" s="11" t="inlineStr"/>
    </row>
    <row r="74">
      <c r="A74" s="11" t="inlineStr">
        <is>
          <t>Polo Crédito Corporativo Prev Xp Seg Fic Rf Cp Rl</t>
        </is>
      </c>
      <c r="B74" s="11" t="inlineStr">
        <is>
          <t>52.955.528/0001-18</t>
        </is>
      </c>
      <c r="C74" s="11" t="inlineStr">
        <is>
          <t>Renda Fixa</t>
        </is>
      </c>
      <c r="D74" s="11" t="inlineStr">
        <is>
          <t>POLO CAPITAL GESTÃO DE RECURSOS LTDA</t>
        </is>
      </c>
      <c r="E74" s="11" t="inlineStr">
        <is>
          <t>xp</t>
        </is>
      </c>
      <c r="F74" s="19" t="n">
        <v>23567179.33</v>
      </c>
      <c r="G74" s="19" t="n">
        <v>17145252.04</v>
      </c>
      <c r="H74" s="20" t="n">
        <v>6421927.29</v>
      </c>
      <c r="I74" s="19" t="n">
        <v>168483394.93</v>
      </c>
      <c r="J74" s="19" t="n">
        <v>181016046.81</v>
      </c>
      <c r="K74" s="21" t="n">
        <v>3.81</v>
      </c>
      <c r="L74" s="21" t="n">
        <v>3.14</v>
      </c>
      <c r="M74" s="22" t="n">
        <v>59</v>
      </c>
      <c r="N74" s="11" t="inlineStr">
        <is>
          <t>acelerando</t>
        </is>
      </c>
      <c r="O74" s="11" t="inlineStr"/>
    </row>
    <row r="75">
      <c r="A75" s="11" t="inlineStr">
        <is>
          <t>Sulamerica FIE I Credito ESG IS Prev Fundo CrPr RL</t>
        </is>
      </c>
      <c r="B75" s="11" t="inlineStr">
        <is>
          <t>60.960.946/0001-21</t>
        </is>
      </c>
      <c r="C75" s="11" t="inlineStr">
        <is>
          <t>Renda Fixa</t>
        </is>
      </c>
      <c r="D75" s="11" t="inlineStr">
        <is>
          <t>SUL AMÉRICA INVESTIMENTOS GESTORA DE RECURSOS S.A.</t>
        </is>
      </c>
      <c r="E75" s="11" t="inlineStr">
        <is>
          <t>btg</t>
        </is>
      </c>
      <c r="F75" s="19" t="n">
        <v>9136182.449999999</v>
      </c>
      <c r="G75" s="19" t="n">
        <v>2759537.65</v>
      </c>
      <c r="H75" s="20" t="n">
        <v>6376644.8</v>
      </c>
      <c r="I75" s="19" t="n">
        <v>50548181.7</v>
      </c>
      <c r="J75" s="19" t="n">
        <v>58628657.51</v>
      </c>
      <c r="K75" s="21" t="n">
        <v>12.61</v>
      </c>
      <c r="L75" s="21" t="n">
        <v>3.09</v>
      </c>
      <c r="M75" s="22" t="n">
        <v>59</v>
      </c>
      <c r="N75" s="11" t="inlineStr">
        <is>
          <t>desacelerando</t>
        </is>
      </c>
      <c r="O75" s="11" t="inlineStr"/>
    </row>
    <row r="76">
      <c r="A76" s="11" t="inlineStr">
        <is>
          <t>Polo Credito Prev I FICFIRF CrPr RL</t>
        </is>
      </c>
      <c r="B76" s="11" t="inlineStr">
        <is>
          <t>59.065.619/0001-27</t>
        </is>
      </c>
      <c r="C76" s="11" t="inlineStr">
        <is>
          <t>Renda Fixa</t>
        </is>
      </c>
      <c r="D76" s="11" t="inlineStr">
        <is>
          <t>POLO CAPITAL GESTÃO DE RECURSOS LTDA</t>
        </is>
      </c>
      <c r="E76" s="11" t="inlineStr">
        <is>
          <t>btg</t>
        </is>
      </c>
      <c r="F76" s="19" t="n">
        <v>6281042.88</v>
      </c>
      <c r="G76" s="19" t="n">
        <v>74562.63</v>
      </c>
      <c r="H76" s="20" t="n">
        <v>6206480.25</v>
      </c>
      <c r="I76" s="19" t="n">
        <v>7686383.06</v>
      </c>
      <c r="J76" s="19" t="n">
        <v>14173851.07</v>
      </c>
      <c r="K76" s="21" t="n">
        <v>80.75</v>
      </c>
      <c r="L76" s="21" t="n">
        <v>3.12</v>
      </c>
      <c r="M76" s="22" t="n">
        <v>59</v>
      </c>
      <c r="N76" s="11" t="inlineStr">
        <is>
          <t>acelerando</t>
        </is>
      </c>
      <c r="O76" s="11" t="inlineStr"/>
    </row>
    <row r="77">
      <c r="A77" s="11" t="inlineStr">
        <is>
          <t>Guardian BTG Prev FICFIRF CrPr RL</t>
        </is>
      </c>
      <c r="B77" s="11" t="inlineStr">
        <is>
          <t>61.874.568/0001-26</t>
        </is>
      </c>
      <c r="C77" s="11" t="inlineStr">
        <is>
          <t>Renda Fixa</t>
        </is>
      </c>
      <c r="D77" s="11" t="inlineStr">
        <is>
          <t>GUARDIAN GESTORA LTDA.</t>
        </is>
      </c>
      <c r="E77" s="11" t="inlineStr">
        <is>
          <t>btg</t>
        </is>
      </c>
      <c r="F77" s="19" t="n">
        <v>6857704.24</v>
      </c>
      <c r="G77" s="19" t="n">
        <v>682953.14</v>
      </c>
      <c r="H77" s="20" t="n">
        <v>6174751.1</v>
      </c>
      <c r="I77" s="19" t="n">
        <v>13615461.82</v>
      </c>
      <c r="J77" s="19" t="n">
        <v>20271000.23</v>
      </c>
      <c r="K77" s="21" t="n">
        <v>45.35</v>
      </c>
      <c r="L77" s="21" t="n">
        <v>3.1</v>
      </c>
      <c r="M77" s="22" t="n">
        <v>59</v>
      </c>
      <c r="N77" s="11" t="inlineStr">
        <is>
          <t>acelerando</t>
        </is>
      </c>
      <c r="O77" s="11" t="inlineStr"/>
    </row>
    <row r="78">
      <c r="A78" s="11" t="inlineStr">
        <is>
          <t>BTG Pactual Hedge Prev FIM CrPr RL</t>
        </is>
      </c>
      <c r="B78" s="11" t="inlineStr">
        <is>
          <t>50.875.116/0001-42</t>
        </is>
      </c>
      <c r="C78" s="11" t="inlineStr">
        <is>
          <t>Multimercados</t>
        </is>
      </c>
      <c r="D78" s="11" t="inlineStr">
        <is>
          <t>BTG PACTUAL ASSET MANAGEMENT S/A DTVM</t>
        </is>
      </c>
      <c r="E78" s="11" t="inlineStr">
        <is>
          <t>btg</t>
        </is>
      </c>
      <c r="F78" s="19" t="n">
        <v>7448148.16</v>
      </c>
      <c r="G78" s="19" t="n">
        <v>1494545.88</v>
      </c>
      <c r="H78" s="20" t="n">
        <v>5953602.28</v>
      </c>
      <c r="I78" s="19" t="n">
        <v>76271605.54000001</v>
      </c>
      <c r="J78" s="19" t="n">
        <v>84070658.16</v>
      </c>
      <c r="K78" s="21" t="n">
        <v>7.81</v>
      </c>
      <c r="L78" s="21" t="n">
        <v>2.87</v>
      </c>
      <c r="M78" s="22" t="n">
        <v>59</v>
      </c>
      <c r="N78" s="11" t="inlineStr">
        <is>
          <t>desacelerando</t>
        </is>
      </c>
      <c r="O78" s="11" t="inlineStr"/>
    </row>
    <row r="79">
      <c r="A79" s="11" t="inlineStr">
        <is>
          <t>MAG Prev BP FIRF CrPr RL</t>
        </is>
      </c>
      <c r="B79" s="11" t="inlineStr">
        <is>
          <t>41.579.176/0001-27</t>
        </is>
      </c>
      <c r="C79" s="11" t="inlineStr">
        <is>
          <t>Renda Fixa</t>
        </is>
      </c>
      <c r="D79" s="11" t="inlineStr">
        <is>
          <t>MONGERAL AEGON INVESTIMENTOS LTDA</t>
        </is>
      </c>
      <c r="E79" s="11" t="inlineStr">
        <is>
          <t>btg</t>
        </is>
      </c>
      <c r="F79" s="19" t="n">
        <v>9589167.470000001</v>
      </c>
      <c r="G79" s="19" t="n">
        <v>3856323.7</v>
      </c>
      <c r="H79" s="20" t="n">
        <v>5732843.77</v>
      </c>
      <c r="I79" s="19" t="n">
        <v>49456268.35</v>
      </c>
      <c r="J79" s="19" t="n">
        <v>56794789.15</v>
      </c>
      <c r="K79" s="21" t="n">
        <v>11.59</v>
      </c>
      <c r="L79" s="21" t="n">
        <v>3.18</v>
      </c>
      <c r="M79" s="22" t="n">
        <v>59</v>
      </c>
      <c r="N79" s="11" t="inlineStr">
        <is>
          <t>acelerando</t>
        </is>
      </c>
      <c r="O79" s="11" t="inlineStr"/>
    </row>
    <row r="80">
      <c r="A80" s="11" t="inlineStr">
        <is>
          <t>Safra Prev Vitesse Plus Advisory FIC RF CP Prev RL</t>
        </is>
      </c>
      <c r="B80" s="11" t="inlineStr">
        <is>
          <t>57.850.204/0001-39</t>
        </is>
      </c>
      <c r="C80" s="11" t="inlineStr">
        <is>
          <t>Renda Fixa</t>
        </is>
      </c>
      <c r="D80" s="11" t="inlineStr">
        <is>
          <t>TURMALINA GESTÃO E ADMINISTRAÇÃO DE RECURSOS S.A.</t>
        </is>
      </c>
      <c r="E80" s="11" t="inlineStr">
        <is>
          <t>xp</t>
        </is>
      </c>
      <c r="F80" s="19" t="n">
        <v>5814496.9</v>
      </c>
      <c r="G80" s="19" t="n">
        <v>131180</v>
      </c>
      <c r="H80" s="20" t="n">
        <v>5683316.9</v>
      </c>
      <c r="I80" s="19" t="n">
        <v>23391684.64</v>
      </c>
      <c r="J80" s="19" t="n">
        <v>29793444.88</v>
      </c>
      <c r="K80" s="21" t="n">
        <v>24.3</v>
      </c>
      <c r="L80" s="21" t="n">
        <v>2.95</v>
      </c>
      <c r="M80" s="22" t="n">
        <v>59</v>
      </c>
      <c r="N80" s="11" t="inlineStr">
        <is>
          <t>estável</t>
        </is>
      </c>
      <c r="O80" s="11" t="inlineStr"/>
    </row>
    <row r="81">
      <c r="A81" s="11" t="inlineStr">
        <is>
          <t>BTG Multigestor Credit Plus Prev FICFIM CrPr RL</t>
        </is>
      </c>
      <c r="B81" s="11" t="inlineStr">
        <is>
          <t>60.230.790/0001-23</t>
        </is>
      </c>
      <c r="C81" s="11" t="inlineStr">
        <is>
          <t>Multimercados</t>
        </is>
      </c>
      <c r="D81" s="11" t="inlineStr">
        <is>
          <t>BTG PACTUAL GESTÃO E CONSULTORIA DE INVESTIMENTOS LTDA</t>
        </is>
      </c>
      <c r="E81" s="11" t="inlineStr">
        <is>
          <t>btg</t>
        </is>
      </c>
      <c r="F81" s="19" t="n">
        <v>7656773.13</v>
      </c>
      <c r="G81" s="19" t="n">
        <v>2000000</v>
      </c>
      <c r="H81" s="20" t="n">
        <v>5656773.13</v>
      </c>
      <c r="I81" s="19" t="n">
        <v>73597168.12</v>
      </c>
      <c r="J81" s="19" t="n">
        <v>81394361.90000001</v>
      </c>
      <c r="K81" s="21" t="n">
        <v>7.69</v>
      </c>
      <c r="L81" s="21" t="n">
        <v>2.92</v>
      </c>
      <c r="M81" s="22" t="n">
        <v>59</v>
      </c>
      <c r="N81" s="11" t="inlineStr">
        <is>
          <t>desacelerando</t>
        </is>
      </c>
      <c r="O81" s="11" t="inlineStr"/>
    </row>
    <row r="82">
      <c r="A82" s="11" t="inlineStr">
        <is>
          <t>Guepardo XP Seg Prev FIC FIM</t>
        </is>
      </c>
      <c r="B82" s="11" t="inlineStr">
        <is>
          <t>35.956.641/0001-07</t>
        </is>
      </c>
      <c r="C82" s="11" t="inlineStr">
        <is>
          <t>Multimercados</t>
        </is>
      </c>
      <c r="D82" s="11" t="inlineStr">
        <is>
          <t>XP VIDA E PREVIDÊNCIA S.A.</t>
        </is>
      </c>
      <c r="E82" s="11" t="inlineStr">
        <is>
          <t>xp</t>
        </is>
      </c>
      <c r="F82" s="19" t="n">
        <v>12814227.4</v>
      </c>
      <c r="G82" s="19" t="n">
        <v>7456197.25</v>
      </c>
      <c r="H82" s="20" t="n">
        <v>5358030.15</v>
      </c>
      <c r="I82" s="19" t="n">
        <v>179541147.6</v>
      </c>
      <c r="J82" s="19" t="n">
        <v>223487901.01</v>
      </c>
      <c r="K82" s="21" t="n">
        <v>2.98</v>
      </c>
      <c r="L82" s="21" t="n">
        <v>21.47</v>
      </c>
      <c r="M82" s="22" t="n">
        <v>59</v>
      </c>
      <c r="N82" s="11" t="inlineStr">
        <is>
          <t>acelerando</t>
        </is>
      </c>
      <c r="O82" s="11" t="inlineStr"/>
    </row>
    <row r="83">
      <c r="A83" s="11" t="inlineStr">
        <is>
          <t>Zermatt Prev FIM CrPr RL</t>
        </is>
      </c>
      <c r="B83" s="11" t="inlineStr">
        <is>
          <t>52.900.509/0001-94</t>
        </is>
      </c>
      <c r="C83" s="11" t="inlineStr">
        <is>
          <t>Multimercados</t>
        </is>
      </c>
      <c r="D83" s="11" t="inlineStr">
        <is>
          <t>PATRIMONIAL GESTÃO DE RECURSOS LTDA.</t>
        </is>
      </c>
      <c r="E83" s="11" t="inlineStr">
        <is>
          <t>btg</t>
        </is>
      </c>
      <c r="F83" s="19" t="n">
        <v>6831528.4</v>
      </c>
      <c r="G83" s="19" t="n">
        <v>1542741.83</v>
      </c>
      <c r="H83" s="20" t="n">
        <v>5288786.57</v>
      </c>
      <c r="I83" s="19" t="n">
        <v>79726574.13</v>
      </c>
      <c r="J83" s="19" t="n">
        <v>87377158.20999999</v>
      </c>
      <c r="K83" s="21" t="n">
        <v>6.63</v>
      </c>
      <c r="L83" s="21" t="n">
        <v>2.99</v>
      </c>
      <c r="M83" s="22" t="n">
        <v>59</v>
      </c>
      <c r="N83" s="11" t="inlineStr">
        <is>
          <t>estável</t>
        </is>
      </c>
      <c r="O83" s="11" t="inlineStr"/>
    </row>
    <row r="84">
      <c r="A84" s="11" t="inlineStr">
        <is>
          <t>Arca Grao Prev FICFIRF Access CrPr RL</t>
        </is>
      </c>
      <c r="B84" s="11" t="inlineStr">
        <is>
          <t>57.445.402/0001-17</t>
        </is>
      </c>
      <c r="C84" s="11" t="inlineStr">
        <is>
          <t>Renda Fixa</t>
        </is>
      </c>
      <c r="D84" s="11" t="inlineStr">
        <is>
          <t>GRÃO GESTÃO DE RECURSOS LTDA.</t>
        </is>
      </c>
      <c r="E84" s="11" t="inlineStr">
        <is>
          <t>btg</t>
        </is>
      </c>
      <c r="F84" s="19" t="n">
        <v>5905954.17</v>
      </c>
      <c r="G84" s="19" t="n">
        <v>689365.83</v>
      </c>
      <c r="H84" s="20" t="n">
        <v>5216588.34</v>
      </c>
      <c r="I84" s="19" t="n">
        <v>14383348.74</v>
      </c>
      <c r="J84" s="19" t="n">
        <v>20107186.39</v>
      </c>
      <c r="K84" s="21" t="n">
        <v>36.27</v>
      </c>
      <c r="L84" s="21" t="n">
        <v>2.96</v>
      </c>
      <c r="M84" s="22" t="n">
        <v>59</v>
      </c>
      <c r="N84" s="11" t="inlineStr">
        <is>
          <t>desacelerando</t>
        </is>
      </c>
      <c r="O84" s="11" t="inlineStr"/>
    </row>
    <row r="85">
      <c r="A85" s="11" t="inlineStr">
        <is>
          <t>Icatu Vanguarda Absoluto Plus Qualificado Xp Seg FI RF CP PREV RL</t>
        </is>
      </c>
      <c r="B85" s="11" t="inlineStr">
        <is>
          <t>53.990.350/0001-09</t>
        </is>
      </c>
      <c r="C85" s="11" t="inlineStr">
        <is>
          <t>Renda Fixa</t>
        </is>
      </c>
      <c r="D85" s="11" t="inlineStr">
        <is>
          <t>ICATU VANGUARDA GESTÃO DE RECURSOS LTDA</t>
        </is>
      </c>
      <c r="E85" s="11" t="inlineStr">
        <is>
          <t>xp</t>
        </is>
      </c>
      <c r="F85" s="19" t="n">
        <v>8612891.5</v>
      </c>
      <c r="G85" s="19" t="n">
        <v>3465210.93</v>
      </c>
      <c r="H85" s="20" t="n">
        <v>5147680.57</v>
      </c>
      <c r="I85" s="19" t="n">
        <v>90981503.27</v>
      </c>
      <c r="J85" s="19" t="n">
        <v>98710539.53</v>
      </c>
      <c r="K85" s="21" t="n">
        <v>5.66</v>
      </c>
      <c r="L85" s="21" t="n">
        <v>2.74</v>
      </c>
      <c r="M85" s="22" t="n">
        <v>59</v>
      </c>
      <c r="N85" s="11" t="inlineStr">
        <is>
          <t>virou saída</t>
        </is>
      </c>
      <c r="O85" s="11" t="inlineStr"/>
    </row>
    <row r="86">
      <c r="A86" s="11" t="inlineStr">
        <is>
          <t>Vinland RF Ativo FICFIRF Prev RL</t>
        </is>
      </c>
      <c r="B86" s="11" t="inlineStr">
        <is>
          <t>45.599.105/0001-47</t>
        </is>
      </c>
      <c r="C86" s="11" t="inlineStr">
        <is>
          <t>Renda Fixa</t>
        </is>
      </c>
      <c r="D86" s="11" t="inlineStr">
        <is>
          <t>VINLAND CAPITAL MANAGEMENT CRÉDITO PRIVADO GESTORA DE RECURSOS LTDA.</t>
        </is>
      </c>
      <c r="E86" s="11" t="inlineStr">
        <is>
          <t>btg</t>
        </is>
      </c>
      <c r="F86" s="19" t="n">
        <v>11429385.78</v>
      </c>
      <c r="G86" s="19" t="n">
        <v>6330779.84</v>
      </c>
      <c r="H86" s="20" t="n">
        <v>5098605.94</v>
      </c>
      <c r="I86" s="19" t="n">
        <v>73278075.05</v>
      </c>
      <c r="J86" s="19" t="n">
        <v>80716032.86</v>
      </c>
      <c r="K86" s="21" t="n">
        <v>6.96</v>
      </c>
      <c r="L86" s="21" t="n">
        <v>3.18</v>
      </c>
      <c r="M86" s="22" t="n">
        <v>59</v>
      </c>
      <c r="N86" s="11" t="inlineStr">
        <is>
          <t>virou entrada</t>
        </is>
      </c>
      <c r="O86" s="11" t="inlineStr"/>
    </row>
    <row r="87">
      <c r="A87" s="11" t="inlineStr">
        <is>
          <t>Artica Prev FIM RL</t>
        </is>
      </c>
      <c r="B87" s="11" t="inlineStr">
        <is>
          <t>54.347.632/0001-55</t>
        </is>
      </c>
      <c r="C87" s="11" t="inlineStr">
        <is>
          <t>Multimercados</t>
        </is>
      </c>
      <c r="D87" s="11" t="inlineStr">
        <is>
          <t>ARTICA GESTÃO DE RECURSOS LTDA</t>
        </is>
      </c>
      <c r="E87" s="11" t="inlineStr">
        <is>
          <t>btg</t>
        </is>
      </c>
      <c r="F87" s="19" t="n">
        <v>4934491.52</v>
      </c>
      <c r="G87" s="19" t="n">
        <v>71638.7</v>
      </c>
      <c r="H87" s="20" t="n">
        <v>4862852.82</v>
      </c>
      <c r="I87" s="19" t="n">
        <v>16602938.09</v>
      </c>
      <c r="J87" s="19" t="n">
        <v>21862394.53</v>
      </c>
      <c r="K87" s="21" t="n">
        <v>29.29</v>
      </c>
      <c r="L87" s="21" t="n">
        <v>1.68</v>
      </c>
      <c r="M87" s="22" t="n">
        <v>59</v>
      </c>
      <c r="N87" s="11" t="inlineStr">
        <is>
          <t>desacelerando</t>
        </is>
      </c>
      <c r="O87" s="11" t="inlineStr"/>
    </row>
    <row r="88">
      <c r="A88" s="11" t="inlineStr">
        <is>
          <t>Xp Seguros Verde Master Prev 60 Qualificado Fif Cic Mult Rl</t>
        </is>
      </c>
      <c r="B88" s="11" t="inlineStr">
        <is>
          <t>62.240.600/0001-84</t>
        </is>
      </c>
      <c r="C88" s="11" t="inlineStr">
        <is>
          <t>Multimercados</t>
        </is>
      </c>
      <c r="D88" s="11" t="inlineStr">
        <is>
          <t>VERDE ASSET MANAGEMENT S.A.</t>
        </is>
      </c>
      <c r="E88" s="11" t="inlineStr">
        <is>
          <t>xp</t>
        </is>
      </c>
      <c r="F88" s="19" t="n">
        <v>5644643.12</v>
      </c>
      <c r="G88" s="19" t="n">
        <v>913117.8100000001</v>
      </c>
      <c r="H88" s="20" t="n">
        <v>4731525.31</v>
      </c>
      <c r="I88" s="19" t="n">
        <v>11443810.21</v>
      </c>
      <c r="J88" s="19" t="n">
        <v>16667223.89</v>
      </c>
      <c r="K88" s="21" t="n">
        <v>41.35</v>
      </c>
      <c r="L88" s="21" t="n">
        <v>3.54</v>
      </c>
      <c r="M88" s="22" t="n">
        <v>59</v>
      </c>
      <c r="N88" s="11" t="inlineStr">
        <is>
          <t>estável</t>
        </is>
      </c>
      <c r="O88" s="11" t="inlineStr"/>
    </row>
    <row r="89">
      <c r="A89" s="11" t="inlineStr">
        <is>
          <t>V8 Speedway Vega LS Prev FICFIM Access RL</t>
        </is>
      </c>
      <c r="B89" s="11" t="inlineStr">
        <is>
          <t>64.567.005/0001-83</t>
        </is>
      </c>
      <c r="C89" s="11" t="inlineStr">
        <is>
          <t>Multimercados</t>
        </is>
      </c>
      <c r="D89" s="11" t="inlineStr">
        <is>
          <t>BTG PACTUAL GESTÃO E CONSULTORIA DE INVESTIMENTOS LTDA</t>
        </is>
      </c>
      <c r="E89" s="11" t="inlineStr">
        <is>
          <t>btg</t>
        </is>
      </c>
      <c r="F89" s="19" t="n">
        <v>4958888.1</v>
      </c>
      <c r="G89" s="19" t="n">
        <v>240450</v>
      </c>
      <c r="H89" s="20" t="n">
        <v>4718438.1</v>
      </c>
      <c r="I89" s="19" t="n">
        <v>2243825.38</v>
      </c>
      <c r="J89" s="19" t="n">
        <v>6899665.81</v>
      </c>
      <c r="K89" s="21" t="n">
        <v>210.29</v>
      </c>
      <c r="L89" s="21" t="n">
        <v>-0.18</v>
      </c>
      <c r="M89" s="22" t="n">
        <v>59</v>
      </c>
      <c r="N89" s="11" t="inlineStr">
        <is>
          <t>desacelerando</t>
        </is>
      </c>
      <c r="O89" s="11" t="inlineStr"/>
    </row>
    <row r="90">
      <c r="A90" s="11" t="inlineStr">
        <is>
          <t>Atena Prev FICFIRF FIE 1 CrPr RL</t>
        </is>
      </c>
      <c r="B90" s="11" t="inlineStr">
        <is>
          <t>53.798.822/0001-26</t>
        </is>
      </c>
      <c r="C90" s="11" t="inlineStr">
        <is>
          <t>Renda Fixa</t>
        </is>
      </c>
      <c r="D90" s="11" t="inlineStr">
        <is>
          <t>ATENA CAPITAL GESTÃO DE RECURSOS LTDA.</t>
        </is>
      </c>
      <c r="E90" s="11" t="inlineStr">
        <is>
          <t>btg</t>
        </is>
      </c>
      <c r="F90" s="19" t="n">
        <v>4593132.35</v>
      </c>
      <c r="G90" s="19" t="n">
        <v>81287.71000000001</v>
      </c>
      <c r="H90" s="20" t="n">
        <v>4511844.64</v>
      </c>
      <c r="I90" s="19" t="n">
        <v>14559343.37</v>
      </c>
      <c r="J90" s="19" t="n">
        <v>19589639.48</v>
      </c>
      <c r="K90" s="21" t="n">
        <v>30.99</v>
      </c>
      <c r="L90" s="21" t="n">
        <v>3.11</v>
      </c>
      <c r="M90" s="22" t="n">
        <v>59</v>
      </c>
      <c r="N90" s="11" t="inlineStr">
        <is>
          <t>acelerando</t>
        </is>
      </c>
      <c r="O90" s="11" t="inlineStr"/>
    </row>
    <row r="91">
      <c r="A91" s="11" t="inlineStr">
        <is>
          <t>Adam BP Prev FICFIM RL</t>
        </is>
      </c>
      <c r="B91" s="11" t="inlineStr">
        <is>
          <t>24.751.504/0001-01</t>
        </is>
      </c>
      <c r="C91" s="11" t="inlineStr">
        <is>
          <t>Multimercados</t>
        </is>
      </c>
      <c r="D91" s="11" t="inlineStr">
        <is>
          <t>ADAMCAPITAL GESTÃO DE RECURSOS LTDA.</t>
        </is>
      </c>
      <c r="E91" s="11" t="inlineStr">
        <is>
          <t>btg</t>
        </is>
      </c>
      <c r="F91" s="19" t="n">
        <v>7169050.12</v>
      </c>
      <c r="G91" s="19" t="n">
        <v>2665392.92</v>
      </c>
      <c r="H91" s="20" t="n">
        <v>4503657.2</v>
      </c>
      <c r="I91" s="19" t="n">
        <v>63726463.73</v>
      </c>
      <c r="J91" s="19" t="n">
        <v>67863330.55</v>
      </c>
      <c r="K91" s="21" t="n">
        <v>7.07</v>
      </c>
      <c r="L91" s="21" t="n">
        <v>-0.43</v>
      </c>
      <c r="M91" s="22" t="n">
        <v>59</v>
      </c>
      <c r="N91" s="11" t="inlineStr">
        <is>
          <t>desacelerando</t>
        </is>
      </c>
      <c r="O91" s="11" t="inlineStr"/>
    </row>
    <row r="92">
      <c r="A92" s="11" t="inlineStr">
        <is>
          <t>Icatu Vanguarda Dinâmico Ipca Xp Seg Fim Cp Prev Rl</t>
        </is>
      </c>
      <c r="B92" s="11" t="inlineStr">
        <is>
          <t>47.020.699/0001-15</t>
        </is>
      </c>
      <c r="C92" s="11" t="inlineStr">
        <is>
          <t>Multimercados</t>
        </is>
      </c>
      <c r="D92" s="11" t="inlineStr">
        <is>
          <t>ICATU VANGUARDA GESTÃO DE RECURSOS LTDA</t>
        </is>
      </c>
      <c r="E92" s="11" t="inlineStr">
        <is>
          <t>xp</t>
        </is>
      </c>
      <c r="F92" s="19" t="n">
        <v>4948820.99</v>
      </c>
      <c r="G92" s="19" t="n">
        <v>708304.52</v>
      </c>
      <c r="H92" s="20" t="n">
        <v>4240516.47</v>
      </c>
      <c r="I92" s="19" t="n">
        <v>31391673.26</v>
      </c>
      <c r="J92" s="19" t="n">
        <v>36889365.04</v>
      </c>
      <c r="K92" s="21" t="n">
        <v>13.51</v>
      </c>
      <c r="L92" s="21" t="n">
        <v>3.91</v>
      </c>
      <c r="M92" s="22" t="n">
        <v>59</v>
      </c>
      <c r="N92" s="11" t="inlineStr">
        <is>
          <t>desacelerando</t>
        </is>
      </c>
      <c r="O92" s="11" t="inlineStr"/>
    </row>
    <row r="93">
      <c r="A93" s="11" t="inlineStr">
        <is>
          <t>BTG Pactual Absoluto Prev FICFIM CrPr RL</t>
        </is>
      </c>
      <c r="B93" s="11" t="inlineStr">
        <is>
          <t>35.002.894/0001-33</t>
        </is>
      </c>
      <c r="C93" s="11" t="inlineStr">
        <is>
          <t>Multimercados</t>
        </is>
      </c>
      <c r="D93" s="11" t="inlineStr">
        <is>
          <t>BTG PACTUAL ASSET MANAGEMENT S/A DTVM</t>
        </is>
      </c>
      <c r="E93" s="11" t="inlineStr">
        <is>
          <t>btg</t>
        </is>
      </c>
      <c r="F93" s="19" t="n">
        <v>4644932.56</v>
      </c>
      <c r="G93" s="19" t="n">
        <v>579029.45</v>
      </c>
      <c r="H93" s="20" t="n">
        <v>4065903.11</v>
      </c>
      <c r="I93" s="19" t="n">
        <v>6790195.1</v>
      </c>
      <c r="J93" s="19" t="n">
        <v>11367664.76</v>
      </c>
      <c r="K93" s="21" t="n">
        <v>59.88</v>
      </c>
      <c r="L93" s="21" t="n">
        <v>6.61</v>
      </c>
      <c r="M93" s="22" t="n">
        <v>59</v>
      </c>
      <c r="N93" s="11" t="inlineStr">
        <is>
          <t>acelerando</t>
        </is>
      </c>
      <c r="O93" s="11" t="inlineStr"/>
    </row>
    <row r="94">
      <c r="A94" s="11" t="inlineStr">
        <is>
          <t>Harbour Endeavour Prev FIM CrPr RL</t>
        </is>
      </c>
      <c r="B94" s="11" t="inlineStr">
        <is>
          <t>55.849.709/0001-58</t>
        </is>
      </c>
      <c r="C94" s="11" t="inlineStr">
        <is>
          <t>Multimercados</t>
        </is>
      </c>
      <c r="D94" s="11" t="inlineStr">
        <is>
          <t>HARBOUR CAPITAL ADMINISTRADORA DE CARTEIRAS DE VALORES MOBILIÁRIOS LTDA.</t>
        </is>
      </c>
      <c r="E94" s="11" t="inlineStr">
        <is>
          <t>btg</t>
        </is>
      </c>
      <c r="F94" s="19" t="n">
        <v>4954988.04</v>
      </c>
      <c r="G94" s="19" t="n">
        <v>907411.34</v>
      </c>
      <c r="H94" s="20" t="n">
        <v>4047576.7</v>
      </c>
      <c r="I94" s="19" t="n">
        <v>22785378.24</v>
      </c>
      <c r="J94" s="19" t="n">
        <v>27659999.55</v>
      </c>
      <c r="K94" s="21" t="n">
        <v>17.76</v>
      </c>
      <c r="L94" s="21" t="n">
        <v>3.31</v>
      </c>
      <c r="M94" s="22" t="n">
        <v>59</v>
      </c>
      <c r="N94" s="11" t="inlineStr">
        <is>
          <t>virou saída</t>
        </is>
      </c>
      <c r="O94" s="11" t="inlineStr"/>
    </row>
    <row r="95">
      <c r="A95" s="11" t="inlineStr">
        <is>
          <t>Trend B60 XP Seg Prev RF RL</t>
        </is>
      </c>
      <c r="B95" s="11" t="inlineStr">
        <is>
          <t>65.912.212/0001-90</t>
        </is>
      </c>
      <c r="C95" s="11" t="inlineStr">
        <is>
          <t>Renda Fixa</t>
        </is>
      </c>
      <c r="D95" s="11" t="inlineStr">
        <is>
          <t>XP ALLOCATION ASSET MANAGEMENT LTDA</t>
        </is>
      </c>
      <c r="E95" s="11" t="inlineStr">
        <is>
          <t>xp</t>
        </is>
      </c>
      <c r="F95" s="19" t="n">
        <v>4018666.27</v>
      </c>
      <c r="G95" s="19" t="n">
        <v>0</v>
      </c>
      <c r="H95" s="20" t="n">
        <v>4018666.27</v>
      </c>
      <c r="I95" s="19" t="n">
        <v>21084.18</v>
      </c>
      <c r="J95" s="19" t="n">
        <v>4056742</v>
      </c>
      <c r="K95" s="21" t="n">
        <v>19060.1</v>
      </c>
      <c r="L95" s="21" t="n">
        <v>2.72</v>
      </c>
      <c r="M95" s="22" t="n">
        <v>19</v>
      </c>
      <c r="N95" s="11" t="inlineStr">
        <is>
          <t>acelerando</t>
        </is>
      </c>
      <c r="O95" s="11" t="inlineStr"/>
    </row>
    <row r="96">
      <c r="A96" s="11" t="inlineStr">
        <is>
          <t>Reach Credito Prev FIE FIF MM CP</t>
        </is>
      </c>
      <c r="B96" s="11" t="inlineStr">
        <is>
          <t>68.068.343/0001-21</t>
        </is>
      </c>
      <c r="C96" s="11" t="inlineStr">
        <is>
          <t>Multimercados</t>
        </is>
      </c>
      <c r="D96" s="11" t="inlineStr">
        <is>
          <t>REACH CAPITAL INVESTIMENTOS S.A</t>
        </is>
      </c>
      <c r="E96" s="11" t="inlineStr">
        <is>
          <t>btg</t>
        </is>
      </c>
      <c r="F96" s="19" t="n">
        <v>3868335.04</v>
      </c>
      <c r="G96" s="19" t="n">
        <v>0</v>
      </c>
      <c r="H96" s="20" t="n">
        <v>3868335.04</v>
      </c>
      <c r="I96" s="19" t="n">
        <v>1886689.4</v>
      </c>
      <c r="J96" s="19" t="n">
        <v>3895956.05</v>
      </c>
      <c r="K96" s="21" t="n">
        <v>205.03</v>
      </c>
      <c r="L96" s="21" t="n">
        <v>1</v>
      </c>
      <c r="M96" s="22" t="n">
        <v>18</v>
      </c>
      <c r="N96" s="11" t="inlineStr">
        <is>
          <t>desacelerando</t>
        </is>
      </c>
      <c r="O96" s="11" t="inlineStr"/>
    </row>
    <row r="97">
      <c r="A97" s="11" t="inlineStr">
        <is>
          <t>Genoa Capital Sagres Prev FIF FIC MM Access</t>
        </is>
      </c>
      <c r="B97" s="11" t="inlineStr">
        <is>
          <t>64.810.424/0001-02</t>
        </is>
      </c>
      <c r="C97" s="11" t="inlineStr">
        <is>
          <t>Multimercados</t>
        </is>
      </c>
      <c r="D97" s="11" t="inlineStr">
        <is>
          <t>BTG PACTUAL GESTÃO E CONSULTORIA DE INVESTIMENTOS LTDA</t>
        </is>
      </c>
      <c r="E97" s="11" t="inlineStr">
        <is>
          <t>btg</t>
        </is>
      </c>
      <c r="F97" s="19" t="n">
        <v>3746819.79</v>
      </c>
      <c r="G97" s="19" t="n">
        <v>37846.42</v>
      </c>
      <c r="H97" s="20" t="n">
        <v>3708973.37</v>
      </c>
      <c r="I97" s="19" t="n">
        <v>1727652.61</v>
      </c>
      <c r="J97" s="19" t="n">
        <v>5400137.93</v>
      </c>
      <c r="K97" s="21" t="n">
        <v>214.68</v>
      </c>
      <c r="L97" s="21" t="n">
        <v>3.74</v>
      </c>
      <c r="M97" s="22" t="n">
        <v>59</v>
      </c>
      <c r="N97" s="11" t="inlineStr">
        <is>
          <t>desacelerando</t>
        </is>
      </c>
      <c r="O97" s="11" t="inlineStr"/>
    </row>
    <row r="98">
      <c r="A98" s="11" t="inlineStr">
        <is>
          <t>Encore Valor Dividendos 100 BP Prev FIC FIA Access</t>
        </is>
      </c>
      <c r="B98" s="11" t="inlineStr">
        <is>
          <t>68.171.753/0001-01</t>
        </is>
      </c>
      <c r="C98" s="11" t="inlineStr">
        <is>
          <t>Ações</t>
        </is>
      </c>
      <c r="D98" s="11" t="inlineStr">
        <is>
          <t>BTG PACTUAL GESTÃO E CONSULTORIA DE INVESTIMENTOS LTDA</t>
        </is>
      </c>
      <c r="E98" s="11" t="inlineStr">
        <is>
          <t>btg</t>
        </is>
      </c>
      <c r="F98" s="19" t="n">
        <v>3554297.8</v>
      </c>
      <c r="G98" s="19" t="n">
        <v>0</v>
      </c>
      <c r="H98" s="20" t="n">
        <v>3554297.8</v>
      </c>
      <c r="I98" s="19" t="n">
        <v>2045492.03</v>
      </c>
      <c r="J98" s="19" t="n">
        <v>3606561.86</v>
      </c>
      <c r="K98" s="21" t="n">
        <v>173.76</v>
      </c>
      <c r="L98" s="21" t="n">
        <v>1.88</v>
      </c>
      <c r="M98" s="22" t="n">
        <v>13</v>
      </c>
      <c r="N98" s="11" t="inlineStr">
        <is>
          <t>sem série</t>
        </is>
      </c>
      <c r="O98" s="11" t="inlineStr"/>
    </row>
    <row r="99">
      <c r="A99" s="11" t="inlineStr">
        <is>
          <t>Empiricus Global Real Return Prev FIM RL</t>
        </is>
      </c>
      <c r="B99" s="11" t="inlineStr">
        <is>
          <t>44.027.256/0001-68</t>
        </is>
      </c>
      <c r="C99" s="11" t="inlineStr">
        <is>
          <t>Multimercados</t>
        </is>
      </c>
      <c r="D99" s="11" t="inlineStr">
        <is>
          <t>BTG PACTUAL ASSET MANAGEMENT S/A DTVM</t>
        </is>
      </c>
      <c r="E99" s="11" t="inlineStr">
        <is>
          <t>btg</t>
        </is>
      </c>
      <c r="F99" s="19" t="n">
        <v>6175438.1</v>
      </c>
      <c r="G99" s="19" t="n">
        <v>2723900.67</v>
      </c>
      <c r="H99" s="20" t="n">
        <v>3451537.43</v>
      </c>
      <c r="I99" s="19" t="n">
        <v>144381245.39</v>
      </c>
      <c r="J99" s="19" t="n">
        <v>153418711.28</v>
      </c>
      <c r="K99" s="21" t="n">
        <v>2.39</v>
      </c>
      <c r="L99" s="21" t="n">
        <v>3.84</v>
      </c>
      <c r="M99" s="22" t="n">
        <v>59</v>
      </c>
      <c r="N99" s="11" t="inlineStr">
        <is>
          <t>acelerando</t>
        </is>
      </c>
      <c r="O99" s="11" t="inlineStr"/>
    </row>
    <row r="100">
      <c r="A100" s="11" t="inlineStr">
        <is>
          <t>JGP BP Cred Prev Ipca FICFIRF LP CrPr RL</t>
        </is>
      </c>
      <c r="B100" s="11" t="inlineStr">
        <is>
          <t>44.643.217/0001-95</t>
        </is>
      </c>
      <c r="C100" s="11" t="inlineStr">
        <is>
          <t>Renda Fixa</t>
        </is>
      </c>
      <c r="D100" s="11" t="inlineStr">
        <is>
          <t>LETO ASSET MANAGEMENT LTDA</t>
        </is>
      </c>
      <c r="E100" s="11" t="inlineStr">
        <is>
          <t>btg</t>
        </is>
      </c>
      <c r="F100" s="19" t="n">
        <v>7193783.22</v>
      </c>
      <c r="G100" s="19" t="n">
        <v>3751084.84</v>
      </c>
      <c r="H100" s="20" t="n">
        <v>3442698.38</v>
      </c>
      <c r="I100" s="19" t="n">
        <v>112834294.9</v>
      </c>
      <c r="J100" s="19" t="n">
        <v>120208140.3</v>
      </c>
      <c r="K100" s="21" t="n">
        <v>3.05</v>
      </c>
      <c r="L100" s="21" t="n">
        <v>3.44</v>
      </c>
      <c r="M100" s="22" t="n">
        <v>59</v>
      </c>
      <c r="N100" s="11" t="inlineStr">
        <is>
          <t>desacelerando</t>
        </is>
      </c>
      <c r="O100" s="11" t="inlineStr"/>
    </row>
    <row r="101">
      <c r="A101" s="11" t="inlineStr">
        <is>
          <t>Dahlia Global 50 Prev FICFIM RL</t>
        </is>
      </c>
      <c r="B101" s="11" t="inlineStr">
        <is>
          <t>37.626.895/0001-84</t>
        </is>
      </c>
      <c r="C101" s="11" t="inlineStr">
        <is>
          <t>Multimercados</t>
        </is>
      </c>
      <c r="D101" s="11" t="inlineStr">
        <is>
          <t>DAHLIA CAPITAL GESTÃO DE RECURSOS LTDA.</t>
        </is>
      </c>
      <c r="E101" s="11" t="inlineStr">
        <is>
          <t>btg</t>
        </is>
      </c>
      <c r="F101" s="19" t="n">
        <v>4939427.95</v>
      </c>
      <c r="G101" s="19" t="n">
        <v>1526921.16</v>
      </c>
      <c r="H101" s="20" t="n">
        <v>3412506.79</v>
      </c>
      <c r="I101" s="19" t="n">
        <v>68815191.98</v>
      </c>
      <c r="J101" s="19" t="n">
        <v>73843974.51000001</v>
      </c>
      <c r="K101" s="21" t="n">
        <v>4.96</v>
      </c>
      <c r="L101" s="21" t="n">
        <v>2.24</v>
      </c>
      <c r="M101" s="22" t="n">
        <v>59</v>
      </c>
      <c r="N101" s="11" t="inlineStr">
        <is>
          <t>virou saída</t>
        </is>
      </c>
      <c r="O101" s="11" t="inlineStr"/>
    </row>
    <row r="102">
      <c r="A102" s="11" t="inlineStr">
        <is>
          <t>MAG Prev XP Seg Advisory FIRF CP</t>
        </is>
      </c>
      <c r="B102" s="11" t="inlineStr">
        <is>
          <t>32.385.140/0001-11</t>
        </is>
      </c>
      <c r="C102" s="11" t="inlineStr">
        <is>
          <t>Renda Fixa</t>
        </is>
      </c>
      <c r="D102" s="11" t="inlineStr">
        <is>
          <t>MONGERAL AEGON INVESTIMENTOS LTDA</t>
        </is>
      </c>
      <c r="E102" s="11" t="inlineStr">
        <is>
          <t>xp</t>
        </is>
      </c>
      <c r="F102" s="19" t="n">
        <v>21680598.79</v>
      </c>
      <c r="G102" s="19" t="n">
        <v>18280453.36</v>
      </c>
      <c r="H102" s="20" t="n">
        <v>3400145.43</v>
      </c>
      <c r="I102" s="19" t="n">
        <v>259499290.34</v>
      </c>
      <c r="J102" s="19" t="n">
        <v>270830178.27</v>
      </c>
      <c r="K102" s="21" t="n">
        <v>1.31</v>
      </c>
      <c r="L102" s="21" t="n">
        <v>3.05</v>
      </c>
      <c r="M102" s="22" t="n">
        <v>59</v>
      </c>
      <c r="N102" s="11" t="inlineStr">
        <is>
          <t>acelerando</t>
        </is>
      </c>
      <c r="O102" s="11" t="inlineStr"/>
    </row>
    <row r="103">
      <c r="A103" s="11" t="inlineStr">
        <is>
          <t>BTG Pactual Synergy Long Only Prev FIE FIA RL</t>
        </is>
      </c>
      <c r="B103" s="11" t="inlineStr">
        <is>
          <t>57.998.092/0001-68</t>
        </is>
      </c>
      <c r="C103" s="11" t="inlineStr">
        <is>
          <t>Ações</t>
        </is>
      </c>
      <c r="D103" s="11" t="inlineStr">
        <is>
          <t>BTG PACTUAL ASSET MANAGEMENT S/A DTVM</t>
        </is>
      </c>
      <c r="E103" s="11" t="inlineStr">
        <is>
          <t>btg</t>
        </is>
      </c>
      <c r="F103" s="19" t="n">
        <v>4202989.52</v>
      </c>
      <c r="G103" s="19" t="n">
        <v>826381.14</v>
      </c>
      <c r="H103" s="20" t="n">
        <v>3376608.38</v>
      </c>
      <c r="I103" s="19" t="n">
        <v>9881159.09</v>
      </c>
      <c r="J103" s="19" t="n">
        <v>13448672.45</v>
      </c>
      <c r="K103" s="21" t="n">
        <v>34.17</v>
      </c>
      <c r="L103" s="21" t="n">
        <v>3.34</v>
      </c>
      <c r="M103" s="22" t="n">
        <v>59</v>
      </c>
      <c r="N103" s="11" t="inlineStr">
        <is>
          <t>estável</t>
        </is>
      </c>
      <c r="O103" s="11" t="inlineStr"/>
    </row>
    <row r="104">
      <c r="A104" s="11" t="inlineStr">
        <is>
          <t>Kinea Prev XTR II Planos Icatu FICFIM RL</t>
        </is>
      </c>
      <c r="B104" s="11" t="inlineStr">
        <is>
          <t>34.143.959/0001-06</t>
        </is>
      </c>
      <c r="C104" s="11" t="inlineStr">
        <is>
          <t>Multimercados</t>
        </is>
      </c>
      <c r="D104" s="11" t="inlineStr">
        <is>
          <t>KINEA INVESTIMENTOS LTDA.</t>
        </is>
      </c>
      <c r="E104" s="11" t="inlineStr">
        <is>
          <t>btg</t>
        </is>
      </c>
      <c r="F104" s="19" t="n">
        <v>7655720.69</v>
      </c>
      <c r="G104" s="19" t="n">
        <v>4338922.35</v>
      </c>
      <c r="H104" s="20" t="n">
        <v>3316798.34</v>
      </c>
      <c r="I104" s="19" t="n">
        <v>111405011.3</v>
      </c>
      <c r="J104" s="19" t="n">
        <v>118723518.85</v>
      </c>
      <c r="K104" s="21" t="n">
        <v>2.98</v>
      </c>
      <c r="L104" s="21" t="n">
        <v>3.3</v>
      </c>
      <c r="M104" s="22" t="n">
        <v>58</v>
      </c>
      <c r="N104" s="11" t="inlineStr">
        <is>
          <t>virou saída</t>
        </is>
      </c>
      <c r="O104" s="11" t="inlineStr"/>
    </row>
    <row r="105">
      <c r="A105" s="11" t="inlineStr">
        <is>
          <t>Riza Lotus Prev FICFIRF CrPr RL</t>
        </is>
      </c>
      <c r="B105" s="11" t="inlineStr">
        <is>
          <t>56.954.063/0001-31</t>
        </is>
      </c>
      <c r="C105" s="11" t="inlineStr">
        <is>
          <t>Renda Fixa</t>
        </is>
      </c>
      <c r="D105" s="11" t="inlineStr">
        <is>
          <t>RIZA LÍQUIDOS GESTORA DE RECURSOS LTDA.</t>
        </is>
      </c>
      <c r="E105" s="11" t="inlineStr">
        <is>
          <t>btg</t>
        </is>
      </c>
      <c r="F105" s="19" t="n">
        <v>5636518.83</v>
      </c>
      <c r="G105" s="19" t="n">
        <v>2324849.74</v>
      </c>
      <c r="H105" s="20" t="n">
        <v>3311669.09</v>
      </c>
      <c r="I105" s="19" t="n">
        <v>26466627.03</v>
      </c>
      <c r="J105" s="19" t="n">
        <v>30674355.06</v>
      </c>
      <c r="K105" s="21" t="n">
        <v>12.51</v>
      </c>
      <c r="L105" s="21" t="n">
        <v>3.33</v>
      </c>
      <c r="M105" s="22" t="n">
        <v>59</v>
      </c>
      <c r="N105" s="11" t="inlineStr">
        <is>
          <t>acelerando</t>
        </is>
      </c>
      <c r="O105" s="11" t="inlineStr"/>
    </row>
    <row r="106">
      <c r="A106" s="11" t="inlineStr">
        <is>
          <t>Finacap BP Prev 70 FIF MM</t>
        </is>
      </c>
      <c r="B106" s="11" t="inlineStr">
        <is>
          <t>67.671.091/0001-68</t>
        </is>
      </c>
      <c r="C106" s="11" t="inlineStr">
        <is>
          <t>Multimercados</t>
        </is>
      </c>
      <c r="D106" s="11" t="inlineStr">
        <is>
          <t>FINACAP INVESTIMENTOS LTDA</t>
        </is>
      </c>
      <c r="E106" s="11" t="inlineStr">
        <is>
          <t>btg</t>
        </is>
      </c>
      <c r="F106" s="19" t="n">
        <v>3118789.89</v>
      </c>
      <c r="G106" s="19" t="n">
        <v>0</v>
      </c>
      <c r="H106" s="20" t="n">
        <v>3118789.89</v>
      </c>
      <c r="I106" s="19" t="n">
        <v>3000000</v>
      </c>
      <c r="J106" s="19" t="n">
        <v>3113260.45</v>
      </c>
      <c r="K106" s="21" t="n">
        <v>103.96</v>
      </c>
      <c r="L106" s="21" t="n">
        <v>-0.21</v>
      </c>
      <c r="M106" s="22" t="n">
        <v>13</v>
      </c>
      <c r="N106" s="11" t="inlineStr">
        <is>
          <t>sem série</t>
        </is>
      </c>
      <c r="O106" s="11" t="inlineStr">
        <is>
          <t>sim</t>
        </is>
      </c>
    </row>
    <row r="107">
      <c r="A107" s="11" t="inlineStr">
        <is>
          <t>Icatu Vanguarda Igarate Prev BP FICFIM CrPr RL</t>
        </is>
      </c>
      <c r="B107" s="11" t="inlineStr">
        <is>
          <t>57.205.240/0001-40</t>
        </is>
      </c>
      <c r="C107" s="11" t="inlineStr">
        <is>
          <t>Multimercados</t>
        </is>
      </c>
      <c r="D107" s="11" t="inlineStr">
        <is>
          <t>ICATU VANGUARDA GESTÃO DE RECURSOS LTDA</t>
        </is>
      </c>
      <c r="E107" s="11" t="inlineStr">
        <is>
          <t>btg</t>
        </is>
      </c>
      <c r="F107" s="19" t="n">
        <v>3135735.54</v>
      </c>
      <c r="G107" s="19" t="n">
        <v>26894.92</v>
      </c>
      <c r="H107" s="20" t="n">
        <v>3108840.62</v>
      </c>
      <c r="I107" s="19" t="n">
        <v>2678779.55</v>
      </c>
      <c r="J107" s="19" t="n">
        <v>5959791.64</v>
      </c>
      <c r="K107" s="21" t="n">
        <v>116.05</v>
      </c>
      <c r="L107" s="21" t="n">
        <v>3.17</v>
      </c>
      <c r="M107" s="22" t="n">
        <v>59</v>
      </c>
      <c r="N107" s="11" t="inlineStr">
        <is>
          <t>desacelerando</t>
        </is>
      </c>
      <c r="O107" s="11" t="inlineStr"/>
    </row>
    <row r="108">
      <c r="A108" s="11" t="inlineStr">
        <is>
          <t>SPX Prev Fundo Access CrPr RL</t>
        </is>
      </c>
      <c r="B108" s="11" t="inlineStr">
        <is>
          <t>61.760.793/0001-31</t>
        </is>
      </c>
      <c r="C108" s="11" t="inlineStr">
        <is>
          <t>Renda Fixa</t>
        </is>
      </c>
      <c r="D108" s="11" t="inlineStr">
        <is>
          <t>BTG PACTUAL GESTÃO E CONSULTORIA DE INVESTIMENTOS LTDA</t>
        </is>
      </c>
      <c r="E108" s="11" t="inlineStr">
        <is>
          <t>btg</t>
        </is>
      </c>
      <c r="F108" s="19" t="n">
        <v>3600008.59</v>
      </c>
      <c r="G108" s="19" t="n">
        <v>618120.34</v>
      </c>
      <c r="H108" s="20" t="n">
        <v>2981888.25</v>
      </c>
      <c r="I108" s="19" t="n">
        <v>13962013.85</v>
      </c>
      <c r="J108" s="19" t="n">
        <v>17403558.61</v>
      </c>
      <c r="K108" s="21" t="n">
        <v>21.36</v>
      </c>
      <c r="L108" s="21" t="n">
        <v>3.1</v>
      </c>
      <c r="M108" s="22" t="n">
        <v>59</v>
      </c>
      <c r="N108" s="11" t="inlineStr">
        <is>
          <t>desacelerando</t>
        </is>
      </c>
      <c r="O108" s="11" t="inlineStr"/>
    </row>
    <row r="109">
      <c r="A109" s="11" t="inlineStr">
        <is>
          <t>Arca Grão Xp Seguros Prev Fic Rf Cp Rl</t>
        </is>
      </c>
      <c r="B109" s="11" t="inlineStr">
        <is>
          <t>61.304.623/0001-42</t>
        </is>
      </c>
      <c r="C109" s="11" t="inlineStr">
        <is>
          <t>Renda Fixa</t>
        </is>
      </c>
      <c r="D109" s="11" t="inlineStr">
        <is>
          <t>GRÃO GESTÃO DE RECURSOS LTDA.</t>
        </is>
      </c>
      <c r="E109" s="11" t="inlineStr">
        <is>
          <t>xp</t>
        </is>
      </c>
      <c r="F109" s="19" t="n">
        <v>6224295.55</v>
      </c>
      <c r="G109" s="19" t="n">
        <v>3315922.51</v>
      </c>
      <c r="H109" s="20" t="n">
        <v>2908373.04</v>
      </c>
      <c r="I109" s="19" t="n">
        <v>40207102.26</v>
      </c>
      <c r="J109" s="19" t="n">
        <v>44203446.89</v>
      </c>
      <c r="K109" s="21" t="n">
        <v>7.23</v>
      </c>
      <c r="L109" s="21" t="n">
        <v>2.98</v>
      </c>
      <c r="M109" s="22" t="n">
        <v>59</v>
      </c>
      <c r="N109" s="11" t="inlineStr">
        <is>
          <t>virou saída</t>
        </is>
      </c>
      <c r="O109" s="11" t="inlineStr"/>
    </row>
    <row r="110">
      <c r="A110" s="11" t="inlineStr">
        <is>
          <t>Trend Ibovespa 70 XP Seg Prev FIC FIM RL</t>
        </is>
      </c>
      <c r="B110" s="11" t="inlineStr">
        <is>
          <t>33.784.183/0001-32</t>
        </is>
      </c>
      <c r="C110" s="11" t="inlineStr">
        <is>
          <t>Balanceados</t>
        </is>
      </c>
      <c r="D110" s="11" t="inlineStr">
        <is>
          <t>XP ALLOCATION ASSET MANAGEMENT LTDA</t>
        </is>
      </c>
      <c r="E110" s="11" t="inlineStr">
        <is>
          <t>xp</t>
        </is>
      </c>
      <c r="F110" s="19" t="n">
        <v>5321043.44</v>
      </c>
      <c r="G110" s="19" t="n">
        <v>2436026.21</v>
      </c>
      <c r="H110" s="20" t="n">
        <v>2885017.23</v>
      </c>
      <c r="I110" s="19" t="n">
        <v>40358895.22</v>
      </c>
      <c r="J110" s="19" t="n">
        <v>46287903.7</v>
      </c>
      <c r="K110" s="21" t="n">
        <v>7.15</v>
      </c>
      <c r="L110" s="21" t="n">
        <v>7.36</v>
      </c>
      <c r="M110" s="22" t="n">
        <v>59</v>
      </c>
      <c r="N110" s="11" t="inlineStr">
        <is>
          <t>desacelerando</t>
        </is>
      </c>
      <c r="O110" s="11" t="inlineStr"/>
    </row>
    <row r="111">
      <c r="A111" s="11" t="inlineStr">
        <is>
          <t>Armor Prev FIE I FIF MM</t>
        </is>
      </c>
      <c r="B111" s="11" t="inlineStr">
        <is>
          <t>64.157.228/0001-72</t>
        </is>
      </c>
      <c r="C111" s="11" t="inlineStr">
        <is>
          <t>Multimercados</t>
        </is>
      </c>
      <c r="D111" s="11" t="inlineStr">
        <is>
          <t>ARMOR GESTORA DE RECURSOS LTDA.</t>
        </is>
      </c>
      <c r="E111" s="11" t="inlineStr">
        <is>
          <t>btg</t>
        </is>
      </c>
      <c r="F111" s="19" t="n">
        <v>2833673.7</v>
      </c>
      <c r="G111" s="19" t="n">
        <v>0</v>
      </c>
      <c r="H111" s="20" t="n">
        <v>2833673.7</v>
      </c>
      <c r="I111" s="19" t="n">
        <v>1000000</v>
      </c>
      <c r="J111" s="19" t="n">
        <v>2986428.21</v>
      </c>
      <c r="K111" s="21" t="n">
        <v>283.37</v>
      </c>
      <c r="L111" s="21" t="n">
        <v>1.95</v>
      </c>
      <c r="M111" s="22" t="n">
        <v>39</v>
      </c>
      <c r="N111" s="11" t="inlineStr">
        <is>
          <t>estável</t>
        </is>
      </c>
      <c r="O111" s="11" t="inlineStr"/>
    </row>
    <row r="112">
      <c r="A112" s="11" t="inlineStr">
        <is>
          <t>BTG Pactual Tesouro Ipca Longo Prev FICFIRF de RF RL</t>
        </is>
      </c>
      <c r="B112" s="11" t="inlineStr">
        <is>
          <t>27.762.397/0001-05</t>
        </is>
      </c>
      <c r="C112" s="11" t="inlineStr">
        <is>
          <t>Renda Fixa</t>
        </is>
      </c>
      <c r="D112" s="11" t="inlineStr">
        <is>
          <t>BTG PACTUAL ASSET MANAGEMENT S/A DTVM</t>
        </is>
      </c>
      <c r="E112" s="11" t="inlineStr">
        <is>
          <t>btg</t>
        </is>
      </c>
      <c r="F112" s="19" t="n">
        <v>9044321.050000001</v>
      </c>
      <c r="G112" s="19" t="n">
        <v>6246622.27</v>
      </c>
      <c r="H112" s="20" t="n">
        <v>2797698.78</v>
      </c>
      <c r="I112" s="19" t="n">
        <v>137985777.5</v>
      </c>
      <c r="J112" s="19" t="n">
        <v>148071973.6</v>
      </c>
      <c r="K112" s="21" t="n">
        <v>2.03</v>
      </c>
      <c r="L112" s="21" t="n">
        <v>5.49</v>
      </c>
      <c r="M112" s="22" t="n">
        <v>59</v>
      </c>
      <c r="N112" s="11" t="inlineStr">
        <is>
          <t>acelerando</t>
        </is>
      </c>
      <c r="O112" s="11" t="inlineStr"/>
    </row>
    <row r="113">
      <c r="A113" s="11" t="inlineStr">
        <is>
          <t>Dahlia Total Return BP Prev FICFIM RL</t>
        </is>
      </c>
      <c r="B113" s="11" t="inlineStr">
        <is>
          <t>53.675.501/0001-34</t>
        </is>
      </c>
      <c r="C113" s="11" t="inlineStr">
        <is>
          <t>Multimercados</t>
        </is>
      </c>
      <c r="D113" s="11" t="inlineStr">
        <is>
          <t>DAHLIA CAPITAL GESTÃO DE RECURSOS LTDA.</t>
        </is>
      </c>
      <c r="E113" s="11" t="inlineStr">
        <is>
          <t>btg</t>
        </is>
      </c>
      <c r="F113" s="19" t="n">
        <v>3396652.03</v>
      </c>
      <c r="G113" s="19" t="n">
        <v>605962.5</v>
      </c>
      <c r="H113" s="20" t="n">
        <v>2790689.53</v>
      </c>
      <c r="I113" s="19" t="n">
        <v>12584495.47</v>
      </c>
      <c r="J113" s="19" t="n">
        <v>15663549.73</v>
      </c>
      <c r="K113" s="21" t="n">
        <v>22.18</v>
      </c>
      <c r="L113" s="21" t="n">
        <v>1.95</v>
      </c>
      <c r="M113" s="22" t="n">
        <v>59</v>
      </c>
      <c r="N113" s="11" t="inlineStr">
        <is>
          <t>desacelerando</t>
        </is>
      </c>
      <c r="O113" s="11" t="inlineStr"/>
    </row>
    <row r="114">
      <c r="A114" s="11" t="inlineStr">
        <is>
          <t>Kinea Prev Apolo BTG FICFIM RL</t>
        </is>
      </c>
      <c r="B114" s="11" t="inlineStr">
        <is>
          <t>59.719.333/0001-18</t>
        </is>
      </c>
      <c r="C114" s="11" t="inlineStr">
        <is>
          <t>Multimercados</t>
        </is>
      </c>
      <c r="D114" s="11" t="inlineStr">
        <is>
          <t>KINEA INVESTIMENTOS LTDA.</t>
        </is>
      </c>
      <c r="E114" s="11" t="inlineStr">
        <is>
          <t>btg</t>
        </is>
      </c>
      <c r="F114" s="19" t="n">
        <v>2908455.66</v>
      </c>
      <c r="G114" s="19" t="n">
        <v>139417.81</v>
      </c>
      <c r="H114" s="20" t="n">
        <v>2769037.85</v>
      </c>
      <c r="I114" s="19" t="n">
        <v>2736909.83</v>
      </c>
      <c r="J114" s="19" t="n">
        <v>5628033.72</v>
      </c>
      <c r="K114" s="21" t="n">
        <v>101.17</v>
      </c>
      <c r="L114" s="21" t="n">
        <v>3.1</v>
      </c>
      <c r="M114" s="22" t="n">
        <v>59</v>
      </c>
      <c r="N114" s="11" t="inlineStr">
        <is>
          <t>desacelerando</t>
        </is>
      </c>
      <c r="O114" s="11" t="inlineStr"/>
    </row>
    <row r="115">
      <c r="A115" s="11" t="inlineStr">
        <is>
          <t>Occam Liquidez XP Seg Prev FIC FIRF CP RL</t>
        </is>
      </c>
      <c r="B115" s="11" t="inlineStr">
        <is>
          <t>63.799.359/0001-90</t>
        </is>
      </c>
      <c r="C115" s="11" t="inlineStr">
        <is>
          <t>Renda Fixa</t>
        </is>
      </c>
      <c r="D115" s="11" t="inlineStr">
        <is>
          <t>NOVA OCCAM BRASIL GESTAO DE RECURSOS LTDA.</t>
        </is>
      </c>
      <c r="E115" s="11" t="inlineStr">
        <is>
          <t>xp</t>
        </is>
      </c>
      <c r="F115" s="19" t="n">
        <v>2782084</v>
      </c>
      <c r="G115" s="19" t="n">
        <v>141711.56</v>
      </c>
      <c r="H115" s="20" t="n">
        <v>2640372.44</v>
      </c>
      <c r="I115" s="19" t="n">
        <v>8146013.5</v>
      </c>
      <c r="J115" s="19" t="n">
        <v>10982014.34</v>
      </c>
      <c r="K115" s="21" t="n">
        <v>32.41</v>
      </c>
      <c r="L115" s="21" t="n">
        <v>3.15</v>
      </c>
      <c r="M115" s="22" t="n">
        <v>59</v>
      </c>
      <c r="N115" s="11" t="inlineStr">
        <is>
          <t>desacelerando</t>
        </is>
      </c>
      <c r="O115" s="11" t="inlineStr"/>
    </row>
    <row r="116">
      <c r="A116" s="11" t="inlineStr">
        <is>
          <t>Tríade Prev Fic Fim Cp Rl</t>
        </is>
      </c>
      <c r="B116" s="11" t="inlineStr">
        <is>
          <t>53.991.216/0001-22</t>
        </is>
      </c>
      <c r="C116" s="11" t="inlineStr">
        <is>
          <t>Multimercados</t>
        </is>
      </c>
      <c r="D116" s="11" t="inlineStr">
        <is>
          <t>PARAMIS BR INVESTIMENTOS LTDA</t>
        </is>
      </c>
      <c r="E116" s="11" t="inlineStr">
        <is>
          <t>xp</t>
        </is>
      </c>
      <c r="F116" s="19" t="n">
        <v>8521727.67</v>
      </c>
      <c r="G116" s="19" t="n">
        <v>5903147.6</v>
      </c>
      <c r="H116" s="20" t="n">
        <v>2618580.07</v>
      </c>
      <c r="I116" s="19" t="n">
        <v>162606271.59</v>
      </c>
      <c r="J116" s="19" t="n">
        <v>170048084.52</v>
      </c>
      <c r="K116" s="21" t="n">
        <v>1.61</v>
      </c>
      <c r="L116" s="21" t="n">
        <v>3.09</v>
      </c>
      <c r="M116" s="22" t="n">
        <v>59</v>
      </c>
      <c r="N116" s="11" t="inlineStr">
        <is>
          <t>virou entrada</t>
        </is>
      </c>
      <c r="O116" s="11" t="inlineStr"/>
    </row>
    <row r="117">
      <c r="A117" s="11" t="inlineStr">
        <is>
          <t>RPS Prev Absoluto BP Prev FICFIM RL</t>
        </is>
      </c>
      <c r="B117" s="11" t="inlineStr">
        <is>
          <t>42.730.862/0001-10</t>
        </is>
      </c>
      <c r="C117" s="11" t="inlineStr">
        <is>
          <t>Multimercados</t>
        </is>
      </c>
      <c r="D117" s="11" t="inlineStr">
        <is>
          <t>RPS CAPITAL ADMINISTRADORA DE RECURSOS LTDA</t>
        </is>
      </c>
      <c r="E117" s="11" t="inlineStr">
        <is>
          <t>btg</t>
        </is>
      </c>
      <c r="F117" s="19" t="n">
        <v>3715842.82</v>
      </c>
      <c r="G117" s="19" t="n">
        <v>1174722.16</v>
      </c>
      <c r="H117" s="20" t="n">
        <v>2541120.66</v>
      </c>
      <c r="I117" s="19" t="n">
        <v>14020156.94</v>
      </c>
      <c r="J117" s="19" t="n">
        <v>16812331.54</v>
      </c>
      <c r="K117" s="21" t="n">
        <v>18.12</v>
      </c>
      <c r="L117" s="21" t="n">
        <v>1.99</v>
      </c>
      <c r="M117" s="22" t="n">
        <v>59</v>
      </c>
      <c r="N117" s="11" t="inlineStr">
        <is>
          <t>virou entrada</t>
        </is>
      </c>
      <c r="O117" s="11" t="inlineStr"/>
    </row>
    <row r="118">
      <c r="A118" s="11" t="inlineStr">
        <is>
          <t>Guepardo Icatu Qualificado 100 Prev FIE Tipo 1 FICFIM RL</t>
        </is>
      </c>
      <c r="B118" s="11" t="inlineStr">
        <is>
          <t>45.605.046/0001-72</t>
        </is>
      </c>
      <c r="C118" s="11" t="inlineStr">
        <is>
          <t>Multimercados</t>
        </is>
      </c>
      <c r="D118" s="11" t="inlineStr">
        <is>
          <t>GUEPARDO INVESTIMENTOS LTDA</t>
        </is>
      </c>
      <c r="E118" s="11" t="inlineStr">
        <is>
          <t>btg</t>
        </is>
      </c>
      <c r="F118" s="19" t="n">
        <v>3823516.36</v>
      </c>
      <c r="G118" s="19" t="n">
        <v>1317007.4</v>
      </c>
      <c r="H118" s="20" t="n">
        <v>2506508.96</v>
      </c>
      <c r="I118" s="19" t="n">
        <v>52078350.07</v>
      </c>
      <c r="J118" s="19" t="n">
        <v>65892121.22</v>
      </c>
      <c r="K118" s="21" t="n">
        <v>4.81</v>
      </c>
      <c r="L118" s="21" t="n">
        <v>21.34</v>
      </c>
      <c r="M118" s="22" t="n">
        <v>59</v>
      </c>
      <c r="N118" s="11" t="inlineStr">
        <is>
          <t>acelerando</t>
        </is>
      </c>
      <c r="O118" s="11" t="inlineStr"/>
    </row>
    <row r="119">
      <c r="A119" s="11" t="inlineStr">
        <is>
          <t>Sparta Inflação Prev Advisory XP Seg FIC FIRF CP</t>
        </is>
      </c>
      <c r="B119" s="11" t="inlineStr">
        <is>
          <t>44.843.813/0001-19</t>
        </is>
      </c>
      <c r="C119" s="11" t="inlineStr">
        <is>
          <t>Renda Fixa</t>
        </is>
      </c>
      <c r="D119" s="11" t="inlineStr">
        <is>
          <t>XP VIDA E PREVIDÊNCIA S.A.</t>
        </is>
      </c>
      <c r="E119" s="11" t="inlineStr">
        <is>
          <t>xp</t>
        </is>
      </c>
      <c r="F119" s="19" t="n">
        <v>8133684.19</v>
      </c>
      <c r="G119" s="19" t="n">
        <v>5671950.8</v>
      </c>
      <c r="H119" s="20" t="n">
        <v>2461733.39</v>
      </c>
      <c r="I119" s="19" t="n">
        <v>135449373.31</v>
      </c>
      <c r="J119" s="19" t="n">
        <v>143156945.16</v>
      </c>
      <c r="K119" s="21" t="n">
        <v>1.82</v>
      </c>
      <c r="L119" s="21" t="n">
        <v>3.86</v>
      </c>
      <c r="M119" s="22" t="n">
        <v>59</v>
      </c>
      <c r="N119" s="11" t="inlineStr">
        <is>
          <t>acelerando</t>
        </is>
      </c>
      <c r="O119" s="11" t="inlineStr"/>
    </row>
    <row r="120">
      <c r="A120" s="11" t="inlineStr">
        <is>
          <t>Itau Optimus Prev BTG Dist. FICFIRF LP RL</t>
        </is>
      </c>
      <c r="B120" s="11" t="inlineStr">
        <is>
          <t>30.419.083/0001-19</t>
        </is>
      </c>
      <c r="C120" s="11" t="inlineStr">
        <is>
          <t>Renda Fixa</t>
        </is>
      </c>
      <c r="D120" s="11" t="inlineStr">
        <is>
          <t>ITAU UNIBANCO ASSET MANAGEMENT LTDA.</t>
        </is>
      </c>
      <c r="E120" s="11" t="inlineStr">
        <is>
          <t>btg</t>
        </is>
      </c>
      <c r="F120" s="19" t="n">
        <v>6432894.94</v>
      </c>
      <c r="G120" s="19" t="n">
        <v>3977286.43</v>
      </c>
      <c r="H120" s="20" t="n">
        <v>2455608.51</v>
      </c>
      <c r="I120" s="19" t="n">
        <v>78495212.75</v>
      </c>
      <c r="J120" s="19" t="n">
        <v>83156268.41</v>
      </c>
      <c r="K120" s="21" t="n">
        <v>3.13</v>
      </c>
      <c r="L120" s="21" t="n">
        <v>2.78</v>
      </c>
      <c r="M120" s="22" t="n">
        <v>59</v>
      </c>
      <c r="N120" s="11" t="inlineStr">
        <is>
          <t>acelerando</t>
        </is>
      </c>
      <c r="O120" s="11" t="inlineStr"/>
    </row>
    <row r="121">
      <c r="A121" s="11" t="inlineStr">
        <is>
          <t>BTG Pactual Ibovespa 100 Index Prev FIM RL</t>
        </is>
      </c>
      <c r="B121" s="11" t="inlineStr">
        <is>
          <t>55.138.930/0001-06</t>
        </is>
      </c>
      <c r="C121" s="11" t="inlineStr">
        <is>
          <t>Multimercados</t>
        </is>
      </c>
      <c r="D121" s="11" t="inlineStr">
        <is>
          <t>BTG PACTUAL ASSET MANAGEMENT S/A DTVM</t>
        </is>
      </c>
      <c r="E121" s="11" t="inlineStr">
        <is>
          <t>btg</t>
        </is>
      </c>
      <c r="F121" s="19" t="n">
        <v>5319198.94</v>
      </c>
      <c r="G121" s="19" t="n">
        <v>3041256.11</v>
      </c>
      <c r="H121" s="20" t="n">
        <v>2277942.83</v>
      </c>
      <c r="I121" s="19" t="n">
        <v>26023613.43</v>
      </c>
      <c r="J121" s="19" t="n">
        <v>30531007.41</v>
      </c>
      <c r="K121" s="21" t="n">
        <v>8.75</v>
      </c>
      <c r="L121" s="21" t="n">
        <v>9.130000000000001</v>
      </c>
      <c r="M121" s="22" t="n">
        <v>59</v>
      </c>
      <c r="N121" s="11" t="inlineStr">
        <is>
          <t>acelerando</t>
        </is>
      </c>
      <c r="O121" s="11" t="inlineStr"/>
    </row>
    <row r="122">
      <c r="A122" s="11" t="inlineStr">
        <is>
          <t>Arca Grao Prev FICFIM Access RL</t>
        </is>
      </c>
      <c r="B122" s="11" t="inlineStr">
        <is>
          <t>42.848.021/0001-01</t>
        </is>
      </c>
      <c r="C122" s="11" t="inlineStr">
        <is>
          <t>Multimercados</t>
        </is>
      </c>
      <c r="D122" s="11" t="inlineStr">
        <is>
          <t>GRÃO GESTÃO DE RECURSOS LTDA.</t>
        </is>
      </c>
      <c r="E122" s="11" t="inlineStr">
        <is>
          <t>btg</t>
        </is>
      </c>
      <c r="F122" s="19" t="n">
        <v>17246239.93</v>
      </c>
      <c r="G122" s="19" t="n">
        <v>15073300.21</v>
      </c>
      <c r="H122" s="20" t="n">
        <v>2172939.72</v>
      </c>
      <c r="I122" s="19" t="n">
        <v>281591037.72</v>
      </c>
      <c r="J122" s="19" t="n">
        <v>294797793.2</v>
      </c>
      <c r="K122" s="21" t="n">
        <v>0.77</v>
      </c>
      <c r="L122" s="21" t="n">
        <v>3.82</v>
      </c>
      <c r="M122" s="22" t="n">
        <v>59</v>
      </c>
      <c r="N122" s="11" t="inlineStr">
        <is>
          <t>virou entrada</t>
        </is>
      </c>
      <c r="O122" s="11" t="inlineStr"/>
    </row>
    <row r="123">
      <c r="A123" s="11" t="inlineStr">
        <is>
          <t>Genoa Capital Sagres XP Seg Prev FIF CIC Multi RL</t>
        </is>
      </c>
      <c r="B123" s="11" t="inlineStr">
        <is>
          <t>64.195.667/0001-70</t>
        </is>
      </c>
      <c r="C123" s="11" t="inlineStr">
        <is>
          <t>Multimercados</t>
        </is>
      </c>
      <c r="D123" s="11" t="inlineStr">
        <is>
          <t>GENOA CAPITAL GESTORA DE RECURSOS LTDA</t>
        </is>
      </c>
      <c r="E123" s="11" t="inlineStr">
        <is>
          <t>xp</t>
        </is>
      </c>
      <c r="F123" s="19" t="n">
        <v>2425708.91</v>
      </c>
      <c r="G123" s="19" t="n">
        <v>255195.38</v>
      </c>
      <c r="H123" s="20" t="n">
        <v>2170513.53</v>
      </c>
      <c r="I123" s="19" t="n">
        <v>3030889.1</v>
      </c>
      <c r="J123" s="19" t="n">
        <v>5171247</v>
      </c>
      <c r="K123" s="21" t="n">
        <v>71.61</v>
      </c>
      <c r="L123" s="21" t="n">
        <v>3.85</v>
      </c>
      <c r="M123" s="22" t="n">
        <v>59</v>
      </c>
      <c r="N123" s="11" t="inlineStr">
        <is>
          <t>desacelerando</t>
        </is>
      </c>
      <c r="O123" s="11" t="inlineStr"/>
    </row>
    <row r="124">
      <c r="A124" s="11" t="inlineStr">
        <is>
          <t>Trend Ibovespa 100 XP Seg Prev FIC FIA RL</t>
        </is>
      </c>
      <c r="B124" s="11" t="inlineStr">
        <is>
          <t>33.795.343/0001-49</t>
        </is>
      </c>
      <c r="C124" s="11" t="inlineStr">
        <is>
          <t>Ações</t>
        </is>
      </c>
      <c r="D124" s="11" t="inlineStr">
        <is>
          <t>XP ALLOCATION ASSET MANAGEMENT LTDA</t>
        </is>
      </c>
      <c r="E124" s="11" t="inlineStr">
        <is>
          <t>xp</t>
        </is>
      </c>
      <c r="F124" s="19" t="n">
        <v>10036371.12</v>
      </c>
      <c r="G124" s="19" t="n">
        <v>8013329.7</v>
      </c>
      <c r="H124" s="20" t="n">
        <v>2023041.42</v>
      </c>
      <c r="I124" s="19" t="n">
        <v>72344792.29000001</v>
      </c>
      <c r="J124" s="19" t="n">
        <v>81224269.8</v>
      </c>
      <c r="K124" s="21" t="n">
        <v>2.8</v>
      </c>
      <c r="L124" s="21" t="n">
        <v>9.25</v>
      </c>
      <c r="M124" s="22" t="n">
        <v>59</v>
      </c>
      <c r="N124" s="11" t="inlineStr">
        <is>
          <t>acelerando</t>
        </is>
      </c>
      <c r="O124" s="11" t="inlineStr"/>
    </row>
    <row r="125">
      <c r="A125" s="11" t="inlineStr">
        <is>
          <t>Real Investor 70 Xp Seg Advisory Prev Fif Multimercado Rl</t>
        </is>
      </c>
      <c r="B125" s="11" t="inlineStr">
        <is>
          <t>53.826.252/0001-30</t>
        </is>
      </c>
      <c r="C125" s="11" t="inlineStr">
        <is>
          <t>Multimercados</t>
        </is>
      </c>
      <c r="D125" s="11" t="inlineStr">
        <is>
          <t>REAL INVESTOR ASSET MANAGEMENT LTDA</t>
        </is>
      </c>
      <c r="E125" s="11" t="inlineStr">
        <is>
          <t>xp</t>
        </is>
      </c>
      <c r="F125" s="19" t="n">
        <v>3156787.52</v>
      </c>
      <c r="G125" s="19" t="n">
        <v>1188711.19</v>
      </c>
      <c r="H125" s="20" t="n">
        <v>1968076.33</v>
      </c>
      <c r="I125" s="19" t="n">
        <v>18706064.15</v>
      </c>
      <c r="J125" s="19" t="n">
        <v>21546432.53</v>
      </c>
      <c r="K125" s="21" t="n">
        <v>10.52</v>
      </c>
      <c r="L125" s="21" t="n">
        <v>4.58</v>
      </c>
      <c r="M125" s="22" t="n">
        <v>59</v>
      </c>
      <c r="N125" s="11" t="inlineStr">
        <is>
          <t>virou saída</t>
        </is>
      </c>
      <c r="O125" s="11" t="inlineStr"/>
    </row>
    <row r="126">
      <c r="A126" s="11" t="inlineStr">
        <is>
          <t>Icatu Vanguarda Igaraté Xp Seg Fic Multimercado Cp Prev Rl</t>
        </is>
      </c>
      <c r="B126" s="11" t="inlineStr">
        <is>
          <t>49.228.291/0001-69</t>
        </is>
      </c>
      <c r="C126" s="11" t="inlineStr">
        <is>
          <t>Multimercados</t>
        </is>
      </c>
      <c r="D126" s="11" t="inlineStr">
        <is>
          <t>ICATU VANGUARDA GESTÃO DE RECURSOS LTDA</t>
        </is>
      </c>
      <c r="E126" s="11" t="inlineStr">
        <is>
          <t>xp</t>
        </is>
      </c>
      <c r="F126" s="19" t="n">
        <v>3464930.38</v>
      </c>
      <c r="G126" s="19" t="n">
        <v>1576168.32</v>
      </c>
      <c r="H126" s="20" t="n">
        <v>1888762.06</v>
      </c>
      <c r="I126" s="19" t="n">
        <v>39808093.58</v>
      </c>
      <c r="J126" s="19" t="n">
        <v>43094918.14</v>
      </c>
      <c r="K126" s="21" t="n">
        <v>4.74</v>
      </c>
      <c r="L126" s="21" t="n">
        <v>3.37</v>
      </c>
      <c r="M126" s="22" t="n">
        <v>59</v>
      </c>
      <c r="N126" s="11" t="inlineStr">
        <is>
          <t>virou saída</t>
        </is>
      </c>
      <c r="O126" s="11" t="inlineStr"/>
    </row>
    <row r="127">
      <c r="A127" s="11" t="inlineStr">
        <is>
          <t>A1 High Grade FIE I Prev BP FIC FIRF</t>
        </is>
      </c>
      <c r="B127" s="11" t="inlineStr">
        <is>
          <t>67.124.600/0001-32</t>
        </is>
      </c>
      <c r="C127" s="11" t="inlineStr">
        <is>
          <t>Renda Fixa</t>
        </is>
      </c>
      <c r="D127" s="11" t="inlineStr">
        <is>
          <t>ASSET1 INVESTIMENTOS S/A</t>
        </is>
      </c>
      <c r="E127" s="11" t="inlineStr">
        <is>
          <t>btg</t>
        </is>
      </c>
      <c r="F127" s="19" t="n">
        <v>1872225.71</v>
      </c>
      <c r="G127" s="19" t="n">
        <v>0</v>
      </c>
      <c r="H127" s="20" t="n">
        <v>1872225.71</v>
      </c>
      <c r="I127" s="19" t="n">
        <v>1281743.63</v>
      </c>
      <c r="J127" s="19" t="n">
        <v>1886164.56</v>
      </c>
      <c r="K127" s="21" t="n">
        <v>146.07</v>
      </c>
      <c r="L127" s="21" t="n">
        <v>0.8</v>
      </c>
      <c r="M127" s="22" t="n">
        <v>17</v>
      </c>
      <c r="N127" s="11" t="inlineStr">
        <is>
          <t>desacelerando</t>
        </is>
      </c>
      <c r="O127" s="11" t="inlineStr"/>
    </row>
    <row r="128">
      <c r="A128" s="11" t="inlineStr">
        <is>
          <t>Porto Prev FICFIRF FIE1 CrPr RL</t>
        </is>
      </c>
      <c r="B128" s="11" t="inlineStr">
        <is>
          <t>61.475.212/0001-10</t>
        </is>
      </c>
      <c r="C128" s="11" t="inlineStr">
        <is>
          <t>Renda Fixa</t>
        </is>
      </c>
      <c r="D128" s="11" t="inlineStr">
        <is>
          <t>PORTO SEGURO INVESTIMENTOS LTDA</t>
        </is>
      </c>
      <c r="E128" s="11" t="inlineStr">
        <is>
          <t>btg</t>
        </is>
      </c>
      <c r="F128" s="19" t="n">
        <v>1986015.84</v>
      </c>
      <c r="G128" s="19" t="n">
        <v>120302.06</v>
      </c>
      <c r="H128" s="20" t="n">
        <v>1865713.78</v>
      </c>
      <c r="I128" s="19" t="n">
        <v>8351731.8</v>
      </c>
      <c r="J128" s="19" t="n">
        <v>10491250.33</v>
      </c>
      <c r="K128" s="21" t="n">
        <v>22.34</v>
      </c>
      <c r="L128" s="21" t="n">
        <v>3.12</v>
      </c>
      <c r="M128" s="22" t="n">
        <v>59</v>
      </c>
      <c r="N128" s="11" t="inlineStr">
        <is>
          <t>acelerando</t>
        </is>
      </c>
      <c r="O128" s="11" t="inlineStr"/>
    </row>
    <row r="129">
      <c r="A129" s="11" t="inlineStr">
        <is>
          <t>Icatu Vanguarda Minha Aposentadoria 2040 FIM Prev RL</t>
        </is>
      </c>
      <c r="B129" s="11" t="inlineStr">
        <is>
          <t>07.190.735/0001-74</t>
        </is>
      </c>
      <c r="C129" s="11" t="inlineStr">
        <is>
          <t>Balanceados</t>
        </is>
      </c>
      <c r="D129" s="11" t="inlineStr">
        <is>
          <t>ICATU VANGUARDA GESTÃO DE RECURSOS LTDA</t>
        </is>
      </c>
      <c r="E129" s="11" t="inlineStr">
        <is>
          <t>btg</t>
        </is>
      </c>
      <c r="F129" s="19" t="n">
        <v>11884691.62</v>
      </c>
      <c r="G129" s="19" t="n">
        <v>10107346.09</v>
      </c>
      <c r="H129" s="20" t="n">
        <v>1777345.53</v>
      </c>
      <c r="I129" s="19" t="n">
        <v>396936671.81</v>
      </c>
      <c r="J129" s="19" t="n">
        <v>415115423.6</v>
      </c>
      <c r="K129" s="21" t="n">
        <v>0.45</v>
      </c>
      <c r="L129" s="21" t="n">
        <v>4.21</v>
      </c>
      <c r="M129" s="22" t="n">
        <v>59</v>
      </c>
      <c r="N129" s="11" t="inlineStr">
        <is>
          <t>acelerando</t>
        </is>
      </c>
      <c r="O129" s="11" t="inlineStr"/>
    </row>
    <row r="130">
      <c r="A130" s="11" t="inlineStr">
        <is>
          <t>Icatu Verde Master Prev 60 Qualificado FICFIM RL</t>
        </is>
      </c>
      <c r="B130" s="11" t="inlineStr">
        <is>
          <t>59.134.727/0001-04</t>
        </is>
      </c>
      <c r="C130" s="11" t="inlineStr">
        <is>
          <t>Multimercados</t>
        </is>
      </c>
      <c r="D130" s="11" t="inlineStr">
        <is>
          <t>VERDE ASSET MANAGEMENT S.A.</t>
        </is>
      </c>
      <c r="E130" s="11" t="inlineStr">
        <is>
          <t>btg</t>
        </is>
      </c>
      <c r="F130" s="19" t="n">
        <v>3497167.52</v>
      </c>
      <c r="G130" s="19" t="n">
        <v>1741973</v>
      </c>
      <c r="H130" s="20" t="n">
        <v>1755194.52</v>
      </c>
      <c r="I130" s="19" t="n">
        <v>16831623.98</v>
      </c>
      <c r="J130" s="19" t="n">
        <v>19221005.78</v>
      </c>
      <c r="K130" s="21" t="n">
        <v>10.43</v>
      </c>
      <c r="L130" s="21" t="n">
        <v>3.59</v>
      </c>
      <c r="M130" s="22" t="n">
        <v>59</v>
      </c>
      <c r="N130" s="11" t="inlineStr">
        <is>
          <t>desacelerando</t>
        </is>
      </c>
      <c r="O130" s="11" t="inlineStr"/>
    </row>
    <row r="131">
      <c r="A131" s="11" t="inlineStr">
        <is>
          <t>Sparta Prev Inflacao B FICFIRF CrPr RL</t>
        </is>
      </c>
      <c r="B131" s="11" t="inlineStr">
        <is>
          <t>42.870.517/0001-81</t>
        </is>
      </c>
      <c r="C131" s="11" t="inlineStr">
        <is>
          <t>Renda Fixa</t>
        </is>
      </c>
      <c r="D131" s="11" t="inlineStr">
        <is>
          <t>SPARTA ADMINISTRADORA DE RECURSOS LTDA</t>
        </is>
      </c>
      <c r="E131" s="11" t="inlineStr">
        <is>
          <t>btg</t>
        </is>
      </c>
      <c r="F131" s="19" t="n">
        <v>5521506.53</v>
      </c>
      <c r="G131" s="19" t="n">
        <v>3991848.27</v>
      </c>
      <c r="H131" s="20" t="n">
        <v>1529658.26</v>
      </c>
      <c r="I131" s="19" t="n">
        <v>55603763.54</v>
      </c>
      <c r="J131" s="19" t="n">
        <v>58487226.02</v>
      </c>
      <c r="K131" s="21" t="n">
        <v>2.75</v>
      </c>
      <c r="L131" s="21" t="n">
        <v>4</v>
      </c>
      <c r="M131" s="22" t="n">
        <v>59</v>
      </c>
      <c r="N131" s="11" t="inlineStr">
        <is>
          <t>acelerando</t>
        </is>
      </c>
      <c r="O131" s="11" t="inlineStr"/>
    </row>
    <row r="132">
      <c r="A132" s="11" t="inlineStr">
        <is>
          <t>Absolute Atenas Xp Seg Prev Fie I Fic Firf Cp Rl</t>
        </is>
      </c>
      <c r="B132" s="11" t="inlineStr">
        <is>
          <t>62.213.987/0001-80</t>
        </is>
      </c>
      <c r="C132" s="11" t="inlineStr">
        <is>
          <t>Renda Fixa</t>
        </is>
      </c>
      <c r="D132" s="11" t="inlineStr">
        <is>
          <t>ABSOLUTE CRÉDITO GESTÃO DE INVESTIMENTOS LTDA.</t>
        </is>
      </c>
      <c r="E132" s="11" t="inlineStr">
        <is>
          <t>xp</t>
        </is>
      </c>
      <c r="F132" s="19" t="n">
        <v>11160506.45</v>
      </c>
      <c r="G132" s="19" t="n">
        <v>9649623.789999999</v>
      </c>
      <c r="H132" s="20" t="n">
        <v>1510882.66</v>
      </c>
      <c r="I132" s="19" t="n">
        <v>125324015.98</v>
      </c>
      <c r="J132" s="19" t="n">
        <v>130728809.44</v>
      </c>
      <c r="K132" s="21" t="n">
        <v>1.21</v>
      </c>
      <c r="L132" s="21" t="n">
        <v>3.05</v>
      </c>
      <c r="M132" s="22" t="n">
        <v>59</v>
      </c>
      <c r="N132" s="11" t="inlineStr">
        <is>
          <t>virou saída</t>
        </is>
      </c>
      <c r="O132" s="11" t="inlineStr"/>
    </row>
    <row r="133">
      <c r="A133" s="11" t="inlineStr">
        <is>
          <t>Adam Xp Seg Prev I Fic Fim Rl</t>
        </is>
      </c>
      <c r="B133" s="11" t="inlineStr">
        <is>
          <t>30.998.045/0001-68</t>
        </is>
      </c>
      <c r="C133" s="11" t="inlineStr">
        <is>
          <t>Multimercados</t>
        </is>
      </c>
      <c r="D133" s="11" t="inlineStr">
        <is>
          <t>XP VIDA E PREVIDÊNCIA S.A.</t>
        </is>
      </c>
      <c r="E133" s="11" t="inlineStr">
        <is>
          <t>xp</t>
        </is>
      </c>
      <c r="F133" s="19" t="n">
        <v>9544776.960000001</v>
      </c>
      <c r="G133" s="19" t="n">
        <v>8076299.3</v>
      </c>
      <c r="H133" s="20" t="n">
        <v>1468477.66</v>
      </c>
      <c r="I133" s="19" t="n">
        <v>136339713.37</v>
      </c>
      <c r="J133" s="19" t="n">
        <v>137157800.55</v>
      </c>
      <c r="K133" s="21" t="n">
        <v>1.08</v>
      </c>
      <c r="L133" s="21" t="n">
        <v>-0.44</v>
      </c>
      <c r="M133" s="22" t="n">
        <v>59</v>
      </c>
      <c r="N133" s="11" t="inlineStr">
        <is>
          <t>acelerando</t>
        </is>
      </c>
      <c r="O133" s="11" t="inlineStr"/>
    </row>
    <row r="134">
      <c r="A134" s="11" t="inlineStr">
        <is>
          <t>IP Prev XP Seg IQ FIC FIM</t>
        </is>
      </c>
      <c r="B134" s="11" t="inlineStr">
        <is>
          <t>35.955.960/0001-90</t>
        </is>
      </c>
      <c r="C134" s="11" t="inlineStr">
        <is>
          <t>Multimercados</t>
        </is>
      </c>
      <c r="D134" s="11" t="inlineStr">
        <is>
          <t>INVESTIDOR PROFISSIONAL GESTÃO DE RECURSOS LTDA</t>
        </is>
      </c>
      <c r="E134" s="11" t="inlineStr">
        <is>
          <t>xp</t>
        </is>
      </c>
      <c r="F134" s="19" t="n">
        <v>6180073.17</v>
      </c>
      <c r="G134" s="19" t="n">
        <v>4898843.88</v>
      </c>
      <c r="H134" s="20" t="n">
        <v>1281229.29</v>
      </c>
      <c r="I134" s="19" t="n">
        <v>77863743.84999999</v>
      </c>
      <c r="J134" s="19" t="n">
        <v>84005431.53</v>
      </c>
      <c r="K134" s="21" t="n">
        <v>1.65</v>
      </c>
      <c r="L134" s="21" t="n">
        <v>6.51</v>
      </c>
      <c r="M134" s="22" t="n">
        <v>59</v>
      </c>
      <c r="N134" s="11" t="inlineStr">
        <is>
          <t>estável</t>
        </is>
      </c>
      <c r="O134" s="11" t="inlineStr"/>
    </row>
    <row r="135">
      <c r="A135" s="11" t="inlineStr">
        <is>
          <t>V8 Speedway Vega LS XP Seg Prev FIC Multi RL</t>
        </is>
      </c>
      <c r="B135" s="11" t="inlineStr">
        <is>
          <t>53.991.515/0001-67</t>
        </is>
      </c>
      <c r="C135" s="11" t="inlineStr">
        <is>
          <t>Multimercados</t>
        </is>
      </c>
      <c r="D135" s="11" t="inlineStr">
        <is>
          <t>V8 CAPITAL GESTÃO DE INVESTIMENTOS LTDA.</t>
        </is>
      </c>
      <c r="E135" s="11" t="inlineStr">
        <is>
          <t>xp</t>
        </is>
      </c>
      <c r="F135" s="19" t="n">
        <v>1322539.12</v>
      </c>
      <c r="G135" s="19" t="n">
        <v>89406.39</v>
      </c>
      <c r="H135" s="20" t="n">
        <v>1233132.73</v>
      </c>
      <c r="I135" s="19" t="n">
        <v>5041469.29</v>
      </c>
      <c r="J135" s="19" t="n">
        <v>6222442.31</v>
      </c>
      <c r="K135" s="21" t="n">
        <v>24.46</v>
      </c>
      <c r="L135" s="21" t="n">
        <v>-0.3</v>
      </c>
      <c r="M135" s="22" t="n">
        <v>59</v>
      </c>
      <c r="N135" s="11" t="inlineStr">
        <is>
          <t>desacelerando</t>
        </is>
      </c>
      <c r="O135" s="11" t="inlineStr"/>
    </row>
    <row r="136">
      <c r="A136" s="11" t="inlineStr">
        <is>
          <t>Riza Lotus Prev Xp Seg Fic Fim Cp</t>
        </is>
      </c>
      <c r="B136" s="11" t="inlineStr">
        <is>
          <t>43.423.186/0001-02</t>
        </is>
      </c>
      <c r="C136" s="11" t="inlineStr">
        <is>
          <t>Multimercados</t>
        </is>
      </c>
      <c r="D136" s="11" t="inlineStr">
        <is>
          <t>XP VIDA E PREVIDÊNCIA S.A.</t>
        </is>
      </c>
      <c r="E136" s="11" t="inlineStr">
        <is>
          <t>xp</t>
        </is>
      </c>
      <c r="F136" s="19" t="n">
        <v>98136711.09</v>
      </c>
      <c r="G136" s="19" t="n">
        <v>96984068.45999999</v>
      </c>
      <c r="H136" s="20" t="n">
        <v>1152642.63</v>
      </c>
      <c r="I136" s="19" t="n">
        <v>1864165970.69</v>
      </c>
      <c r="J136" s="19" t="n">
        <v>1932968401.29</v>
      </c>
      <c r="K136" s="21" t="n">
        <v>0.06</v>
      </c>
      <c r="L136" s="21" t="n">
        <v>3.36</v>
      </c>
      <c r="M136" s="22" t="n">
        <v>59</v>
      </c>
      <c r="N136" s="11" t="inlineStr">
        <is>
          <t>virou entrada</t>
        </is>
      </c>
      <c r="O136" s="11" t="inlineStr"/>
    </row>
    <row r="137">
      <c r="A137" s="11" t="inlineStr">
        <is>
          <t>Moat Prev XP Seg FICFIA</t>
        </is>
      </c>
      <c r="B137" s="11" t="inlineStr">
        <is>
          <t>37.037.432/0001-87</t>
        </is>
      </c>
      <c r="C137" s="11" t="inlineStr">
        <is>
          <t>Ações</t>
        </is>
      </c>
      <c r="D137" s="11" t="inlineStr">
        <is>
          <t>MOAT CAPITAL GESTÃO DE RECURSOS LTDA</t>
        </is>
      </c>
      <c r="E137" s="11" t="inlineStr">
        <is>
          <t>xp</t>
        </is>
      </c>
      <c r="F137" s="19" t="n">
        <v>2017383.82</v>
      </c>
      <c r="G137" s="19" t="n">
        <v>893333.5</v>
      </c>
      <c r="H137" s="20" t="n">
        <v>1124050.32</v>
      </c>
      <c r="I137" s="19" t="n">
        <v>5529478.76</v>
      </c>
      <c r="J137" s="19" t="n">
        <v>6457647.73</v>
      </c>
      <c r="K137" s="21" t="n">
        <v>20.33</v>
      </c>
      <c r="L137" s="21" t="n">
        <v>-2.29</v>
      </c>
      <c r="M137" s="22" t="n">
        <v>59</v>
      </c>
      <c r="N137" s="11" t="inlineStr">
        <is>
          <t>virou saída</t>
        </is>
      </c>
      <c r="O137" s="11" t="inlineStr"/>
    </row>
    <row r="138">
      <c r="A138" s="11" t="inlineStr">
        <is>
          <t>Investo Renda Fixa SELIC Global BRL XP Seg Prev FIRF RL</t>
        </is>
      </c>
      <c r="B138" s="11" t="inlineStr">
        <is>
          <t>68.007.229/0001-91</t>
        </is>
      </c>
      <c r="C138" s="11" t="inlineStr">
        <is>
          <t>Renda Fixa</t>
        </is>
      </c>
      <c r="D138" s="11" t="inlineStr">
        <is>
          <t>INVESTO GESTÃO DE RECURSOS LTDA.</t>
        </is>
      </c>
      <c r="E138" s="11" t="inlineStr">
        <is>
          <t>xp</t>
        </is>
      </c>
      <c r="F138" s="19" t="n">
        <v>1084861.84</v>
      </c>
      <c r="G138" s="19" t="n">
        <v>0</v>
      </c>
      <c r="H138" s="20" t="n">
        <v>1084861.84</v>
      </c>
      <c r="I138" s="19" t="n">
        <v>1084861.84</v>
      </c>
      <c r="J138" s="19" t="n">
        <v>1086191.02</v>
      </c>
      <c r="K138" s="21" t="n">
        <v>100</v>
      </c>
      <c r="L138" s="21" t="n">
        <v>0.12</v>
      </c>
      <c r="M138" s="22" t="n">
        <v>8</v>
      </c>
      <c r="N138" s="11" t="inlineStr">
        <is>
          <t>sem série</t>
        </is>
      </c>
      <c r="O138" s="11" t="inlineStr"/>
    </row>
    <row r="139">
      <c r="A139" s="11" t="inlineStr">
        <is>
          <t>Alphakey Prev 70 FIC FIF MM</t>
        </is>
      </c>
      <c r="B139" s="11" t="inlineStr">
        <is>
          <t>65.655.653/0001-54</t>
        </is>
      </c>
      <c r="C139" s="11" t="inlineStr">
        <is>
          <t>Multimercados</t>
        </is>
      </c>
      <c r="D139" s="11" t="inlineStr">
        <is>
          <t>ALPHAKEY CAPITAL MANAGEMENT INVESTIMENTOS LTDA</t>
        </is>
      </c>
      <c r="E139" s="11" t="inlineStr">
        <is>
          <t>btg</t>
        </is>
      </c>
      <c r="F139" s="19" t="n">
        <v>1095803.82</v>
      </c>
      <c r="G139" s="19" t="n">
        <v>29851.16</v>
      </c>
      <c r="H139" s="20" t="n">
        <v>1065952.66</v>
      </c>
      <c r="I139" s="19" t="n">
        <v>1839275.09</v>
      </c>
      <c r="J139" s="19" t="n">
        <v>2961940.27</v>
      </c>
      <c r="K139" s="21" t="n">
        <v>57.96</v>
      </c>
      <c r="L139" s="21" t="n">
        <v>2.49</v>
      </c>
      <c r="M139" s="22" t="n">
        <v>59</v>
      </c>
      <c r="N139" s="11" t="inlineStr">
        <is>
          <t>acelerando</t>
        </is>
      </c>
      <c r="O139" s="11" t="inlineStr"/>
    </row>
    <row r="140">
      <c r="A140" s="11" t="inlineStr">
        <is>
          <t>Guepardo 70 Xp Seg Prev Ficfim</t>
        </is>
      </c>
      <c r="B140" s="11" t="inlineStr">
        <is>
          <t>44.409.327/0001-97</t>
        </is>
      </c>
      <c r="C140" s="11" t="inlineStr">
        <is>
          <t>Multimercados</t>
        </is>
      </c>
      <c r="D140" s="11" t="inlineStr">
        <is>
          <t>XP VIDA E PREVIDÊNCIA S.A.</t>
        </is>
      </c>
      <c r="E140" s="11" t="inlineStr">
        <is>
          <t>xp</t>
        </is>
      </c>
      <c r="F140" s="19" t="n">
        <v>3602113.97</v>
      </c>
      <c r="G140" s="19" t="n">
        <v>2549224.32</v>
      </c>
      <c r="H140" s="20" t="n">
        <v>1052889.65</v>
      </c>
      <c r="I140" s="19" t="n">
        <v>55983360.74</v>
      </c>
      <c r="J140" s="19" t="n">
        <v>65487000.09</v>
      </c>
      <c r="K140" s="21" t="n">
        <v>1.88</v>
      </c>
      <c r="L140" s="21" t="n">
        <v>15.15</v>
      </c>
      <c r="M140" s="22" t="n">
        <v>59</v>
      </c>
      <c r="N140" s="11" t="inlineStr">
        <is>
          <t>acelerando</t>
        </is>
      </c>
      <c r="O140" s="11" t="inlineStr"/>
    </row>
    <row r="141">
      <c r="A141" s="11" t="inlineStr">
        <is>
          <t>ARX Income Icatu Prev 100 FICFIA RL</t>
        </is>
      </c>
      <c r="B141" s="11" t="inlineStr">
        <is>
          <t>37.355.672/0001-20</t>
        </is>
      </c>
      <c r="C141" s="11" t="inlineStr">
        <is>
          <t>Ações</t>
        </is>
      </c>
      <c r="D141" s="11" t="inlineStr">
        <is>
          <t>ARX INVESTIMENTOS LTDA</t>
        </is>
      </c>
      <c r="E141" s="11" t="inlineStr">
        <is>
          <t>btg</t>
        </is>
      </c>
      <c r="F141" s="19" t="n">
        <v>1363271.36</v>
      </c>
      <c r="G141" s="19" t="n">
        <v>359089.81</v>
      </c>
      <c r="H141" s="20" t="n">
        <v>1004181.55</v>
      </c>
      <c r="I141" s="19" t="n">
        <v>17355595.41</v>
      </c>
      <c r="J141" s="19" t="n">
        <v>19919922.83</v>
      </c>
      <c r="K141" s="21" t="n">
        <v>5.79</v>
      </c>
      <c r="L141" s="21" t="n">
        <v>8.82</v>
      </c>
      <c r="M141" s="22" t="n">
        <v>59</v>
      </c>
      <c r="N141" s="11" t="inlineStr">
        <is>
          <t>desacelerando</t>
        </is>
      </c>
      <c r="O141" s="11" t="inlineStr"/>
    </row>
    <row r="142">
      <c r="A142" s="11" t="inlineStr">
        <is>
          <t>Santander Connect Prev Dividendos 70 FICFIM RL</t>
        </is>
      </c>
      <c r="B142" s="11" t="inlineStr">
        <is>
          <t>61.561.752/0001-16</t>
        </is>
      </c>
      <c r="C142" s="11" t="inlineStr">
        <is>
          <t>Multimercados</t>
        </is>
      </c>
      <c r="D142" s="11" t="inlineStr">
        <is>
          <t>SANTANDER BRASIL GESTÃO DE RECURSOS LTDA</t>
        </is>
      </c>
      <c r="E142" s="11" t="inlineStr">
        <is>
          <t>btg</t>
        </is>
      </c>
      <c r="F142" s="19" t="n">
        <v>1215529.26</v>
      </c>
      <c r="G142" s="19" t="n">
        <v>241033.94</v>
      </c>
      <c r="H142" s="20" t="n">
        <v>974495.3199999999</v>
      </c>
      <c r="I142" s="19" t="n">
        <v>5324327.08</v>
      </c>
      <c r="J142" s="19" t="n">
        <v>6601524.73</v>
      </c>
      <c r="K142" s="21" t="n">
        <v>18.3</v>
      </c>
      <c r="L142" s="21" t="n">
        <v>4.51</v>
      </c>
      <c r="M142" s="22" t="n">
        <v>59</v>
      </c>
      <c r="N142" s="11" t="inlineStr">
        <is>
          <t>desacelerando</t>
        </is>
      </c>
      <c r="O142" s="11" t="inlineStr"/>
    </row>
    <row r="143">
      <c r="A143" s="11" t="inlineStr">
        <is>
          <t>JGP Strategy XP Seg Prev Qualificado FIC FIM RL</t>
        </is>
      </c>
      <c r="B143" s="11" t="inlineStr">
        <is>
          <t>62.403.552/0001-06</t>
        </is>
      </c>
      <c r="C143" s="11" t="inlineStr">
        <is>
          <t>Multimercados</t>
        </is>
      </c>
      <c r="D143" s="11" t="inlineStr">
        <is>
          <t>JGP GESTÃO DE RECURSOS LTDA</t>
        </is>
      </c>
      <c r="E143" s="11" t="inlineStr">
        <is>
          <t>xp</t>
        </is>
      </c>
      <c r="F143" s="19" t="n">
        <v>1026615.39</v>
      </c>
      <c r="G143" s="19" t="n">
        <v>76656.57000000001</v>
      </c>
      <c r="H143" s="20" t="n">
        <v>949958.8199999999</v>
      </c>
      <c r="I143" s="19" t="n">
        <v>3149972.23</v>
      </c>
      <c r="J143" s="19" t="n">
        <v>4242406.3</v>
      </c>
      <c r="K143" s="21" t="n">
        <v>30.16</v>
      </c>
      <c r="L143" s="21" t="n">
        <v>3.51</v>
      </c>
      <c r="M143" s="22" t="n">
        <v>59</v>
      </c>
      <c r="N143" s="11" t="inlineStr">
        <is>
          <t>desacelerando</t>
        </is>
      </c>
      <c r="O143" s="11" t="inlineStr"/>
    </row>
    <row r="144">
      <c r="A144" s="11" t="inlineStr">
        <is>
          <t>Butia TOP Icatu SEG Prev FIRF CrPr RL</t>
        </is>
      </c>
      <c r="B144" s="11" t="inlineStr">
        <is>
          <t>30.507.510/0001-10</t>
        </is>
      </c>
      <c r="C144" s="11" t="inlineStr">
        <is>
          <t>Renda Fixa</t>
        </is>
      </c>
      <c r="D144" s="11" t="inlineStr">
        <is>
          <t>BUTIÁ GESTÃO DE INVESTIMENTOS LTDA.</t>
        </is>
      </c>
      <c r="E144" s="11" t="inlineStr">
        <is>
          <t>btg</t>
        </is>
      </c>
      <c r="F144" s="19" t="n">
        <v>2551522.12</v>
      </c>
      <c r="G144" s="19" t="n">
        <v>1663356.9</v>
      </c>
      <c r="H144" s="20" t="n">
        <v>888165.22</v>
      </c>
      <c r="I144" s="19" t="n">
        <v>177057612.19</v>
      </c>
      <c r="J144" s="19" t="n">
        <v>179381489.32</v>
      </c>
      <c r="K144" s="21" t="n">
        <v>0.5</v>
      </c>
      <c r="L144" s="21" t="n">
        <v>2.95</v>
      </c>
      <c r="M144" s="22" t="n">
        <v>59</v>
      </c>
      <c r="N144" s="11" t="inlineStr">
        <is>
          <t>acelerando</t>
        </is>
      </c>
      <c r="O144" s="11" t="inlineStr"/>
    </row>
    <row r="145">
      <c r="A145" s="11" t="inlineStr">
        <is>
          <t>IP Prev Icatu Qualificado FICFIM RL</t>
        </is>
      </c>
      <c r="B145" s="11" t="inlineStr">
        <is>
          <t>39.723.078/0001-70</t>
        </is>
      </c>
      <c r="C145" s="11" t="inlineStr">
        <is>
          <t>Multimercados</t>
        </is>
      </c>
      <c r="D145" s="11" t="inlineStr">
        <is>
          <t>INVESTIDOR PROFISSIONAL GESTÃO DE RECURSOS LTDA</t>
        </is>
      </c>
      <c r="E145" s="11" t="inlineStr">
        <is>
          <t>btg</t>
        </is>
      </c>
      <c r="F145" s="19" t="n">
        <v>1405760.42</v>
      </c>
      <c r="G145" s="19" t="n">
        <v>641096.71</v>
      </c>
      <c r="H145" s="20" t="n">
        <v>764663.71</v>
      </c>
      <c r="I145" s="19" t="n">
        <v>15986043.29</v>
      </c>
      <c r="J145" s="19" t="n">
        <v>17805740.26</v>
      </c>
      <c r="K145" s="21" t="n">
        <v>4.78</v>
      </c>
      <c r="L145" s="21" t="n">
        <v>6.47</v>
      </c>
      <c r="M145" s="22" t="n">
        <v>59</v>
      </c>
      <c r="N145" s="11" t="inlineStr">
        <is>
          <t>acelerando</t>
        </is>
      </c>
      <c r="O145" s="11" t="inlineStr"/>
    </row>
    <row r="146">
      <c r="A146" s="11" t="inlineStr">
        <is>
          <t>Absolute Hedge Prev FICFIM Access RL</t>
        </is>
      </c>
      <c r="B146" s="11" t="inlineStr">
        <is>
          <t>61.861.454/0001-41</t>
        </is>
      </c>
      <c r="C146" s="11" t="inlineStr">
        <is>
          <t>Multimercados</t>
        </is>
      </c>
      <c r="D146" s="11" t="inlineStr">
        <is>
          <t>BTG PACTUAL GESTÃO E CONSULTORIA DE INVESTIMENTOS LTDA</t>
        </is>
      </c>
      <c r="E146" s="11" t="inlineStr">
        <is>
          <t>btg</t>
        </is>
      </c>
      <c r="F146" s="19" t="n">
        <v>718883.65</v>
      </c>
      <c r="G146" s="19" t="n">
        <v>30771.66</v>
      </c>
      <c r="H146" s="20" t="n">
        <v>688111.99</v>
      </c>
      <c r="I146" s="19" t="n">
        <v>1174127.87</v>
      </c>
      <c r="J146" s="19" t="n">
        <v>1896928.31</v>
      </c>
      <c r="K146" s="21" t="n">
        <v>58.61</v>
      </c>
      <c r="L146" s="21" t="n">
        <v>2.07</v>
      </c>
      <c r="M146" s="22" t="n">
        <v>59</v>
      </c>
      <c r="N146" s="11" t="inlineStr">
        <is>
          <t>desacelerando</t>
        </is>
      </c>
      <c r="O146" s="11" t="inlineStr"/>
    </row>
    <row r="147">
      <c r="A147" s="11" t="inlineStr">
        <is>
          <t>BTG Cred Corp OAK3 Global Prev FIE FIM CrPr RL</t>
        </is>
      </c>
      <c r="B147" s="11" t="inlineStr">
        <is>
          <t>54.304.610/0001-08</t>
        </is>
      </c>
      <c r="C147" s="11" t="inlineStr">
        <is>
          <t>Multimercados</t>
        </is>
      </c>
      <c r="D147" s="11" t="inlineStr">
        <is>
          <t>BTG PACTUAL ASSET MANAGEMENT S/A DTVM</t>
        </is>
      </c>
      <c r="E147" s="11" t="inlineStr">
        <is>
          <t>btg</t>
        </is>
      </c>
      <c r="F147" s="19" t="n">
        <v>2301055.74</v>
      </c>
      <c r="G147" s="19" t="n">
        <v>1616213.19</v>
      </c>
      <c r="H147" s="20" t="n">
        <v>684842.55</v>
      </c>
      <c r="I147" s="19" t="n">
        <v>45017864.9</v>
      </c>
      <c r="J147" s="19" t="n">
        <v>46852104.2</v>
      </c>
      <c r="K147" s="21" t="n">
        <v>1.52</v>
      </c>
      <c r="L147" s="21" t="n">
        <v>2.59</v>
      </c>
      <c r="M147" s="22" t="n">
        <v>59</v>
      </c>
      <c r="N147" s="11" t="inlineStr">
        <is>
          <t>acelerando</t>
        </is>
      </c>
      <c r="O147" s="11" t="inlineStr"/>
    </row>
    <row r="148">
      <c r="A148" s="11" t="inlineStr">
        <is>
          <t>Icatu Vanguarda Plus Xp Seg Firf Rl</t>
        </is>
      </c>
      <c r="B148" s="11" t="inlineStr">
        <is>
          <t>53.074.033/0001-42</t>
        </is>
      </c>
      <c r="C148" s="11" t="inlineStr">
        <is>
          <t>Renda Fixa</t>
        </is>
      </c>
      <c r="D148" s="11" t="inlineStr">
        <is>
          <t>ICATU VANGUARDA GESTÃO DE RECURSOS LTDA</t>
        </is>
      </c>
      <c r="E148" s="11" t="inlineStr">
        <is>
          <t>xp</t>
        </is>
      </c>
      <c r="F148" s="19" t="n">
        <v>1485433.56</v>
      </c>
      <c r="G148" s="19" t="n">
        <v>803298.9399999999</v>
      </c>
      <c r="H148" s="20" t="n">
        <v>682134.62</v>
      </c>
      <c r="I148" s="19" t="n">
        <v>29562598.32</v>
      </c>
      <c r="J148" s="19" t="n">
        <v>31130470.61</v>
      </c>
      <c r="K148" s="21" t="n">
        <v>2.31</v>
      </c>
      <c r="L148" s="21" t="n">
        <v>2.85</v>
      </c>
      <c r="M148" s="22" t="n">
        <v>59</v>
      </c>
      <c r="N148" s="11" t="inlineStr">
        <is>
          <t>acelerando</t>
        </is>
      </c>
      <c r="O148" s="11" t="inlineStr"/>
    </row>
    <row r="149">
      <c r="A149" s="11" t="inlineStr">
        <is>
          <t>Icatu Vanguarda Absoluto Inflação Xp Seg Cp Prev Rl</t>
        </is>
      </c>
      <c r="B149" s="11" t="inlineStr">
        <is>
          <t>52.986.103/0001-76</t>
        </is>
      </c>
      <c r="C149" s="11" t="inlineStr">
        <is>
          <t>Renda Fixa</t>
        </is>
      </c>
      <c r="D149" s="11" t="inlineStr">
        <is>
          <t>ICATU VANGUARDA GESTÃO DE RECURSOS LTDA</t>
        </is>
      </c>
      <c r="E149" s="11" t="inlineStr">
        <is>
          <t>xp</t>
        </is>
      </c>
      <c r="F149" s="19" t="n">
        <v>756876.73</v>
      </c>
      <c r="G149" s="19" t="n">
        <v>74849.89</v>
      </c>
      <c r="H149" s="20" t="n">
        <v>682026.84</v>
      </c>
      <c r="I149" s="19" t="n">
        <v>7679838.23</v>
      </c>
      <c r="J149" s="19" t="n">
        <v>8682050.17</v>
      </c>
      <c r="K149" s="21" t="n">
        <v>8.880000000000001</v>
      </c>
      <c r="L149" s="21" t="n">
        <v>4.04</v>
      </c>
      <c r="M149" s="22" t="n">
        <v>59</v>
      </c>
      <c r="N149" s="11" t="inlineStr">
        <is>
          <t>estável</t>
        </is>
      </c>
      <c r="O149" s="11" t="inlineStr"/>
    </row>
    <row r="150">
      <c r="A150" s="11" t="inlineStr">
        <is>
          <t>Kinea Prev Zeus BTG FICFIM RL</t>
        </is>
      </c>
      <c r="B150" s="11" t="inlineStr">
        <is>
          <t>58.739.330/0001-83</t>
        </is>
      </c>
      <c r="C150" s="11" t="inlineStr">
        <is>
          <t>Multimercados</t>
        </is>
      </c>
      <c r="D150" s="11" t="inlineStr">
        <is>
          <t>KINEA INVESTIMENTOS LTDA.</t>
        </is>
      </c>
      <c r="E150" s="11" t="inlineStr">
        <is>
          <t>btg</t>
        </is>
      </c>
      <c r="F150" s="19" t="n">
        <v>635734.51</v>
      </c>
      <c r="G150" s="19" t="n">
        <v>0</v>
      </c>
      <c r="H150" s="20" t="n">
        <v>635734.51</v>
      </c>
      <c r="I150" s="19" t="n">
        <v>3237476.98</v>
      </c>
      <c r="J150" s="19" t="n">
        <v>4040084.16</v>
      </c>
      <c r="K150" s="21" t="n">
        <v>19.64</v>
      </c>
      <c r="L150" s="21" t="n">
        <v>4.92</v>
      </c>
      <c r="M150" s="22" t="n">
        <v>59</v>
      </c>
      <c r="N150" s="11" t="inlineStr">
        <is>
          <t>acelerando</t>
        </is>
      </c>
      <c r="O150" s="11" t="inlineStr"/>
    </row>
    <row r="151">
      <c r="A151" s="11" t="inlineStr">
        <is>
          <t>Icatu Vanguarda Minha Aposentadoria 2050 FICFIM Prev RL</t>
        </is>
      </c>
      <c r="B151" s="11" t="inlineStr">
        <is>
          <t>35.636.610/0001-60</t>
        </is>
      </c>
      <c r="C151" s="11" t="inlineStr">
        <is>
          <t>Multimercados</t>
        </is>
      </c>
      <c r="D151" s="11" t="inlineStr">
        <is>
          <t>ICATU VANGUARDA GESTÃO DE RECURSOS LTDA</t>
        </is>
      </c>
      <c r="E151" s="11" t="inlineStr">
        <is>
          <t>btg</t>
        </is>
      </c>
      <c r="F151" s="19" t="n">
        <v>1042036.89</v>
      </c>
      <c r="G151" s="19" t="n">
        <v>406737.5</v>
      </c>
      <c r="H151" s="20" t="n">
        <v>635299.39</v>
      </c>
      <c r="I151" s="19" t="n">
        <v>17779245.84</v>
      </c>
      <c r="J151" s="19" t="n">
        <v>19276926.94</v>
      </c>
      <c r="K151" s="21" t="n">
        <v>3.57</v>
      </c>
      <c r="L151" s="21" t="n">
        <v>4.8</v>
      </c>
      <c r="M151" s="22" t="n">
        <v>59</v>
      </c>
      <c r="N151" s="11" t="inlineStr">
        <is>
          <t>estável</t>
        </is>
      </c>
      <c r="O151" s="11" t="inlineStr"/>
    </row>
    <row r="152">
      <c r="A152" s="11" t="inlineStr">
        <is>
          <t>Western Asset Advisory XP Seg RF Ativo FI Prev</t>
        </is>
      </c>
      <c r="B152" s="11" t="inlineStr">
        <is>
          <t>32.346.713/0001-06</t>
        </is>
      </c>
      <c r="C152" s="11" t="inlineStr">
        <is>
          <t>Renda Fixa</t>
        </is>
      </c>
      <c r="D152" s="11" t="inlineStr">
        <is>
          <t>Franklin Templeton Brasil Ltda.</t>
        </is>
      </c>
      <c r="E152" s="11" t="inlineStr">
        <is>
          <t>xp</t>
        </is>
      </c>
      <c r="F152" s="19" t="n">
        <v>789436.5</v>
      </c>
      <c r="G152" s="19" t="n">
        <v>207808.73</v>
      </c>
      <c r="H152" s="20" t="n">
        <v>581627.77</v>
      </c>
      <c r="I152" s="19" t="n">
        <v>4287408.17</v>
      </c>
      <c r="J152" s="19" t="n">
        <v>5003324.92</v>
      </c>
      <c r="K152" s="21" t="n">
        <v>13.57</v>
      </c>
      <c r="L152" s="21" t="n">
        <v>2.8</v>
      </c>
      <c r="M152" s="22" t="n">
        <v>59</v>
      </c>
      <c r="N152" s="11" t="inlineStr">
        <is>
          <t>virou saída</t>
        </is>
      </c>
      <c r="O152" s="11" t="inlineStr"/>
    </row>
    <row r="153">
      <c r="A153" s="11" t="inlineStr">
        <is>
          <t>Dahlia BP Prev Total Return 70 FICFIM RL</t>
        </is>
      </c>
      <c r="B153" s="11" t="inlineStr">
        <is>
          <t>47.212.505/0001-83</t>
        </is>
      </c>
      <c r="C153" s="11" t="inlineStr">
        <is>
          <t>Multimercados</t>
        </is>
      </c>
      <c r="D153" s="11" t="inlineStr">
        <is>
          <t>DAHLIA CAPITAL GESTÃO DE RECURSOS LTDA.</t>
        </is>
      </c>
      <c r="E153" s="11" t="inlineStr">
        <is>
          <t>btg</t>
        </is>
      </c>
      <c r="F153" s="19" t="n">
        <v>1809919.33</v>
      </c>
      <c r="G153" s="19" t="n">
        <v>1328187.79</v>
      </c>
      <c r="H153" s="20" t="n">
        <v>481731.54</v>
      </c>
      <c r="I153" s="19" t="n">
        <v>25839030.75</v>
      </c>
      <c r="J153" s="19" t="n">
        <v>26946615.25</v>
      </c>
      <c r="K153" s="21" t="n">
        <v>1.86</v>
      </c>
      <c r="L153" s="21" t="n">
        <v>2.54</v>
      </c>
      <c r="M153" s="22" t="n">
        <v>59</v>
      </c>
      <c r="N153" s="11" t="inlineStr">
        <is>
          <t>acelerando</t>
        </is>
      </c>
      <c r="O153" s="11" t="inlineStr"/>
    </row>
    <row r="154">
      <c r="A154" s="11" t="inlineStr">
        <is>
          <t>BTG Pactual Discovery Prev FICFIM RL</t>
        </is>
      </c>
      <c r="B154" s="11" t="inlineStr">
        <is>
          <t>29.178.343/0001-22</t>
        </is>
      </c>
      <c r="C154" s="11" t="inlineStr">
        <is>
          <t>Multimercados</t>
        </is>
      </c>
      <c r="D154" s="11" t="inlineStr">
        <is>
          <t>BTG PACTUAL ASSET MANAGEMENT S/A DTVM</t>
        </is>
      </c>
      <c r="E154" s="11" t="inlineStr">
        <is>
          <t>btg</t>
        </is>
      </c>
      <c r="F154" s="19" t="n">
        <v>2953654.1</v>
      </c>
      <c r="G154" s="19" t="n">
        <v>2476938.81</v>
      </c>
      <c r="H154" s="20" t="n">
        <v>476715.29</v>
      </c>
      <c r="I154" s="19" t="n">
        <v>23537295.71</v>
      </c>
      <c r="J154" s="19" t="n">
        <v>25023234.63</v>
      </c>
      <c r="K154" s="21" t="n">
        <v>2.03</v>
      </c>
      <c r="L154" s="21" t="n">
        <v>2.74</v>
      </c>
      <c r="M154" s="22" t="n">
        <v>59</v>
      </c>
      <c r="N154" s="11" t="inlineStr">
        <is>
          <t>desacelerando</t>
        </is>
      </c>
      <c r="O154" s="11" t="inlineStr"/>
    </row>
    <row r="155">
      <c r="A155" s="11" t="inlineStr">
        <is>
          <t>Morada Prev FIA RL</t>
        </is>
      </c>
      <c r="B155" s="11" t="inlineStr">
        <is>
          <t>62.362.268/0001-20</t>
        </is>
      </c>
      <c r="C155" s="11" t="inlineStr">
        <is>
          <t>Ações</t>
        </is>
      </c>
      <c r="D155" s="11" t="inlineStr">
        <is>
          <t>MORADA CAPITAL LTDA.</t>
        </is>
      </c>
      <c r="E155" s="11" t="inlineStr">
        <is>
          <t>btg</t>
        </is>
      </c>
      <c r="F155" s="19" t="n">
        <v>502515.06</v>
      </c>
      <c r="G155" s="19" t="n">
        <v>38266.52</v>
      </c>
      <c r="H155" s="20" t="n">
        <v>464248.54</v>
      </c>
      <c r="I155" s="19" t="n">
        <v>8503811.77</v>
      </c>
      <c r="J155" s="19" t="n">
        <v>8931093.380000001</v>
      </c>
      <c r="K155" s="21" t="n">
        <v>5.46</v>
      </c>
      <c r="L155" s="21" t="n">
        <v>-0.64</v>
      </c>
      <c r="M155" s="22" t="n">
        <v>59</v>
      </c>
      <c r="N155" s="11" t="inlineStr">
        <is>
          <t>desacelerando</t>
        </is>
      </c>
      <c r="O155" s="11" t="inlineStr"/>
    </row>
    <row r="156">
      <c r="A156" s="11" t="inlineStr">
        <is>
          <t>Vinci Valorem Advisory XP Seg Prev FIM</t>
        </is>
      </c>
      <c r="B156" s="11" t="inlineStr">
        <is>
          <t>33.796.273/0001-43</t>
        </is>
      </c>
      <c r="C156" s="11" t="inlineStr">
        <is>
          <t>Multimercados</t>
        </is>
      </c>
      <c r="D156" s="11" t="inlineStr">
        <is>
          <t>VINCI SOLUÇÕES DE INVESTIMENTOS LTDA</t>
        </is>
      </c>
      <c r="E156" s="11" t="inlineStr">
        <is>
          <t>xp</t>
        </is>
      </c>
      <c r="F156" s="19" t="n">
        <v>2432530.81</v>
      </c>
      <c r="G156" s="19" t="n">
        <v>1981398.57</v>
      </c>
      <c r="H156" s="20" t="n">
        <v>451132.24</v>
      </c>
      <c r="I156" s="19" t="n">
        <v>41965949.39</v>
      </c>
      <c r="J156" s="19" t="n">
        <v>43573358.84</v>
      </c>
      <c r="K156" s="21" t="n">
        <v>1.07</v>
      </c>
      <c r="L156" s="21" t="n">
        <v>2.74</v>
      </c>
      <c r="M156" s="22" t="n">
        <v>59</v>
      </c>
      <c r="N156" s="11" t="inlineStr">
        <is>
          <t>virou saída</t>
        </is>
      </c>
      <c r="O156" s="11" t="inlineStr"/>
    </row>
    <row r="157">
      <c r="A157" s="11" t="inlineStr">
        <is>
          <t>RPS Prev Absoluto FIC FIM</t>
        </is>
      </c>
      <c r="B157" s="11" t="inlineStr">
        <is>
          <t>31.340.875/0001-66</t>
        </is>
      </c>
      <c r="C157" s="11" t="inlineStr">
        <is>
          <t>Multimercados</t>
        </is>
      </c>
      <c r="D157" s="11" t="inlineStr">
        <is>
          <t>RPS CAPITAL ADMINISTRADORA DE RECURSOS LTDA</t>
        </is>
      </c>
      <c r="E157" s="11" t="inlineStr">
        <is>
          <t>xp</t>
        </is>
      </c>
      <c r="F157" s="19" t="n">
        <v>438422.89</v>
      </c>
      <c r="G157" s="19" t="n">
        <v>12916.9</v>
      </c>
      <c r="H157" s="20" t="n">
        <v>425505.99</v>
      </c>
      <c r="I157" s="19" t="n">
        <v>6837589.67</v>
      </c>
      <c r="J157" s="19" t="n">
        <v>7383212.78</v>
      </c>
      <c r="K157" s="21" t="n">
        <v>6.22</v>
      </c>
      <c r="L157" s="21" t="n">
        <v>2.04</v>
      </c>
      <c r="M157" s="22" t="n">
        <v>59</v>
      </c>
      <c r="N157" s="11" t="inlineStr">
        <is>
          <t>acelerando</t>
        </is>
      </c>
      <c r="O157" s="11" t="inlineStr"/>
    </row>
    <row r="158">
      <c r="A158" s="11" t="inlineStr">
        <is>
          <t>Kadima Imab Prev FICFIM Access RL</t>
        </is>
      </c>
      <c r="B158" s="11" t="inlineStr">
        <is>
          <t>54.174.638/0001-78</t>
        </is>
      </c>
      <c r="C158" s="11" t="inlineStr">
        <is>
          <t>Multimercados</t>
        </is>
      </c>
      <c r="D158" s="11" t="inlineStr">
        <is>
          <t>BTG PACTUAL GESTÃO E CONSULTORIA DE INVESTIMENTOS LTDA</t>
        </is>
      </c>
      <c r="E158" s="11" t="inlineStr">
        <is>
          <t>btg</t>
        </is>
      </c>
      <c r="F158" s="19" t="n">
        <v>366067.82</v>
      </c>
      <c r="G158" s="19" t="n">
        <v>1.85</v>
      </c>
      <c r="H158" s="20" t="n">
        <v>366065.97</v>
      </c>
      <c r="I158" s="19" t="n">
        <v>4381771.53</v>
      </c>
      <c r="J158" s="19" t="n">
        <v>4995318.21</v>
      </c>
      <c r="K158" s="21" t="n">
        <v>8.35</v>
      </c>
      <c r="L158" s="21" t="n">
        <v>5.47</v>
      </c>
      <c r="M158" s="22" t="n">
        <v>59</v>
      </c>
      <c r="N158" s="11" t="inlineStr">
        <is>
          <t>acelerando</t>
        </is>
      </c>
      <c r="O158" s="11" t="inlineStr"/>
    </row>
    <row r="159">
      <c r="A159" s="11" t="inlineStr">
        <is>
          <t>Alpha Key Prev 100 Xp Seg Ficfia</t>
        </is>
      </c>
      <c r="B159" s="11" t="inlineStr">
        <is>
          <t>40.779.573/0001-80</t>
        </is>
      </c>
      <c r="C159" s="11" t="inlineStr">
        <is>
          <t>Ações</t>
        </is>
      </c>
      <c r="D159" s="11" t="inlineStr">
        <is>
          <t>XP VIDA E PREVIDÊNCIA S.A.</t>
        </is>
      </c>
      <c r="E159" s="11" t="inlineStr">
        <is>
          <t>xp</t>
        </is>
      </c>
      <c r="F159" s="19" t="n">
        <v>649763.63</v>
      </c>
      <c r="G159" s="19" t="n">
        <v>300378.82</v>
      </c>
      <c r="H159" s="20" t="n">
        <v>349384.81</v>
      </c>
      <c r="I159" s="19" t="n">
        <v>8369947.21</v>
      </c>
      <c r="J159" s="19" t="n">
        <v>8938979.07</v>
      </c>
      <c r="K159" s="21" t="n">
        <v>4.17</v>
      </c>
      <c r="L159" s="21" t="n">
        <v>4.03</v>
      </c>
      <c r="M159" s="22" t="n">
        <v>59</v>
      </c>
      <c r="N159" s="11" t="inlineStr">
        <is>
          <t>acelerando</t>
        </is>
      </c>
      <c r="O159" s="11" t="inlineStr"/>
    </row>
    <row r="160">
      <c r="A160" s="11" t="inlineStr">
        <is>
          <t>Oceana Valor Advisory XP Seg Prev FICFIA</t>
        </is>
      </c>
      <c r="B160" s="11" t="inlineStr">
        <is>
          <t>39.958.567/0001-00</t>
        </is>
      </c>
      <c r="C160" s="11" t="inlineStr">
        <is>
          <t>Ações</t>
        </is>
      </c>
      <c r="D160" s="11" t="inlineStr">
        <is>
          <t>XP VIDA E PREVIDÊNCIA S.A.</t>
        </is>
      </c>
      <c r="E160" s="11" t="inlineStr">
        <is>
          <t>xp</t>
        </is>
      </c>
      <c r="F160" s="19" t="n">
        <v>356619.2</v>
      </c>
      <c r="G160" s="19" t="n">
        <v>9204.540000000001</v>
      </c>
      <c r="H160" s="20" t="n">
        <v>347414.66</v>
      </c>
      <c r="I160" s="19" t="n">
        <v>3478937.41</v>
      </c>
      <c r="J160" s="19" t="n">
        <v>4065179.2</v>
      </c>
      <c r="K160" s="21" t="n">
        <v>9.99</v>
      </c>
      <c r="L160" s="21" t="n">
        <v>6.61</v>
      </c>
      <c r="M160" s="22" t="n">
        <v>59</v>
      </c>
      <c r="N160" s="11" t="inlineStr">
        <is>
          <t>desacelerando</t>
        </is>
      </c>
      <c r="O160" s="11" t="inlineStr"/>
    </row>
    <row r="161">
      <c r="A161" s="11" t="inlineStr">
        <is>
          <t>Clave Flex Prev FIE I FICFIM Access RL</t>
        </is>
      </c>
      <c r="B161" s="11" t="inlineStr">
        <is>
          <t>54.494.538/0001-29</t>
        </is>
      </c>
      <c r="C161" s="11" t="inlineStr">
        <is>
          <t>Multimercados</t>
        </is>
      </c>
      <c r="D161" s="11" t="inlineStr">
        <is>
          <t>BTG PACTUAL GESTÃO E CONSULTORIA DE INVESTIMENTOS LTDA</t>
        </is>
      </c>
      <c r="E161" s="11" t="inlineStr">
        <is>
          <t>btg</t>
        </is>
      </c>
      <c r="F161" s="19" t="n">
        <v>346099.15</v>
      </c>
      <c r="G161" s="19" t="n">
        <v>0</v>
      </c>
      <c r="H161" s="20" t="n">
        <v>346099.15</v>
      </c>
      <c r="I161" s="19" t="n">
        <v>5216729.71</v>
      </c>
      <c r="J161" s="19" t="n">
        <v>5757630.18</v>
      </c>
      <c r="K161" s="21" t="n">
        <v>6.63</v>
      </c>
      <c r="L161" s="21" t="n">
        <v>3.66</v>
      </c>
      <c r="M161" s="22" t="n">
        <v>59</v>
      </c>
      <c r="N161" s="11" t="inlineStr">
        <is>
          <t>acelerando</t>
        </is>
      </c>
      <c r="O161" s="11" t="inlineStr"/>
    </row>
    <row r="162">
      <c r="A162" s="11" t="inlineStr">
        <is>
          <t>Tork Icatu Prev FIE I FICFIA RL</t>
        </is>
      </c>
      <c r="B162" s="11" t="inlineStr">
        <is>
          <t>36.352.410/0001-49</t>
        </is>
      </c>
      <c r="C162" s="11" t="inlineStr">
        <is>
          <t>Ações</t>
        </is>
      </c>
      <c r="D162" s="11" t="inlineStr">
        <is>
          <t>ATLAS ONE INVESTIMENTOS GESTÃO DE RECURSOS LTDA.</t>
        </is>
      </c>
      <c r="E162" s="11" t="inlineStr">
        <is>
          <t>btg</t>
        </is>
      </c>
      <c r="F162" s="19" t="n">
        <v>511890.05</v>
      </c>
      <c r="G162" s="19" t="n">
        <v>308082.23</v>
      </c>
      <c r="H162" s="20" t="n">
        <v>203807.82</v>
      </c>
      <c r="I162" s="19" t="n">
        <v>1627806.67</v>
      </c>
      <c r="J162" s="19" t="n">
        <v>1875591.23</v>
      </c>
      <c r="K162" s="21" t="n">
        <v>12.52</v>
      </c>
      <c r="L162" s="21" t="n">
        <v>2.51</v>
      </c>
      <c r="M162" s="22" t="n">
        <v>59</v>
      </c>
      <c r="N162" s="11" t="inlineStr">
        <is>
          <t>virou entrada</t>
        </is>
      </c>
      <c r="O162" s="11" t="inlineStr"/>
    </row>
    <row r="163">
      <c r="A163" s="11" t="inlineStr">
        <is>
          <t>Adam Icatu RF Ativa Prev FICFIRF LP RL</t>
        </is>
      </c>
      <c r="B163" s="11" t="inlineStr">
        <is>
          <t>52.091.995/0001-47</t>
        </is>
      </c>
      <c r="C163" s="11" t="inlineStr">
        <is>
          <t>Renda Fixa</t>
        </is>
      </c>
      <c r="D163" s="11" t="inlineStr">
        <is>
          <t>ADAMCAPITAL GESTÃO DE RECURSOS LTDA.</t>
        </is>
      </c>
      <c r="E163" s="11" t="inlineStr">
        <is>
          <t>btg</t>
        </is>
      </c>
      <c r="F163" s="19" t="n">
        <v>2444369.01</v>
      </c>
      <c r="G163" s="19" t="n">
        <v>2247679.67</v>
      </c>
      <c r="H163" s="20" t="n">
        <v>196689.34</v>
      </c>
      <c r="I163" s="19" t="n">
        <v>32533714.03</v>
      </c>
      <c r="J163" s="19" t="n">
        <v>32409562.4</v>
      </c>
      <c r="K163" s="21" t="n">
        <v>0.6</v>
      </c>
      <c r="L163" s="21" t="n">
        <v>2.82</v>
      </c>
      <c r="M163" s="22" t="n">
        <v>59</v>
      </c>
      <c r="N163" s="11" t="inlineStr">
        <is>
          <t>virou saída</t>
        </is>
      </c>
      <c r="O163" s="11" t="inlineStr"/>
    </row>
    <row r="164">
      <c r="A164" s="11" t="inlineStr">
        <is>
          <t>Vinci Compass Prev FIE I D8 FIRF CrPr RL</t>
        </is>
      </c>
      <c r="B164" s="11" t="inlineStr">
        <is>
          <t>57.132.572/0001-41</t>
        </is>
      </c>
      <c r="C164" s="11" t="inlineStr">
        <is>
          <t>Renda Fixa</t>
        </is>
      </c>
      <c r="D164" s="11" t="inlineStr">
        <is>
          <t>VINCI CG GESTORA DE RECURSOS LTDA</t>
        </is>
      </c>
      <c r="E164" s="11" t="inlineStr">
        <is>
          <t>btg</t>
        </is>
      </c>
      <c r="F164" s="19" t="n">
        <v>191804.62</v>
      </c>
      <c r="G164" s="19" t="n">
        <v>0</v>
      </c>
      <c r="H164" s="20" t="n">
        <v>191804.62</v>
      </c>
      <c r="I164" s="19" t="n">
        <v>4979331.29</v>
      </c>
      <c r="J164" s="19" t="n">
        <v>5342563.09</v>
      </c>
      <c r="K164" s="21" t="n">
        <v>3.85</v>
      </c>
      <c r="L164" s="21" t="n">
        <v>3.41</v>
      </c>
      <c r="M164" s="22" t="n">
        <v>59</v>
      </c>
      <c r="N164" s="11" t="inlineStr">
        <is>
          <t>estável</t>
        </is>
      </c>
      <c r="O164" s="11" t="inlineStr"/>
    </row>
    <row r="165">
      <c r="A165" s="11" t="inlineStr">
        <is>
          <t>Novus Crédito Previdência Xp Fif Em Cotas Fim Cp Rl</t>
        </is>
      </c>
      <c r="B165" s="11" t="inlineStr">
        <is>
          <t>60.818.157/0001-50</t>
        </is>
      </c>
      <c r="C165" s="11" t="inlineStr">
        <is>
          <t>Multimercados</t>
        </is>
      </c>
      <c r="D165" s="11" t="inlineStr">
        <is>
          <t>NOVUS CREDITO GESTAO DE RECURSOS LTDA</t>
        </is>
      </c>
      <c r="E165" s="11" t="inlineStr">
        <is>
          <t>xp</t>
        </is>
      </c>
      <c r="F165" s="19" t="n">
        <v>715111.42</v>
      </c>
      <c r="G165" s="19" t="n">
        <v>531159.58</v>
      </c>
      <c r="H165" s="20" t="n">
        <v>183951.84</v>
      </c>
      <c r="I165" s="19" t="n">
        <v>29504972.64</v>
      </c>
      <c r="J165" s="19" t="n">
        <v>30594838.47</v>
      </c>
      <c r="K165" s="21" t="n">
        <v>0.62</v>
      </c>
      <c r="L165" s="21" t="n">
        <v>3.06</v>
      </c>
      <c r="M165" s="22" t="n">
        <v>59</v>
      </c>
      <c r="N165" s="11" t="inlineStr">
        <is>
          <t>acelerando</t>
        </is>
      </c>
      <c r="O165" s="11" t="inlineStr"/>
    </row>
    <row r="166">
      <c r="A166" s="11" t="inlineStr">
        <is>
          <t>Opportunity BTG Prev FICFIM RL</t>
        </is>
      </c>
      <c r="B166" s="11" t="inlineStr">
        <is>
          <t>51.179.623/0001-04</t>
        </is>
      </c>
      <c r="C166" s="11" t="inlineStr">
        <is>
          <t>Multimercados</t>
        </is>
      </c>
      <c r="D166" s="11" t="inlineStr">
        <is>
          <t>OPPORTUNITY GESTÃO DE INVESTIMENTOS E RECURSOS LTDA</t>
        </is>
      </c>
      <c r="E166" s="11" t="inlineStr">
        <is>
          <t>btg</t>
        </is>
      </c>
      <c r="F166" s="19" t="n">
        <v>160279.02</v>
      </c>
      <c r="G166" s="19" t="n">
        <v>22306.04</v>
      </c>
      <c r="H166" s="20" t="n">
        <v>137972.98</v>
      </c>
      <c r="I166" s="19" t="n">
        <v>6933287.71</v>
      </c>
      <c r="J166" s="19" t="n">
        <v>7275822.1</v>
      </c>
      <c r="K166" s="21" t="n">
        <v>1.99</v>
      </c>
      <c r="L166" s="21" t="n">
        <v>2.9</v>
      </c>
      <c r="M166" s="22" t="n">
        <v>59</v>
      </c>
      <c r="N166" s="11" t="inlineStr">
        <is>
          <t>virou saída</t>
        </is>
      </c>
      <c r="O166" s="11" t="inlineStr"/>
    </row>
    <row r="167">
      <c r="A167" s="11" t="inlineStr">
        <is>
          <t>Forpus 70 XP Seg Prev FIM</t>
        </is>
      </c>
      <c r="B167" s="11" t="inlineStr">
        <is>
          <t>42.870.699/0001-90</t>
        </is>
      </c>
      <c r="C167" s="11" t="inlineStr">
        <is>
          <t>Multimercados</t>
        </is>
      </c>
      <c r="D167" s="11" t="inlineStr">
        <is>
          <t>FORPUS CAPITAL GESTÃO DE RECURSOS LTDA.</t>
        </is>
      </c>
      <c r="E167" s="11" t="inlineStr">
        <is>
          <t>xp</t>
        </is>
      </c>
      <c r="F167" s="19" t="n">
        <v>305877.05</v>
      </c>
      <c r="G167" s="19" t="n">
        <v>186302.87</v>
      </c>
      <c r="H167" s="20" t="n">
        <v>119574.18</v>
      </c>
      <c r="I167" s="19" t="n">
        <v>5054936.95</v>
      </c>
      <c r="J167" s="19" t="n">
        <v>5327899.57</v>
      </c>
      <c r="K167" s="21" t="n">
        <v>2.37</v>
      </c>
      <c r="L167" s="21" t="n">
        <v>2.89</v>
      </c>
      <c r="M167" s="22" t="n">
        <v>59</v>
      </c>
      <c r="N167" s="11" t="inlineStr">
        <is>
          <t>virou saída</t>
        </is>
      </c>
      <c r="O167" s="11" t="inlineStr"/>
    </row>
    <row r="168">
      <c r="A168" s="11" t="inlineStr">
        <is>
          <t>Hashdex High Sharpe Long Biased Prev FICFIM RL</t>
        </is>
      </c>
      <c r="B168" s="11" t="inlineStr">
        <is>
          <t>57.166.392/0001-80</t>
        </is>
      </c>
      <c r="C168" s="11" t="inlineStr">
        <is>
          <t>Multimercados</t>
        </is>
      </c>
      <c r="D168" s="11" t="inlineStr">
        <is>
          <t>HASHDEX GESTORA DE RECURSOS LTDA</t>
        </is>
      </c>
      <c r="E168" s="11" t="inlineStr">
        <is>
          <t>btg</t>
        </is>
      </c>
      <c r="F168" s="19" t="n">
        <v>421430.47</v>
      </c>
      <c r="G168" s="19" t="n">
        <v>304768.79</v>
      </c>
      <c r="H168" s="20" t="n">
        <v>116661.68</v>
      </c>
      <c r="I168" s="19" t="n">
        <v>4939947.46</v>
      </c>
      <c r="J168" s="19" t="n">
        <v>5653487.18</v>
      </c>
      <c r="K168" s="21" t="n">
        <v>2.36</v>
      </c>
      <c r="L168" s="21" t="n">
        <v>11.9</v>
      </c>
      <c r="M168" s="22" t="n">
        <v>59</v>
      </c>
      <c r="N168" s="11" t="inlineStr">
        <is>
          <t>estável</t>
        </is>
      </c>
      <c r="O168" s="11" t="inlineStr"/>
    </row>
    <row r="169">
      <c r="A169" s="11" t="inlineStr">
        <is>
          <t>Vinci Valorem Prev BP FIM RL</t>
        </is>
      </c>
      <c r="B169" s="11" t="inlineStr">
        <is>
          <t>47.564.846/0001-18</t>
        </is>
      </c>
      <c r="C169" s="11" t="inlineStr">
        <is>
          <t>Multimercados</t>
        </is>
      </c>
      <c r="D169" s="11" t="inlineStr">
        <is>
          <t>VINCI SOLUÇÕES DE INVESTIMENTOS LTDA</t>
        </is>
      </c>
      <c r="E169" s="11" t="inlineStr">
        <is>
          <t>btg</t>
        </is>
      </c>
      <c r="F169" s="19" t="n">
        <v>144919.87</v>
      </c>
      <c r="G169" s="19" t="n">
        <v>33079.45</v>
      </c>
      <c r="H169" s="20" t="n">
        <v>111840.42</v>
      </c>
      <c r="I169" s="19" t="n">
        <v>2607188.83</v>
      </c>
      <c r="J169" s="19" t="n">
        <v>2787333.25</v>
      </c>
      <c r="K169" s="21" t="n">
        <v>4.29</v>
      </c>
      <c r="L169" s="21" t="n">
        <v>2.59</v>
      </c>
      <c r="M169" s="22" t="n">
        <v>59</v>
      </c>
      <c r="N169" s="11" t="inlineStr">
        <is>
          <t>desacelerando</t>
        </is>
      </c>
      <c r="O169" s="11" t="inlineStr"/>
    </row>
    <row r="170">
      <c r="A170" s="11" t="inlineStr">
        <is>
          <t>Forpus 100 XP Seg Prev FICFIA</t>
        </is>
      </c>
      <c r="B170" s="11" t="inlineStr">
        <is>
          <t>40.212.923/0001-21</t>
        </is>
      </c>
      <c r="C170" s="11" t="inlineStr">
        <is>
          <t>Ações</t>
        </is>
      </c>
      <c r="D170" s="11" t="inlineStr">
        <is>
          <t>FORPUS CAPITAL GESTÃO DE RECURSOS LTDA.</t>
        </is>
      </c>
      <c r="E170" s="11" t="inlineStr">
        <is>
          <t>xp</t>
        </is>
      </c>
      <c r="F170" s="19" t="n">
        <v>495041.64</v>
      </c>
      <c r="G170" s="19" t="n">
        <v>383638.04</v>
      </c>
      <c r="H170" s="20" t="n">
        <v>111403.6</v>
      </c>
      <c r="I170" s="19" t="n">
        <v>8693503.119999999</v>
      </c>
      <c r="J170" s="19" t="n">
        <v>9006687.210000001</v>
      </c>
      <c r="K170" s="21" t="n">
        <v>1.28</v>
      </c>
      <c r="L170" s="21" t="n">
        <v>2.3</v>
      </c>
      <c r="M170" s="22" t="n">
        <v>59</v>
      </c>
      <c r="N170" s="11" t="inlineStr">
        <is>
          <t>desacelerando</t>
        </is>
      </c>
      <c r="O170" s="11" t="inlineStr"/>
    </row>
    <row r="171">
      <c r="A171" s="11" t="inlineStr">
        <is>
          <t>Verde FIE Prev FIM Access RL</t>
        </is>
      </c>
      <c r="B171" s="11" t="inlineStr">
        <is>
          <t>44.803.273/0001-40</t>
        </is>
      </c>
      <c r="C171" s="11" t="inlineStr">
        <is>
          <t>Multimercados</t>
        </is>
      </c>
      <c r="D171" s="11" t="inlineStr">
        <is>
          <t>BTG PACTUAL GESTÃO E CONSULTORIA DE INVESTIMENTOS LTDA</t>
        </is>
      </c>
      <c r="E171" s="11" t="inlineStr">
        <is>
          <t>btg</t>
        </is>
      </c>
      <c r="F171" s="19" t="n">
        <v>1490582.88</v>
      </c>
      <c r="G171" s="19" t="n">
        <v>1416321.91</v>
      </c>
      <c r="H171" s="20" t="n">
        <v>74260.97</v>
      </c>
      <c r="I171" s="19" t="n">
        <v>33714023.72</v>
      </c>
      <c r="J171" s="19" t="n">
        <v>34775266.11</v>
      </c>
      <c r="K171" s="21" t="n">
        <v>0.22</v>
      </c>
      <c r="L171" s="21" t="n">
        <v>2.93</v>
      </c>
      <c r="M171" s="22" t="n">
        <v>59</v>
      </c>
      <c r="N171" s="11" t="inlineStr">
        <is>
          <t>virou saída</t>
        </is>
      </c>
      <c r="O171" s="11" t="inlineStr"/>
    </row>
    <row r="172">
      <c r="A172" s="11" t="inlineStr">
        <is>
          <t>Constellation BP 100 Prev FICFIA</t>
        </is>
      </c>
      <c r="B172" s="11" t="inlineStr">
        <is>
          <t>43.619.032/0001-82</t>
        </is>
      </c>
      <c r="C172" s="11" t="inlineStr">
        <is>
          <t>Ações</t>
        </is>
      </c>
      <c r="D172" s="11" t="inlineStr">
        <is>
          <t>CONSTELLATION INVESTIMENTOS E PARTICIPAÇÕES LTDA</t>
        </is>
      </c>
      <c r="E172" s="11" t="inlineStr">
        <is>
          <t>btg</t>
        </is>
      </c>
      <c r="F172" s="19" t="n">
        <v>150160.13</v>
      </c>
      <c r="G172" s="19" t="n">
        <v>101711.41</v>
      </c>
      <c r="H172" s="20" t="n">
        <v>48448.72</v>
      </c>
      <c r="I172" s="19" t="n">
        <v>3643861.3</v>
      </c>
      <c r="J172" s="19" t="n">
        <v>3872858.82</v>
      </c>
      <c r="K172" s="21" t="n">
        <v>1.33</v>
      </c>
      <c r="L172" s="21" t="n">
        <v>4.93</v>
      </c>
      <c r="M172" s="22" t="n">
        <v>59</v>
      </c>
      <c r="N172" s="11" t="inlineStr">
        <is>
          <t>acelerando</t>
        </is>
      </c>
      <c r="O172" s="11" t="inlineStr"/>
    </row>
    <row r="173">
      <c r="A173" s="11" t="inlineStr">
        <is>
          <t>Empiricus Oportunidades de UMA Vida Prev FIA RL</t>
        </is>
      </c>
      <c r="B173" s="11" t="inlineStr">
        <is>
          <t>44.026.984/0001-55</t>
        </is>
      </c>
      <c r="C173" s="11" t="inlineStr">
        <is>
          <t>Ações</t>
        </is>
      </c>
      <c r="D173" s="11" t="inlineStr">
        <is>
          <t>BTG PACTUAL ASSET MANAGEMENT S/A DTVM</t>
        </is>
      </c>
      <c r="E173" s="11" t="inlineStr">
        <is>
          <t>btg</t>
        </is>
      </c>
      <c r="F173" s="19" t="n">
        <v>56909</v>
      </c>
      <c r="G173" s="19" t="n">
        <v>9710.719999999999</v>
      </c>
      <c r="H173" s="20" t="n">
        <v>47198.28</v>
      </c>
      <c r="I173" s="19" t="n">
        <v>11216021</v>
      </c>
      <c r="J173" s="19" t="n">
        <v>11343310.06</v>
      </c>
      <c r="K173" s="21" t="n">
        <v>0.42</v>
      </c>
      <c r="L173" s="21" t="n">
        <v>0.71</v>
      </c>
      <c r="M173" s="22" t="n">
        <v>59</v>
      </c>
      <c r="N173" s="11" t="inlineStr">
        <is>
          <t>estável</t>
        </is>
      </c>
      <c r="O173" s="11" t="inlineStr"/>
    </row>
    <row r="174">
      <c r="A174" s="11" t="inlineStr">
        <is>
          <t>ASA Hedge Icatu Prev FICFIM RL</t>
        </is>
      </c>
      <c r="B174" s="11" t="inlineStr">
        <is>
          <t>26.343.792/0001-90</t>
        </is>
      </c>
      <c r="C174" s="11" t="inlineStr">
        <is>
          <t>Multimercados</t>
        </is>
      </c>
      <c r="D174" s="11" t="inlineStr">
        <is>
          <t>ASA ASSET MANAGEMENT LTDA.</t>
        </is>
      </c>
      <c r="E174" s="11" t="inlineStr">
        <is>
          <t>btg</t>
        </is>
      </c>
      <c r="F174" s="19" t="n">
        <v>74548</v>
      </c>
      <c r="G174" s="19" t="n">
        <v>30389.88</v>
      </c>
      <c r="H174" s="20" t="n">
        <v>44158.12</v>
      </c>
      <c r="I174" s="19" t="n">
        <v>4914979.89</v>
      </c>
      <c r="J174" s="19" t="n">
        <v>5010374</v>
      </c>
      <c r="K174" s="21" t="n">
        <v>0.9</v>
      </c>
      <c r="L174" s="21" t="n">
        <v>1.03</v>
      </c>
      <c r="M174" s="22" t="n">
        <v>59</v>
      </c>
      <c r="N174" s="11" t="inlineStr">
        <is>
          <t>acelerando</t>
        </is>
      </c>
      <c r="O174" s="11" t="inlineStr"/>
    </row>
    <row r="175">
      <c r="A175" s="11" t="inlineStr">
        <is>
          <t>Jubarte Migration FIE Prev FIM RL</t>
        </is>
      </c>
      <c r="B175" s="11" t="inlineStr">
        <is>
          <t>60.314.455/0001-03</t>
        </is>
      </c>
      <c r="C175" s="11" t="inlineStr">
        <is>
          <t>Multimercados</t>
        </is>
      </c>
      <c r="D175" s="11" t="inlineStr">
        <is>
          <t>JUBARTE STRATEGIC CAPITAL LTDA.</t>
        </is>
      </c>
      <c r="E175" s="11" t="inlineStr">
        <is>
          <t>btg</t>
        </is>
      </c>
      <c r="F175" s="19" t="n">
        <v>31400</v>
      </c>
      <c r="G175" s="19" t="n">
        <v>1000</v>
      </c>
      <c r="H175" s="20" t="n">
        <v>30400</v>
      </c>
      <c r="I175" s="19" t="n">
        <v>10357530.82</v>
      </c>
      <c r="J175" s="19" t="n">
        <v>10792735.03</v>
      </c>
      <c r="K175" s="21" t="n">
        <v>0.29</v>
      </c>
      <c r="L175" s="21" t="n">
        <v>3.9</v>
      </c>
      <c r="M175" s="22" t="n">
        <v>59</v>
      </c>
      <c r="N175" s="11" t="inlineStr">
        <is>
          <t>virou saída</t>
        </is>
      </c>
      <c r="O175" s="11" t="inlineStr"/>
    </row>
    <row r="176">
      <c r="A176" s="11" t="inlineStr">
        <is>
          <t>Western Asset Icatu RF Ativo Prev FIF RL</t>
        </is>
      </c>
      <c r="B176" s="11" t="inlineStr">
        <is>
          <t>23.872.787/0001-87</t>
        </is>
      </c>
      <c r="C176" s="11" t="inlineStr">
        <is>
          <t>Renda Fixa</t>
        </is>
      </c>
      <c r="D176" s="11" t="inlineStr">
        <is>
          <t>Franklin Templeton Brasil Ltda.</t>
        </is>
      </c>
      <c r="E176" s="11" t="inlineStr">
        <is>
          <t>btg</t>
        </is>
      </c>
      <c r="F176" s="19" t="n">
        <v>176527.99</v>
      </c>
      <c r="G176" s="19" t="n">
        <v>148949.35</v>
      </c>
      <c r="H176" s="20" t="n">
        <v>27578.64</v>
      </c>
      <c r="I176" s="19" t="n">
        <v>7093467.97</v>
      </c>
      <c r="J176" s="19" t="n">
        <v>7324027.92</v>
      </c>
      <c r="K176" s="21" t="n">
        <v>0.39</v>
      </c>
      <c r="L176" s="21" t="n">
        <v>2.88</v>
      </c>
      <c r="M176" s="22" t="n">
        <v>59</v>
      </c>
      <c r="N176" s="11" t="inlineStr">
        <is>
          <t>virou saída</t>
        </is>
      </c>
      <c r="O176" s="11" t="inlineStr"/>
    </row>
    <row r="177">
      <c r="A177" s="11" t="inlineStr">
        <is>
          <t>Empiricus Cripto Prev 20 FIM RL</t>
        </is>
      </c>
      <c r="B177" s="11" t="inlineStr">
        <is>
          <t>44.027.398/0001-25</t>
        </is>
      </c>
      <c r="C177" s="11" t="inlineStr">
        <is>
          <t>Multimercados</t>
        </is>
      </c>
      <c r="D177" s="11" t="inlineStr">
        <is>
          <t>BTG PACTUAL ASSET MANAGEMENT S/A DTVM</t>
        </is>
      </c>
      <c r="E177" s="11" t="inlineStr">
        <is>
          <t>btg</t>
        </is>
      </c>
      <c r="F177" s="19" t="n">
        <v>323556.43</v>
      </c>
      <c r="G177" s="19" t="n">
        <v>300518.17</v>
      </c>
      <c r="H177" s="20" t="n">
        <v>23038.26</v>
      </c>
      <c r="I177" s="19" t="n">
        <v>9855802.34</v>
      </c>
      <c r="J177" s="19" t="n">
        <v>10530371.98</v>
      </c>
      <c r="K177" s="21" t="n">
        <v>0.23</v>
      </c>
      <c r="L177" s="21" t="n">
        <v>6.63</v>
      </c>
      <c r="M177" s="22" t="n">
        <v>59</v>
      </c>
      <c r="N177" s="11" t="inlineStr">
        <is>
          <t>acelerando</t>
        </is>
      </c>
      <c r="O177" s="11" t="inlineStr"/>
    </row>
    <row r="178">
      <c r="A178" s="11" t="inlineStr">
        <is>
          <t>Lis 100 Prev Xp Seguros Ficfim Rl</t>
        </is>
      </c>
      <c r="B178" s="11" t="inlineStr">
        <is>
          <t>47.033.051/0001-83</t>
        </is>
      </c>
      <c r="C178" s="11" t="inlineStr">
        <is>
          <t>Multimercados</t>
        </is>
      </c>
      <c r="D178" s="11" t="inlineStr">
        <is>
          <t>XP VIDA E PREVIDÊNCIA S.A.</t>
        </is>
      </c>
      <c r="E178" s="11" t="inlineStr">
        <is>
          <t>xp</t>
        </is>
      </c>
      <c r="F178" s="19" t="n">
        <v>113429.18</v>
      </c>
      <c r="G178" s="19" t="n">
        <v>95737.47</v>
      </c>
      <c r="H178" s="20" t="n">
        <v>17691.71</v>
      </c>
      <c r="I178" s="19" t="n">
        <v>3728482.45</v>
      </c>
      <c r="J178" s="19" t="n">
        <v>3785075.99</v>
      </c>
      <c r="K178" s="21" t="n">
        <v>0.47</v>
      </c>
      <c r="L178" s="21" t="n">
        <v>1.02</v>
      </c>
      <c r="M178" s="22" t="n">
        <v>59</v>
      </c>
      <c r="N178" s="11" t="inlineStr">
        <is>
          <t>acelerando</t>
        </is>
      </c>
      <c r="O178" s="11" t="inlineStr"/>
    </row>
    <row r="179">
      <c r="A179" s="11" t="inlineStr">
        <is>
          <t>Verde AM Mundi Icatu Prev Qualificado FICFIM RL</t>
        </is>
      </c>
      <c r="B179" s="11" t="inlineStr">
        <is>
          <t>44.983.441/0001-26</t>
        </is>
      </c>
      <c r="C179" s="11" t="inlineStr">
        <is>
          <t>Multimercados</t>
        </is>
      </c>
      <c r="D179" s="11" t="inlineStr">
        <is>
          <t>VERDE ASSET MANAGEMENT S.A.</t>
        </is>
      </c>
      <c r="E179" s="11" t="inlineStr">
        <is>
          <t>btg</t>
        </is>
      </c>
      <c r="F179" s="19" t="n">
        <v>17101.76</v>
      </c>
      <c r="G179" s="19" t="n">
        <v>3000</v>
      </c>
      <c r="H179" s="20" t="n">
        <v>14101.76</v>
      </c>
      <c r="I179" s="19" t="n">
        <v>2191675.03</v>
      </c>
      <c r="J179" s="19" t="n">
        <v>2205893.73</v>
      </c>
      <c r="K179" s="21" t="n">
        <v>0.64</v>
      </c>
      <c r="L179" s="21" t="n">
        <v>0</v>
      </c>
      <c r="M179" s="22" t="n">
        <v>59</v>
      </c>
      <c r="N179" s="11" t="inlineStr">
        <is>
          <t>virou entrada</t>
        </is>
      </c>
      <c r="O179" s="11" t="inlineStr"/>
    </row>
    <row r="180">
      <c r="A180" s="11" t="inlineStr">
        <is>
          <t>STK Long Biased Prev Icatu Qualificado FIE FIA RL</t>
        </is>
      </c>
      <c r="B180" s="11" t="inlineStr">
        <is>
          <t>40.885.815/0001-10</t>
        </is>
      </c>
      <c r="C180" s="11" t="inlineStr">
        <is>
          <t>Ações</t>
        </is>
      </c>
      <c r="D180" s="11" t="inlineStr">
        <is>
          <t>STK CAPITAL GESTORA DE RECURSOS LTDA.</t>
        </is>
      </c>
      <c r="E180" s="11" t="inlineStr">
        <is>
          <t>btg</t>
        </is>
      </c>
      <c r="F180" s="19" t="n">
        <v>9098.34</v>
      </c>
      <c r="G180" s="19" t="n">
        <v>0</v>
      </c>
      <c r="H180" s="20" t="n">
        <v>9098.34</v>
      </c>
      <c r="I180" s="19" t="n">
        <v>23179229.14</v>
      </c>
      <c r="J180" s="19" t="n">
        <v>23736673.21</v>
      </c>
      <c r="K180" s="21" t="n">
        <v>0.04</v>
      </c>
      <c r="L180" s="21" t="n">
        <v>2.37</v>
      </c>
      <c r="M180" s="22" t="n">
        <v>59</v>
      </c>
      <c r="N180" s="11" t="inlineStr">
        <is>
          <t>desacelerando</t>
        </is>
      </c>
      <c r="O180" s="11" t="inlineStr"/>
    </row>
    <row r="181">
      <c r="A181" s="11" t="inlineStr">
        <is>
          <t>Kadima Long Bias Xp Seg Prev Fic Fim Rl</t>
        </is>
      </c>
      <c r="B181" s="11" t="inlineStr">
        <is>
          <t>40.781.292/0001-61</t>
        </is>
      </c>
      <c r="C181" s="11" t="inlineStr">
        <is>
          <t>Multimercados</t>
        </is>
      </c>
      <c r="D181" s="11" t="inlineStr">
        <is>
          <t>XP VIDA E PREVIDÊNCIA S.A.</t>
        </is>
      </c>
      <c r="E181" s="11" t="inlineStr">
        <is>
          <t>xp</t>
        </is>
      </c>
      <c r="F181" s="19" t="n">
        <v>8029.55</v>
      </c>
      <c r="G181" s="19" t="n">
        <v>0</v>
      </c>
      <c r="H181" s="20" t="n">
        <v>8029.55</v>
      </c>
      <c r="I181" s="19" t="n">
        <v>4269128.99</v>
      </c>
      <c r="J181" s="19" t="n">
        <v>4505810.49</v>
      </c>
      <c r="K181" s="21" t="n">
        <v>0.19</v>
      </c>
      <c r="L181" s="21" t="n">
        <v>5.36</v>
      </c>
      <c r="M181" s="22" t="n">
        <v>59</v>
      </c>
      <c r="N181" s="11" t="inlineStr">
        <is>
          <t>acelerando</t>
        </is>
      </c>
      <c r="O181" s="11" t="inlineStr"/>
    </row>
    <row r="182">
      <c r="A182" s="11" t="inlineStr">
        <is>
          <t>Giant Prev BTG FIE FICFIM RL</t>
        </is>
      </c>
      <c r="B182" s="11" t="inlineStr">
        <is>
          <t>36.327.405/0001-86</t>
        </is>
      </c>
      <c r="C182" s="11" t="inlineStr">
        <is>
          <t>Multimercados</t>
        </is>
      </c>
      <c r="D182" s="11" t="inlineStr">
        <is>
          <t>GIANT STEPS CAPITAL INVESTIMENTOS</t>
        </is>
      </c>
      <c r="E182" s="11" t="inlineStr">
        <is>
          <t>btg</t>
        </is>
      </c>
      <c r="F182" s="19" t="n">
        <v>318479.95</v>
      </c>
      <c r="G182" s="19" t="n">
        <v>310688.02</v>
      </c>
      <c r="H182" s="20" t="n">
        <v>7791.93</v>
      </c>
      <c r="I182" s="19" t="n">
        <v>5034618.05</v>
      </c>
      <c r="J182" s="19" t="n">
        <v>5187604.16</v>
      </c>
      <c r="K182" s="21" t="n">
        <v>0.15</v>
      </c>
      <c r="L182" s="21" t="n">
        <v>2.91</v>
      </c>
      <c r="M182" s="22" t="n">
        <v>59</v>
      </c>
      <c r="N182" s="11" t="inlineStr">
        <is>
          <t>virou entrada</t>
        </is>
      </c>
      <c r="O182" s="11" t="inlineStr"/>
    </row>
    <row r="183">
      <c r="A183" s="11" t="inlineStr">
        <is>
          <t>Kiron Prev XP Seg FIE FIA</t>
        </is>
      </c>
      <c r="B183" s="11" t="inlineStr">
        <is>
          <t>36.352.287/0001-66</t>
        </is>
      </c>
      <c r="C183" s="11" t="inlineStr">
        <is>
          <t>Ações</t>
        </is>
      </c>
      <c r="D183" s="11" t="inlineStr">
        <is>
          <t>KIRON CAPITAL GESTÃO DE RECURSOS LTDA.</t>
        </is>
      </c>
      <c r="E183" s="11" t="inlineStr">
        <is>
          <t>xp</t>
        </is>
      </c>
      <c r="F183" s="19" t="n">
        <v>0</v>
      </c>
      <c r="G183" s="19" t="n">
        <v>0</v>
      </c>
      <c r="H183" s="19" t="n">
        <v>0</v>
      </c>
      <c r="I183" s="19" t="n">
        <v>8744069.57</v>
      </c>
      <c r="J183" s="19" t="n">
        <v>8889058.140000001</v>
      </c>
      <c r="K183" s="21" t="n">
        <v>0</v>
      </c>
      <c r="L183" s="21" t="n">
        <v>1.66</v>
      </c>
      <c r="M183" s="22" t="n">
        <v>59</v>
      </c>
      <c r="N183" s="11" t="inlineStr">
        <is>
          <t>saída persistente</t>
        </is>
      </c>
      <c r="O183" s="11" t="inlineStr"/>
    </row>
    <row r="184">
      <c r="A184" s="11" t="inlineStr">
        <is>
          <t>A1 Hedge Prev Xp Seg Prev Ficfim Rl</t>
        </is>
      </c>
      <c r="B184" s="11" t="inlineStr">
        <is>
          <t>44.409.267/0001-02</t>
        </is>
      </c>
      <c r="C184" s="11" t="inlineStr">
        <is>
          <t>Multimercados</t>
        </is>
      </c>
      <c r="D184" s="11" t="inlineStr">
        <is>
          <t>XP VIDA E PREVIDÊNCIA S.A.</t>
        </is>
      </c>
      <c r="E184" s="11" t="inlineStr">
        <is>
          <t>xp</t>
        </is>
      </c>
      <c r="F184" s="19" t="n">
        <v>0</v>
      </c>
      <c r="G184" s="19" t="n">
        <v>0</v>
      </c>
      <c r="H184" s="19" t="n">
        <v>0</v>
      </c>
      <c r="I184" s="19" t="n">
        <v>1821115.65</v>
      </c>
      <c r="J184" s="19" t="n">
        <v>1796826.58</v>
      </c>
      <c r="K184" s="21" t="n">
        <v>0</v>
      </c>
      <c r="L184" s="21" t="n">
        <v>-1.33</v>
      </c>
      <c r="M184" s="22" t="n">
        <v>58</v>
      </c>
      <c r="N184" s="11" t="inlineStr">
        <is>
          <t>saída persistente</t>
        </is>
      </c>
      <c r="O184" s="11" t="inlineStr"/>
    </row>
    <row r="185">
      <c r="A185" s="11" t="inlineStr">
        <is>
          <t>Meraki Prev Brabus FICFIA RL</t>
        </is>
      </c>
      <c r="B185" s="11" t="inlineStr">
        <is>
          <t>55.575.058/0001-55</t>
        </is>
      </c>
      <c r="C185" s="11" t="inlineStr">
        <is>
          <t>Ações</t>
        </is>
      </c>
      <c r="D185" s="11" t="inlineStr">
        <is>
          <t>MERAKI CAPITAL GESTÃO DE RECURSOS LTDA.</t>
        </is>
      </c>
      <c r="E185" s="11" t="inlineStr">
        <is>
          <t>btg</t>
        </is>
      </c>
      <c r="F185" s="19" t="n">
        <v>0</v>
      </c>
      <c r="G185" s="19" t="n">
        <v>0</v>
      </c>
      <c r="H185" s="19" t="n">
        <v>0</v>
      </c>
      <c r="I185" s="19" t="n">
        <v>2046090.64</v>
      </c>
      <c r="J185" s="19" t="n">
        <v>2117418.61</v>
      </c>
      <c r="K185" s="21" t="n">
        <v>0</v>
      </c>
      <c r="L185" s="21" t="n">
        <v>3.49</v>
      </c>
      <c r="M185" s="22" t="n">
        <v>59</v>
      </c>
      <c r="N185" s="11" t="inlineStr">
        <is>
          <t>saída persistente</t>
        </is>
      </c>
      <c r="O185" s="11" t="inlineStr"/>
    </row>
    <row r="186">
      <c r="A186" s="11" t="inlineStr">
        <is>
          <t>BTG Long Term Prev FIA FIE</t>
        </is>
      </c>
      <c r="B186" s="11" t="inlineStr">
        <is>
          <t>57.976.621/0001-22</t>
        </is>
      </c>
      <c r="C186" s="11" t="inlineStr">
        <is>
          <t>Ações</t>
        </is>
      </c>
      <c r="D186" s="11" t="inlineStr">
        <is>
          <t>BTG PACTUAL ASSET MANAGEMENT S/A DTVM</t>
        </is>
      </c>
      <c r="E186" s="11" t="inlineStr">
        <is>
          <t>btg</t>
        </is>
      </c>
      <c r="F186" s="19" t="n">
        <v>0</v>
      </c>
      <c r="G186" s="19" t="n">
        <v>0</v>
      </c>
      <c r="H186" s="19" t="n">
        <v>0</v>
      </c>
      <c r="I186" s="19" t="n">
        <v>8553528.4</v>
      </c>
      <c r="J186" s="19" t="n">
        <v>9014188</v>
      </c>
      <c r="K186" s="21" t="n">
        <v>0</v>
      </c>
      <c r="L186" s="21" t="n">
        <v>5.39</v>
      </c>
      <c r="M186" s="22" t="n">
        <v>59</v>
      </c>
      <c r="N186" s="11" t="inlineStr">
        <is>
          <t>saída persistente</t>
        </is>
      </c>
      <c r="O186" s="11" t="inlineStr"/>
    </row>
    <row r="187">
      <c r="A187" s="11" t="inlineStr">
        <is>
          <t>Bradesco Maple Valor Prev FIC FIA Access</t>
        </is>
      </c>
      <c r="B187" s="11" t="inlineStr">
        <is>
          <t>66.220.281/0001-04</t>
        </is>
      </c>
      <c r="C187" s="11" t="inlineStr">
        <is>
          <t>Ações</t>
        </is>
      </c>
      <c r="D187" s="11" t="inlineStr">
        <is>
          <t>BTG PACTUAL GESTÃO E CONSULTORIA DE INVESTIMENTOS LTDA</t>
        </is>
      </c>
      <c r="E187" s="11" t="inlineStr">
        <is>
          <t>btg</t>
        </is>
      </c>
      <c r="F187" s="19" t="n">
        <v>0</v>
      </c>
      <c r="G187" s="19" t="n">
        <v>0</v>
      </c>
      <c r="H187" s="19" t="n">
        <v>0</v>
      </c>
      <c r="I187" s="19" t="n">
        <v>1081169.37</v>
      </c>
      <c r="J187" s="19" t="n">
        <v>1149742.63</v>
      </c>
      <c r="K187" s="21" t="n">
        <v>0</v>
      </c>
      <c r="L187" s="21" t="n">
        <v>6.34</v>
      </c>
      <c r="M187" s="22" t="n">
        <v>59</v>
      </c>
      <c r="N187" s="11" t="inlineStr">
        <is>
          <t>saída persistente</t>
        </is>
      </c>
      <c r="O187" s="11" t="inlineStr"/>
    </row>
    <row r="188">
      <c r="A188" s="11" t="inlineStr">
        <is>
          <t>XP Advisory Portfolio Private III Prev FIM CP</t>
        </is>
      </c>
      <c r="B188" s="11" t="inlineStr">
        <is>
          <t>34.475.378/0001-63</t>
        </is>
      </c>
      <c r="C188" s="11" t="inlineStr">
        <is>
          <t>Multimercados</t>
        </is>
      </c>
      <c r="D188" s="11" t="inlineStr">
        <is>
          <t>XP ADVISORY GESTAO DE RECURSOS LTDA</t>
        </is>
      </c>
      <c r="E188" s="11" t="inlineStr">
        <is>
          <t>xp</t>
        </is>
      </c>
      <c r="F188" s="19" t="n">
        <v>0</v>
      </c>
      <c r="G188" s="19" t="n">
        <v>1239.42</v>
      </c>
      <c r="H188" s="23" t="n">
        <v>-1239.42</v>
      </c>
      <c r="I188" s="19" t="n">
        <v>7168518.83</v>
      </c>
      <c r="J188" s="19" t="n">
        <v>7420902.98</v>
      </c>
      <c r="K188" s="21" t="n">
        <v>-0.02</v>
      </c>
      <c r="L188" s="21" t="n">
        <v>3.54</v>
      </c>
      <c r="M188" s="22" t="n">
        <v>47</v>
      </c>
      <c r="N188" s="11" t="inlineStr">
        <is>
          <t>saída persistente</t>
        </is>
      </c>
      <c r="O188" s="11" t="inlineStr"/>
    </row>
    <row r="189">
      <c r="A189" s="11" t="inlineStr">
        <is>
          <t>Absolute Pace Prev FICFIA Access RL</t>
        </is>
      </c>
      <c r="B189" s="11" t="inlineStr">
        <is>
          <t>55.498.621/0001-39</t>
        </is>
      </c>
      <c r="C189" s="11" t="inlineStr">
        <is>
          <t>Ações</t>
        </is>
      </c>
      <c r="D189" s="11" t="inlineStr">
        <is>
          <t>BTG PACTUAL GESTÃO E CONSULTORIA DE INVESTIMENTOS LTDA</t>
        </is>
      </c>
      <c r="E189" s="11" t="inlineStr">
        <is>
          <t>btg</t>
        </is>
      </c>
      <c r="F189" s="19" t="n">
        <v>3687301.02</v>
      </c>
      <c r="G189" s="19" t="n">
        <v>3707475.01</v>
      </c>
      <c r="H189" s="23" t="n">
        <v>-20173.99</v>
      </c>
      <c r="I189" s="19" t="n">
        <v>70220296.27</v>
      </c>
      <c r="J189" s="19" t="n">
        <v>73461241.90000001</v>
      </c>
      <c r="K189" s="21" t="n">
        <v>-0.03</v>
      </c>
      <c r="L189" s="21" t="n">
        <v>4.61</v>
      </c>
      <c r="M189" s="22" t="n">
        <v>59</v>
      </c>
      <c r="N189" s="11" t="inlineStr">
        <is>
          <t>virou entrada</t>
        </is>
      </c>
      <c r="O189" s="11" t="inlineStr"/>
    </row>
    <row r="190">
      <c r="A190" s="11" t="inlineStr">
        <is>
          <t>Leblon 100 Icatu Prev FIM RL</t>
        </is>
      </c>
      <c r="B190" s="11" t="inlineStr">
        <is>
          <t>35.314.803/0001-03</t>
        </is>
      </c>
      <c r="C190" s="11" t="inlineStr">
        <is>
          <t>Multimercados</t>
        </is>
      </c>
      <c r="D190" s="11" t="inlineStr">
        <is>
          <t>LEBLON EQUITIES GESTAO DE RECURSOS LTDA</t>
        </is>
      </c>
      <c r="E190" s="11" t="inlineStr">
        <is>
          <t>btg</t>
        </is>
      </c>
      <c r="F190" s="19" t="n">
        <v>269997.18</v>
      </c>
      <c r="G190" s="19" t="n">
        <v>291431.18</v>
      </c>
      <c r="H190" s="23" t="n">
        <v>-21434</v>
      </c>
      <c r="I190" s="19" t="n">
        <v>10310959.37</v>
      </c>
      <c r="J190" s="19" t="n">
        <v>11148004.47</v>
      </c>
      <c r="K190" s="21" t="n">
        <v>-0.21</v>
      </c>
      <c r="L190" s="21" t="n">
        <v>10.1</v>
      </c>
      <c r="M190" s="22" t="n">
        <v>59</v>
      </c>
      <c r="N190" s="11" t="inlineStr">
        <is>
          <t>virou saída</t>
        </is>
      </c>
      <c r="O190" s="11" t="inlineStr"/>
    </row>
    <row r="191">
      <c r="A191" s="11" t="inlineStr">
        <is>
          <t>Athena XP Seg Prev 100 FIE FIA</t>
        </is>
      </c>
      <c r="B191" s="11" t="inlineStr">
        <is>
          <t>35.956.270/0001-55</t>
        </is>
      </c>
      <c r="C191" s="11" t="inlineStr">
        <is>
          <t>Ações</t>
        </is>
      </c>
      <c r="D191" s="11" t="inlineStr">
        <is>
          <t>SUL AMÉRICA INVESTIMENTOS GESTORA DE RECURSOS S.A.</t>
        </is>
      </c>
      <c r="E191" s="11" t="inlineStr">
        <is>
          <t>xp</t>
        </is>
      </c>
      <c r="F191" s="19" t="n">
        <v>462.66</v>
      </c>
      <c r="G191" s="19" t="n">
        <v>22781.36</v>
      </c>
      <c r="H191" s="23" t="n">
        <v>-22318.7</v>
      </c>
      <c r="I191" s="19" t="n">
        <v>1693112.93</v>
      </c>
      <c r="J191" s="19" t="n">
        <v>1669848.48</v>
      </c>
      <c r="K191" s="21" t="n">
        <v>-1.32</v>
      </c>
      <c r="L191" s="21" t="n">
        <v>-0</v>
      </c>
      <c r="M191" s="22" t="n">
        <v>59</v>
      </c>
      <c r="N191" s="11" t="inlineStr">
        <is>
          <t>virou entrada</t>
        </is>
      </c>
      <c r="O191" s="11" t="inlineStr"/>
    </row>
    <row r="192">
      <c r="A192" s="11" t="inlineStr">
        <is>
          <t>Drys Shelter Prev XP FIRF CP RL</t>
        </is>
      </c>
      <c r="B192" s="11" t="inlineStr">
        <is>
          <t>63.285.329/0001-66</t>
        </is>
      </c>
      <c r="C192" s="11" t="inlineStr">
        <is>
          <t>Renda Fixa</t>
        </is>
      </c>
      <c r="D192" s="11" t="inlineStr">
        <is>
          <t>DRYS CAPITAL LTDA</t>
        </is>
      </c>
      <c r="E192" s="11" t="inlineStr">
        <is>
          <t>xp</t>
        </is>
      </c>
      <c r="F192" s="19" t="n">
        <v>39276.09</v>
      </c>
      <c r="G192" s="19" t="n">
        <v>64625</v>
      </c>
      <c r="H192" s="23" t="n">
        <v>-25348.91</v>
      </c>
      <c r="I192" s="19" t="n">
        <v>13647978.56</v>
      </c>
      <c r="J192" s="19" t="n">
        <v>14050621.54</v>
      </c>
      <c r="K192" s="21" t="n">
        <v>-0.19</v>
      </c>
      <c r="L192" s="21" t="n">
        <v>3.14</v>
      </c>
      <c r="M192" s="22" t="n">
        <v>59</v>
      </c>
      <c r="N192" s="11" t="inlineStr">
        <is>
          <t>virou entrada</t>
        </is>
      </c>
      <c r="O192" s="11" t="inlineStr"/>
    </row>
    <row r="193">
      <c r="A193" s="11" t="inlineStr">
        <is>
          <t>Icatu Vanguarda LB Qualificado FIE I Prev FICFIM de FIM CrPr RL</t>
        </is>
      </c>
      <c r="B193" s="11" t="inlineStr">
        <is>
          <t>37.821.575/0001-85</t>
        </is>
      </c>
      <c r="C193" s="11" t="inlineStr">
        <is>
          <t>Multimercados</t>
        </is>
      </c>
      <c r="D193" s="11" t="inlineStr">
        <is>
          <t>ICATU SEGUROS S/A</t>
        </is>
      </c>
      <c r="E193" s="11" t="inlineStr">
        <is>
          <t>btg</t>
        </is>
      </c>
      <c r="F193" s="19" t="n">
        <v>9391.639999999999</v>
      </c>
      <c r="G193" s="19" t="n">
        <v>40198.39</v>
      </c>
      <c r="H193" s="23" t="n">
        <v>-30806.75</v>
      </c>
      <c r="I193" s="19" t="n">
        <v>2757754.18</v>
      </c>
      <c r="J193" s="19" t="n">
        <v>2802965.63</v>
      </c>
      <c r="K193" s="21" t="n">
        <v>-1.12</v>
      </c>
      <c r="L193" s="21" t="n">
        <v>3.02</v>
      </c>
      <c r="M193" s="22" t="n">
        <v>59</v>
      </c>
      <c r="N193" s="11" t="inlineStr">
        <is>
          <t>saída persistente</t>
        </is>
      </c>
      <c r="O193" s="11" t="inlineStr"/>
    </row>
    <row r="194">
      <c r="A194" s="11" t="inlineStr">
        <is>
          <t>Patria Pioneiro Long Only 100 Icatu Qualificado Prev FIE FICFIM RL</t>
        </is>
      </c>
      <c r="B194" s="11" t="inlineStr">
        <is>
          <t>42.774.044/0001-19</t>
        </is>
      </c>
      <c r="C194" s="11" t="inlineStr">
        <is>
          <t>Multimercados</t>
        </is>
      </c>
      <c r="D194" s="11" t="inlineStr">
        <is>
          <t>PÁTRIA INVESTIMENTOS LTDA.</t>
        </is>
      </c>
      <c r="E194" s="11" t="inlineStr">
        <is>
          <t>btg</t>
        </is>
      </c>
      <c r="F194" s="19" t="n">
        <v>81475.42999999999</v>
      </c>
      <c r="G194" s="19" t="n">
        <v>112310.56</v>
      </c>
      <c r="H194" s="23" t="n">
        <v>-30835.13</v>
      </c>
      <c r="I194" s="19" t="n">
        <v>2578429.94</v>
      </c>
      <c r="J194" s="19" t="n">
        <v>2668960.92</v>
      </c>
      <c r="K194" s="21" t="n">
        <v>-1.2</v>
      </c>
      <c r="L194" s="21" t="n">
        <v>4.67</v>
      </c>
      <c r="M194" s="22" t="n">
        <v>59</v>
      </c>
      <c r="N194" s="11" t="inlineStr">
        <is>
          <t>virou saída</t>
        </is>
      </c>
      <c r="O194" s="11" t="inlineStr"/>
    </row>
    <row r="195">
      <c r="A195" s="11" t="inlineStr">
        <is>
          <t>JGP Ações 100 Prev XP Seg FIC FIA</t>
        </is>
      </c>
      <c r="B195" s="11" t="inlineStr">
        <is>
          <t>35.704.530/0001-03</t>
        </is>
      </c>
      <c r="C195" s="11" t="inlineStr">
        <is>
          <t>Ações</t>
        </is>
      </c>
      <c r="D195" s="11" t="inlineStr">
        <is>
          <t>JGP GESTÃO DE RECURSOS LTDA</t>
        </is>
      </c>
      <c r="E195" s="11" t="inlineStr">
        <is>
          <t>xp</t>
        </is>
      </c>
      <c r="F195" s="19" t="n">
        <v>0</v>
      </c>
      <c r="G195" s="19" t="n">
        <v>33677.9</v>
      </c>
      <c r="H195" s="23" t="n">
        <v>-33677.9</v>
      </c>
      <c r="I195" s="19" t="n">
        <v>1204717.7</v>
      </c>
      <c r="J195" s="19" t="n">
        <v>1233447.46</v>
      </c>
      <c r="K195" s="21" t="n">
        <v>-2.8</v>
      </c>
      <c r="L195" s="21" t="n">
        <v>3.53</v>
      </c>
      <c r="M195" s="22" t="n">
        <v>59</v>
      </c>
      <c r="N195" s="11" t="inlineStr">
        <is>
          <t>saída persistente</t>
        </is>
      </c>
      <c r="O195" s="11" t="inlineStr"/>
    </row>
    <row r="196">
      <c r="A196" s="11" t="inlineStr">
        <is>
          <t>Daemon Ethos Icatu Prev IQ FIE FICFIM</t>
        </is>
      </c>
      <c r="B196" s="11" t="inlineStr">
        <is>
          <t>50.698.062/0001-97</t>
        </is>
      </c>
      <c r="C196" s="11" t="inlineStr">
        <is>
          <t>Multimercados</t>
        </is>
      </c>
      <c r="D196" s="11" t="inlineStr">
        <is>
          <t>DAEMON INVESTIMENTOS LTDA.</t>
        </is>
      </c>
      <c r="E196" s="11" t="inlineStr">
        <is>
          <t>btg</t>
        </is>
      </c>
      <c r="F196" s="19" t="n">
        <v>0</v>
      </c>
      <c r="G196" s="19" t="n">
        <v>33926.45</v>
      </c>
      <c r="H196" s="23" t="n">
        <v>-33926.45</v>
      </c>
      <c r="I196" s="19" t="n">
        <v>1761775.82</v>
      </c>
      <c r="J196" s="19" t="n">
        <v>1736207.15</v>
      </c>
      <c r="K196" s="21" t="n">
        <v>-1.93</v>
      </c>
      <c r="L196" s="21" t="n">
        <v>0.49</v>
      </c>
      <c r="M196" s="22" t="n">
        <v>59</v>
      </c>
      <c r="N196" s="11" t="inlineStr">
        <is>
          <t>saída persistente</t>
        </is>
      </c>
      <c r="O196" s="11" t="inlineStr"/>
    </row>
    <row r="197">
      <c r="A197" s="11" t="inlineStr">
        <is>
          <t>Equitas Prev II Icatu FICFIA RL</t>
        </is>
      </c>
      <c r="B197" s="11" t="inlineStr">
        <is>
          <t>35.354.896/0001-91</t>
        </is>
      </c>
      <c r="C197" s="11" t="inlineStr">
        <is>
          <t>Ações</t>
        </is>
      </c>
      <c r="D197" s="11" t="inlineStr">
        <is>
          <t>DRYS CAPITAL LTDA</t>
        </is>
      </c>
      <c r="E197" s="11" t="inlineStr">
        <is>
          <t>btg</t>
        </is>
      </c>
      <c r="F197" s="19" t="n">
        <v>0</v>
      </c>
      <c r="G197" s="19" t="n">
        <v>35000</v>
      </c>
      <c r="H197" s="23" t="n">
        <v>-35000</v>
      </c>
      <c r="I197" s="19" t="n">
        <v>2882324.66</v>
      </c>
      <c r="J197" s="19" t="n">
        <v>2735393.17</v>
      </c>
      <c r="K197" s="21" t="n">
        <v>-1.21</v>
      </c>
      <c r="L197" s="21" t="n">
        <v>-5.1</v>
      </c>
      <c r="M197" s="22" t="n">
        <v>59</v>
      </c>
      <c r="N197" s="11" t="inlineStr">
        <is>
          <t>saída persistente</t>
        </is>
      </c>
      <c r="O197" s="11" t="inlineStr"/>
    </row>
    <row r="198">
      <c r="A198" s="11" t="inlineStr">
        <is>
          <t>Quantitas Prev FICFIM Access CrPr RL</t>
        </is>
      </c>
      <c r="B198" s="11" t="inlineStr">
        <is>
          <t>57.378.527/0001-71</t>
        </is>
      </c>
      <c r="C198" s="11" t="inlineStr">
        <is>
          <t>Multimercados</t>
        </is>
      </c>
      <c r="D198" s="11" t="inlineStr">
        <is>
          <t>BTG PACTUAL GESTÃO E CONSULTORIA DE INVESTIMENTOS LTDA</t>
        </is>
      </c>
      <c r="E198" s="11" t="inlineStr">
        <is>
          <t>btg</t>
        </is>
      </c>
      <c r="F198" s="19" t="n">
        <v>3230.23</v>
      </c>
      <c r="G198" s="19" t="n">
        <v>41898.81</v>
      </c>
      <c r="H198" s="23" t="n">
        <v>-38668.58</v>
      </c>
      <c r="I198" s="19" t="n">
        <v>3890650.46</v>
      </c>
      <c r="J198" s="19" t="n">
        <v>4036821.96</v>
      </c>
      <c r="K198" s="21" t="n">
        <v>-0.99</v>
      </c>
      <c r="L198" s="21" t="n">
        <v>4.79</v>
      </c>
      <c r="M198" s="22" t="n">
        <v>59</v>
      </c>
      <c r="N198" s="11" t="inlineStr">
        <is>
          <t>virou entrada</t>
        </is>
      </c>
      <c r="O198" s="11" t="inlineStr"/>
    </row>
    <row r="199">
      <c r="A199" s="11" t="inlineStr">
        <is>
          <t>Az Quest Small Mid Caps XP Seg Prev FIE FIC FIA RL</t>
        </is>
      </c>
      <c r="B199" s="11" t="inlineStr">
        <is>
          <t>43.779.069/0001-78</t>
        </is>
      </c>
      <c r="C199" s="11" t="inlineStr">
        <is>
          <t>Ações</t>
        </is>
      </c>
      <c r="D199" s="11" t="inlineStr">
        <is>
          <t>XP VIDA E PREVIDÊNCIA S.A.</t>
        </is>
      </c>
      <c r="E199" s="11" t="inlineStr">
        <is>
          <t>xp</t>
        </is>
      </c>
      <c r="F199" s="19" t="n">
        <v>10424.45</v>
      </c>
      <c r="G199" s="19" t="n">
        <v>57327.59</v>
      </c>
      <c r="H199" s="23" t="n">
        <v>-46903.14</v>
      </c>
      <c r="I199" s="19" t="n">
        <v>9383736.83</v>
      </c>
      <c r="J199" s="19" t="n">
        <v>9641822.470000001</v>
      </c>
      <c r="K199" s="21" t="n">
        <v>-0.5</v>
      </c>
      <c r="L199" s="21" t="n">
        <v>3.28</v>
      </c>
      <c r="M199" s="22" t="n">
        <v>59</v>
      </c>
      <c r="N199" s="11" t="inlineStr">
        <is>
          <t>saída persistente</t>
        </is>
      </c>
      <c r="O199" s="11" t="inlineStr"/>
    </row>
    <row r="200">
      <c r="A200" s="11" t="inlineStr">
        <is>
          <t>ARX Income 100 XP Seg Prev FIC FIA</t>
        </is>
      </c>
      <c r="B200" s="11" t="inlineStr">
        <is>
          <t>34.461.754/0001-60</t>
        </is>
      </c>
      <c r="C200" s="11" t="inlineStr">
        <is>
          <t>Ações</t>
        </is>
      </c>
      <c r="D200" s="11" t="inlineStr">
        <is>
          <t>XP VIDA E PREVIDÊNCIA S.A.</t>
        </is>
      </c>
      <c r="E200" s="11" t="inlineStr">
        <is>
          <t>xp</t>
        </is>
      </c>
      <c r="F200" s="19" t="n">
        <v>1479717.64</v>
      </c>
      <c r="G200" s="19" t="n">
        <v>1527919.02</v>
      </c>
      <c r="H200" s="23" t="n">
        <v>-48201.38</v>
      </c>
      <c r="I200" s="19" t="n">
        <v>16791980.59</v>
      </c>
      <c r="J200" s="19" t="n">
        <v>18193212.67</v>
      </c>
      <c r="K200" s="21" t="n">
        <v>-0.29</v>
      </c>
      <c r="L200" s="21" t="n">
        <v>8.800000000000001</v>
      </c>
      <c r="M200" s="22" t="n">
        <v>59</v>
      </c>
      <c r="N200" s="11" t="inlineStr">
        <is>
          <t>virou saída</t>
        </is>
      </c>
      <c r="O200" s="11" t="inlineStr"/>
    </row>
    <row r="201">
      <c r="A201" s="11" t="inlineStr">
        <is>
          <t>Leblon 100 XP Seg Prev FIM</t>
        </is>
      </c>
      <c r="B201" s="11" t="inlineStr">
        <is>
          <t>34.462.068/0001-04</t>
        </is>
      </c>
      <c r="C201" s="11" t="inlineStr">
        <is>
          <t>Multimercados</t>
        </is>
      </c>
      <c r="D201" s="11" t="inlineStr">
        <is>
          <t>LEBLON EQUITIES GESTAO DE RECURSOS LTDA</t>
        </is>
      </c>
      <c r="E201" s="11" t="inlineStr">
        <is>
          <t>xp</t>
        </is>
      </c>
      <c r="F201" s="19" t="n">
        <v>137611.44</v>
      </c>
      <c r="G201" s="19" t="n">
        <v>185896.81</v>
      </c>
      <c r="H201" s="23" t="n">
        <v>-48285.37</v>
      </c>
      <c r="I201" s="19" t="n">
        <v>15124612.81</v>
      </c>
      <c r="J201" s="19" t="n">
        <v>16637160.05</v>
      </c>
      <c r="K201" s="21" t="n">
        <v>-0.32</v>
      </c>
      <c r="L201" s="21" t="n">
        <v>10.2</v>
      </c>
      <c r="M201" s="22" t="n">
        <v>59</v>
      </c>
      <c r="N201" s="11" t="inlineStr">
        <is>
          <t>saída persistente</t>
        </is>
      </c>
      <c r="O201" s="11" t="inlineStr"/>
    </row>
    <row r="202">
      <c r="A202" s="11" t="inlineStr">
        <is>
          <t>Santander Prev Icatu Strix Mult FIF RL</t>
        </is>
      </c>
      <c r="B202" s="11" t="inlineStr">
        <is>
          <t>17.340.337/0001-40</t>
        </is>
      </c>
      <c r="C202" s="11" t="inlineStr">
        <is>
          <t>Multimercados</t>
        </is>
      </c>
      <c r="D202" s="11" t="inlineStr">
        <is>
          <t>SANTANDER BRASIL GESTÃO DE RECURSOS LTDA</t>
        </is>
      </c>
      <c r="E202" s="11" t="inlineStr">
        <is>
          <t>btg</t>
        </is>
      </c>
      <c r="F202" s="19" t="n">
        <v>18714.03</v>
      </c>
      <c r="G202" s="19" t="n">
        <v>75210.47</v>
      </c>
      <c r="H202" s="23" t="n">
        <v>-56496.44</v>
      </c>
      <c r="I202" s="19" t="n">
        <v>2244173.22</v>
      </c>
      <c r="J202" s="19" t="n">
        <v>2241934.58</v>
      </c>
      <c r="K202" s="21" t="n">
        <v>-2.52</v>
      </c>
      <c r="L202" s="21" t="n">
        <v>2.42</v>
      </c>
      <c r="M202" s="22" t="n">
        <v>59</v>
      </c>
      <c r="N202" s="11" t="inlineStr">
        <is>
          <t>virou saída</t>
        </is>
      </c>
      <c r="O202" s="11" t="inlineStr"/>
    </row>
    <row r="203">
      <c r="A203" s="11" t="inlineStr">
        <is>
          <t>Truxt Valor XP Seguros Prev FICFIA</t>
        </is>
      </c>
      <c r="B203" s="11" t="inlineStr">
        <is>
          <t>37.893.248/0001-39</t>
        </is>
      </c>
      <c r="C203" s="11" t="inlineStr">
        <is>
          <t>Ações</t>
        </is>
      </c>
      <c r="D203" s="11" t="inlineStr">
        <is>
          <t>TRUXT INVESTIMENTOS LTDA.</t>
        </is>
      </c>
      <c r="E203" s="11" t="inlineStr">
        <is>
          <t>xp</t>
        </is>
      </c>
      <c r="F203" s="19" t="n">
        <v>4596.57</v>
      </c>
      <c r="G203" s="19" t="n">
        <v>64803.42</v>
      </c>
      <c r="H203" s="23" t="n">
        <v>-60206.85</v>
      </c>
      <c r="I203" s="19" t="n">
        <v>3379166.63</v>
      </c>
      <c r="J203" s="19" t="n">
        <v>3510205.11</v>
      </c>
      <c r="K203" s="21" t="n">
        <v>-1.78</v>
      </c>
      <c r="L203" s="21" t="n">
        <v>7.12</v>
      </c>
      <c r="M203" s="22" t="n">
        <v>59</v>
      </c>
      <c r="N203" s="11" t="inlineStr">
        <is>
          <t>virou entrada</t>
        </is>
      </c>
      <c r="O203" s="11" t="inlineStr"/>
    </row>
    <row r="204">
      <c r="A204" s="11" t="inlineStr">
        <is>
          <t>Safari Prev 100 XP Seg FIM FIE</t>
        </is>
      </c>
      <c r="B204" s="11" t="inlineStr">
        <is>
          <t>33.378.232/0001-37</t>
        </is>
      </c>
      <c r="C204" s="11" t="inlineStr">
        <is>
          <t>Multimercados</t>
        </is>
      </c>
      <c r="D204" s="11" t="inlineStr">
        <is>
          <t>SAFARI CAPITAL GESTÃO DE RECURSOS LTDA.</t>
        </is>
      </c>
      <c r="E204" s="11" t="inlineStr">
        <is>
          <t>xp</t>
        </is>
      </c>
      <c r="F204" s="19" t="n">
        <v>11728.86</v>
      </c>
      <c r="G204" s="19" t="n">
        <v>72720.58</v>
      </c>
      <c r="H204" s="23" t="n">
        <v>-60991.72</v>
      </c>
      <c r="I204" s="19" t="n">
        <v>2887171.74</v>
      </c>
      <c r="J204" s="19" t="n">
        <v>3024481.37</v>
      </c>
      <c r="K204" s="21" t="n">
        <v>-2.11</v>
      </c>
      <c r="L204" s="21" t="n">
        <v>7.05</v>
      </c>
      <c r="M204" s="22" t="n">
        <v>59</v>
      </c>
      <c r="N204" s="11" t="inlineStr">
        <is>
          <t>virou entrada</t>
        </is>
      </c>
      <c r="O204" s="11" t="inlineStr"/>
    </row>
    <row r="205">
      <c r="A205" s="11" t="inlineStr">
        <is>
          <t>Hashdex 40 Nasdaq Crypto Index Xp Seg Prev Ficfim Rl</t>
        </is>
      </c>
      <c r="B205" s="11" t="inlineStr">
        <is>
          <t>39.992.897/0001-12</t>
        </is>
      </c>
      <c r="C205" s="11" t="inlineStr">
        <is>
          <t>Multimercados</t>
        </is>
      </c>
      <c r="D205" s="11" t="inlineStr">
        <is>
          <t>XP VIDA E PREVIDÊNCIA S.A.</t>
        </is>
      </c>
      <c r="E205" s="11" t="inlineStr">
        <is>
          <t>xp</t>
        </is>
      </c>
      <c r="F205" s="19" t="n">
        <v>3536824.77</v>
      </c>
      <c r="G205" s="19" t="n">
        <v>3614763.3</v>
      </c>
      <c r="H205" s="23" t="n">
        <v>-77938.53</v>
      </c>
      <c r="I205" s="19" t="n">
        <v>98250835.72</v>
      </c>
      <c r="J205" s="19" t="n">
        <v>114379905.83</v>
      </c>
      <c r="K205" s="21" t="n">
        <v>-0.08</v>
      </c>
      <c r="L205" s="21" t="n">
        <v>16.7</v>
      </c>
      <c r="M205" s="22" t="n">
        <v>59</v>
      </c>
      <c r="N205" s="11" t="inlineStr">
        <is>
          <t>saída persistente</t>
        </is>
      </c>
      <c r="O205" s="11" t="inlineStr"/>
    </row>
    <row r="206">
      <c r="A206" s="11" t="inlineStr">
        <is>
          <t>Itau Macro Opportunities Mult Prev Dist. BTG FICFIM RL</t>
        </is>
      </c>
      <c r="B206" s="11" t="inlineStr">
        <is>
          <t>31.820.618/0001-21</t>
        </is>
      </c>
      <c r="C206" s="11" t="inlineStr">
        <is>
          <t>Multimercados</t>
        </is>
      </c>
      <c r="D206" s="11" t="inlineStr">
        <is>
          <t>ITAU UNIBANCO ASSET MANAGEMENT LTDA.</t>
        </is>
      </c>
      <c r="E206" s="11" t="inlineStr">
        <is>
          <t>btg</t>
        </is>
      </c>
      <c r="F206" s="19" t="n">
        <v>2141</v>
      </c>
      <c r="G206" s="19" t="n">
        <v>84697.57000000001</v>
      </c>
      <c r="H206" s="23" t="n">
        <v>-82556.57000000001</v>
      </c>
      <c r="I206" s="19" t="n">
        <v>5121677.5</v>
      </c>
      <c r="J206" s="19" t="n">
        <v>5144918.51</v>
      </c>
      <c r="K206" s="21" t="n">
        <v>-1.61</v>
      </c>
      <c r="L206" s="21" t="n">
        <v>2.09</v>
      </c>
      <c r="M206" s="22" t="n">
        <v>59</v>
      </c>
      <c r="N206" s="11" t="inlineStr">
        <is>
          <t>virou entrada</t>
        </is>
      </c>
      <c r="O206" s="11" t="inlineStr"/>
    </row>
    <row r="207">
      <c r="A207" s="11" t="inlineStr">
        <is>
          <t>Santander Prev Icatu Lark I RF Cred Privado FICFIF RL</t>
        </is>
      </c>
      <c r="B207" s="11" t="inlineStr">
        <is>
          <t>14.325.933/0001-63</t>
        </is>
      </c>
      <c r="C207" s="11" t="inlineStr">
        <is>
          <t>Renda Fixa</t>
        </is>
      </c>
      <c r="D207" s="11" t="inlineStr">
        <is>
          <t>SANTANDER BRASIL GESTÃO DE RECURSOS LTDA</t>
        </is>
      </c>
      <c r="E207" s="11" t="inlineStr">
        <is>
          <t>btg</t>
        </is>
      </c>
      <c r="F207" s="19" t="n">
        <v>72424.14</v>
      </c>
      <c r="G207" s="19" t="n">
        <v>163348.28</v>
      </c>
      <c r="H207" s="23" t="n">
        <v>-90924.14</v>
      </c>
      <c r="I207" s="19" t="n">
        <v>3789847.71</v>
      </c>
      <c r="J207" s="19" t="n">
        <v>3807787.18</v>
      </c>
      <c r="K207" s="21" t="n">
        <v>-2.4</v>
      </c>
      <c r="L207" s="21" t="n">
        <v>2.88</v>
      </c>
      <c r="M207" s="22" t="n">
        <v>59</v>
      </c>
      <c r="N207" s="11" t="inlineStr">
        <is>
          <t>virou saída</t>
        </is>
      </c>
      <c r="O207" s="11" t="inlineStr"/>
    </row>
    <row r="208">
      <c r="A208" s="11" t="inlineStr">
        <is>
          <t>Vista Long Biased Xp Seg Prev 1 Ficfim</t>
        </is>
      </c>
      <c r="B208" s="11" t="inlineStr">
        <is>
          <t>37.900.124/0001-33</t>
        </is>
      </c>
      <c r="C208" s="11" t="inlineStr">
        <is>
          <t>Multimercados</t>
        </is>
      </c>
      <c r="D208" s="11" t="inlineStr">
        <is>
          <t>XP GESTÃO DE RECURSOS LTDA</t>
        </is>
      </c>
      <c r="E208" s="11" t="inlineStr">
        <is>
          <t>xp</t>
        </is>
      </c>
      <c r="F208" s="19" t="n">
        <v>1500</v>
      </c>
      <c r="G208" s="19" t="n">
        <v>103875.37</v>
      </c>
      <c r="H208" s="23" t="n">
        <v>-102375.37</v>
      </c>
      <c r="I208" s="19" t="n">
        <v>1797872.5</v>
      </c>
      <c r="J208" s="19" t="n">
        <v>1675918.27</v>
      </c>
      <c r="K208" s="21" t="n">
        <v>-5.69</v>
      </c>
      <c r="L208" s="21" t="n">
        <v>-1.08</v>
      </c>
      <c r="M208" s="22" t="n">
        <v>59</v>
      </c>
      <c r="N208" s="11" t="inlineStr">
        <is>
          <t>virou entrada</t>
        </is>
      </c>
      <c r="O208" s="11" t="inlineStr"/>
    </row>
    <row r="209">
      <c r="A209" s="11" t="inlineStr">
        <is>
          <t>Indie 100 Xp Seg Prev Ficfim Rl</t>
        </is>
      </c>
      <c r="B209" s="11" t="inlineStr">
        <is>
          <t>40.655.014/0001-68</t>
        </is>
      </c>
      <c r="C209" s="11" t="inlineStr">
        <is>
          <t>Multimercados</t>
        </is>
      </c>
      <c r="D209" s="11" t="inlineStr">
        <is>
          <t>XP VIDA E PREVIDÊNCIA S.A.</t>
        </is>
      </c>
      <c r="E209" s="11" t="inlineStr">
        <is>
          <t>xp</t>
        </is>
      </c>
      <c r="F209" s="19" t="n">
        <v>61082.71</v>
      </c>
      <c r="G209" s="19" t="n">
        <v>168697.07</v>
      </c>
      <c r="H209" s="23" t="n">
        <v>-107614.36</v>
      </c>
      <c r="I209" s="19" t="n">
        <v>1731810.41</v>
      </c>
      <c r="J209" s="19" t="n">
        <v>1673968.23</v>
      </c>
      <c r="K209" s="21" t="n">
        <v>-6.21</v>
      </c>
      <c r="L209" s="21" t="n">
        <v>2.84</v>
      </c>
      <c r="M209" s="22" t="n">
        <v>59</v>
      </c>
      <c r="N209" s="11" t="inlineStr">
        <is>
          <t>saída persistente</t>
        </is>
      </c>
      <c r="O209" s="11" t="inlineStr"/>
    </row>
    <row r="210">
      <c r="A210" s="11" t="inlineStr">
        <is>
          <t>Safari Prev FICFIM RL</t>
        </is>
      </c>
      <c r="B210" s="11" t="inlineStr">
        <is>
          <t>23.502.724/0001-39</t>
        </is>
      </c>
      <c r="C210" s="11" t="inlineStr">
        <is>
          <t>Multimercados</t>
        </is>
      </c>
      <c r="D210" s="11" t="inlineStr">
        <is>
          <t>SAFARI CAPITAL GESTÃO DE RECURSOS LTDA.</t>
        </is>
      </c>
      <c r="E210" s="11" t="inlineStr">
        <is>
          <t>btg</t>
        </is>
      </c>
      <c r="F210" s="19" t="n">
        <v>16283.23</v>
      </c>
      <c r="G210" s="19" t="n">
        <v>136652.44</v>
      </c>
      <c r="H210" s="23" t="n">
        <v>-120369.21</v>
      </c>
      <c r="I210" s="19" t="n">
        <v>3708397.63</v>
      </c>
      <c r="J210" s="19" t="n">
        <v>3790182.47</v>
      </c>
      <c r="K210" s="21" t="n">
        <v>-3.25</v>
      </c>
      <c r="L210" s="21" t="n">
        <v>5.6</v>
      </c>
      <c r="M210" s="22" t="n">
        <v>59</v>
      </c>
      <c r="N210" s="11" t="inlineStr">
        <is>
          <t>saída persistente</t>
        </is>
      </c>
      <c r="O210" s="11" t="inlineStr"/>
    </row>
    <row r="211">
      <c r="A211" s="11" t="inlineStr">
        <is>
          <t>Encore Long Bias BTG Prev 100 Prev FICFIM Access RL</t>
        </is>
      </c>
      <c r="B211" s="11" t="inlineStr">
        <is>
          <t>51.389.615/0001-92</t>
        </is>
      </c>
      <c r="C211" s="11" t="inlineStr">
        <is>
          <t>Multimercados</t>
        </is>
      </c>
      <c r="D211" s="11" t="inlineStr">
        <is>
          <t>BTG PACTUAL GESTÃO E CONSULTORIA DE INVESTIMENTOS LTDA</t>
        </is>
      </c>
      <c r="E211" s="11" t="inlineStr">
        <is>
          <t>btg</t>
        </is>
      </c>
      <c r="F211" s="19" t="n">
        <v>721575.71</v>
      </c>
      <c r="G211" s="19" t="n">
        <v>848898.23</v>
      </c>
      <c r="H211" s="23" t="n">
        <v>-127322.52</v>
      </c>
      <c r="I211" s="19" t="n">
        <v>16411724.44</v>
      </c>
      <c r="J211" s="19" t="n">
        <v>16952798.87</v>
      </c>
      <c r="K211" s="21" t="n">
        <v>-0.78</v>
      </c>
      <c r="L211" s="21" t="n">
        <v>3.87</v>
      </c>
      <c r="M211" s="22" t="n">
        <v>59</v>
      </c>
      <c r="N211" s="11" t="inlineStr">
        <is>
          <t>virou entrada</t>
        </is>
      </c>
      <c r="O211" s="11" t="inlineStr"/>
    </row>
    <row r="212">
      <c r="A212" s="11" t="inlineStr">
        <is>
          <t>Gauss Panorama Xp Seg Iq Prev Ficfim Cp Rl</t>
        </is>
      </c>
      <c r="B212" s="11" t="inlineStr">
        <is>
          <t>43.215.421/0001-42</t>
        </is>
      </c>
      <c r="C212" s="11" t="inlineStr">
        <is>
          <t>Multimercados</t>
        </is>
      </c>
      <c r="D212" s="11" t="inlineStr">
        <is>
          <t>XP VIDA E PREVIDÊNCIA S.A.</t>
        </is>
      </c>
      <c r="E212" s="11" t="inlineStr">
        <is>
          <t>xp</t>
        </is>
      </c>
      <c r="F212" s="19" t="n">
        <v>93829.2</v>
      </c>
      <c r="G212" s="19" t="n">
        <v>222481.25</v>
      </c>
      <c r="H212" s="23" t="n">
        <v>-128652.05</v>
      </c>
      <c r="I212" s="19" t="n">
        <v>14759982.75</v>
      </c>
      <c r="J212" s="19" t="n">
        <v>14990022.46</v>
      </c>
      <c r="K212" s="21" t="n">
        <v>-0.87</v>
      </c>
      <c r="L212" s="21" t="n">
        <v>2.43</v>
      </c>
      <c r="M212" s="22" t="n">
        <v>57</v>
      </c>
      <c r="N212" s="11" t="inlineStr">
        <is>
          <t>virou saída</t>
        </is>
      </c>
      <c r="O212" s="11" t="inlineStr"/>
    </row>
    <row r="213">
      <c r="A213" s="11" t="inlineStr">
        <is>
          <t>Butia Excellence Prev FICFIM RL</t>
        </is>
      </c>
      <c r="B213" s="11" t="inlineStr">
        <is>
          <t>28.819.628/0001-32</t>
        </is>
      </c>
      <c r="C213" s="11" t="inlineStr">
        <is>
          <t>Multimercados</t>
        </is>
      </c>
      <c r="D213" s="11" t="inlineStr">
        <is>
          <t>BUTIÁ GESTÃO DE INVESTIMENTOS LTDA.</t>
        </is>
      </c>
      <c r="E213" s="11" t="inlineStr">
        <is>
          <t>btg</t>
        </is>
      </c>
      <c r="F213" s="19" t="n">
        <v>125706.92</v>
      </c>
      <c r="G213" s="19" t="n">
        <v>263993.59</v>
      </c>
      <c r="H213" s="23" t="n">
        <v>-138286.67</v>
      </c>
      <c r="I213" s="19" t="n">
        <v>117666110.93</v>
      </c>
      <c r="J213" s="19" t="n">
        <v>120951107.91</v>
      </c>
      <c r="K213" s="21" t="n">
        <v>-0.12</v>
      </c>
      <c r="L213" s="21" t="n">
        <v>2.91</v>
      </c>
      <c r="M213" s="22" t="n">
        <v>59</v>
      </c>
      <c r="N213" s="11" t="inlineStr">
        <is>
          <t>virou entrada</t>
        </is>
      </c>
      <c r="O213" s="11" t="inlineStr"/>
    </row>
    <row r="214">
      <c r="A214" s="11" t="inlineStr">
        <is>
          <t>More Premium FIE Prev Fundo CrPr RL</t>
        </is>
      </c>
      <c r="B214" s="11" t="inlineStr">
        <is>
          <t>48.701.785/0001-56</t>
        </is>
      </c>
      <c r="C214" s="11" t="inlineStr">
        <is>
          <t>Renda Fixa</t>
        </is>
      </c>
      <c r="D214" s="11" t="inlineStr">
        <is>
          <t>MORE INVEST GESTORA DE RECURSOS LTDA.</t>
        </is>
      </c>
      <c r="E214" s="11" t="inlineStr">
        <is>
          <t>btg</t>
        </is>
      </c>
      <c r="F214" s="19" t="n">
        <v>94648.47</v>
      </c>
      <c r="G214" s="19" t="n">
        <v>350000</v>
      </c>
      <c r="H214" s="23" t="n">
        <v>-255351.53</v>
      </c>
      <c r="I214" s="19" t="n">
        <v>23355736.88</v>
      </c>
      <c r="J214" s="19" t="n">
        <v>23809972.79</v>
      </c>
      <c r="K214" s="21" t="n">
        <v>-1.09</v>
      </c>
      <c r="L214" s="21" t="n">
        <v>3.06</v>
      </c>
      <c r="M214" s="22" t="n">
        <v>59</v>
      </c>
      <c r="N214" s="11" t="inlineStr">
        <is>
          <t>virou entrada</t>
        </is>
      </c>
      <c r="O214" s="11" t="inlineStr"/>
    </row>
    <row r="215">
      <c r="A215" s="11" t="inlineStr">
        <is>
          <t>Icatu Vanguarda Hedge FIM Prev RL</t>
        </is>
      </c>
      <c r="B215" s="11" t="inlineStr">
        <is>
          <t>28.557.920/0001-24</t>
        </is>
      </c>
      <c r="C215" s="11" t="inlineStr">
        <is>
          <t>Multimercados</t>
        </is>
      </c>
      <c r="D215" s="11" t="inlineStr">
        <is>
          <t>ICATU VANGUARDA GESTÃO DE RECURSOS LTDA</t>
        </is>
      </c>
      <c r="E215" s="11" t="inlineStr">
        <is>
          <t>btg</t>
        </is>
      </c>
      <c r="F215" s="19" t="n">
        <v>241877.7</v>
      </c>
      <c r="G215" s="19" t="n">
        <v>519940.02</v>
      </c>
      <c r="H215" s="23" t="n">
        <v>-278062.32</v>
      </c>
      <c r="I215" s="19" t="n">
        <v>7491505.87</v>
      </c>
      <c r="J215" s="19" t="n">
        <v>7401634.78</v>
      </c>
      <c r="K215" s="21" t="n">
        <v>-3.71</v>
      </c>
      <c r="L215" s="21" t="n">
        <v>2.69</v>
      </c>
      <c r="M215" s="22" t="n">
        <v>59</v>
      </c>
      <c r="N215" s="11" t="inlineStr">
        <is>
          <t>virou entrada</t>
        </is>
      </c>
      <c r="O215" s="11" t="inlineStr"/>
    </row>
    <row r="216">
      <c r="A216" s="11" t="inlineStr">
        <is>
          <t>Empiricus FoF Superprevidencia Multimercados Icatu Prev FIM RL</t>
        </is>
      </c>
      <c r="B216" s="11" t="inlineStr">
        <is>
          <t>47.350.604/0001-21</t>
        </is>
      </c>
      <c r="C216" s="11" t="inlineStr">
        <is>
          <t>Multimercados</t>
        </is>
      </c>
      <c r="D216" s="11" t="inlineStr">
        <is>
          <t>BTG PACTUAL GESTÃO E CONSULTORIA DE INVESTIMENTOS LTDA</t>
        </is>
      </c>
      <c r="E216" s="11" t="inlineStr">
        <is>
          <t>btg</t>
        </is>
      </c>
      <c r="F216" s="19" t="n">
        <v>33209.03</v>
      </c>
      <c r="G216" s="19" t="n">
        <v>313007.84</v>
      </c>
      <c r="H216" s="23" t="n">
        <v>-279798.81</v>
      </c>
      <c r="I216" s="19" t="n">
        <v>4932816.01</v>
      </c>
      <c r="J216" s="19" t="n">
        <v>4811656.8</v>
      </c>
      <c r="K216" s="21" t="n">
        <v>-5.67</v>
      </c>
      <c r="L216" s="21" t="n">
        <v>3.29</v>
      </c>
      <c r="M216" s="22" t="n">
        <v>59</v>
      </c>
      <c r="N216" s="11" t="inlineStr">
        <is>
          <t>saída persistente</t>
        </is>
      </c>
      <c r="O216" s="11" t="inlineStr"/>
    </row>
    <row r="217">
      <c r="A217" s="11" t="inlineStr">
        <is>
          <t>Icatu SEG Western Asset Prev FIM RL</t>
        </is>
      </c>
      <c r="B217" s="11" t="inlineStr">
        <is>
          <t>21.818.801/0001-39</t>
        </is>
      </c>
      <c r="C217" s="11" t="inlineStr">
        <is>
          <t>Multimercados</t>
        </is>
      </c>
      <c r="D217" s="11" t="inlineStr">
        <is>
          <t>Franklin Templeton Brasil Ltda.</t>
        </is>
      </c>
      <c r="E217" s="11" t="inlineStr">
        <is>
          <t>btg</t>
        </is>
      </c>
      <c r="F217" s="19" t="n">
        <v>278125.33</v>
      </c>
      <c r="G217" s="19" t="n">
        <v>566060.16</v>
      </c>
      <c r="H217" s="23" t="n">
        <v>-287934.83</v>
      </c>
      <c r="I217" s="19" t="n">
        <v>21076748.54</v>
      </c>
      <c r="J217" s="19" t="n">
        <v>20903766.17</v>
      </c>
      <c r="K217" s="21" t="n">
        <v>-1.37</v>
      </c>
      <c r="L217" s="21" t="n">
        <v>0.91</v>
      </c>
      <c r="M217" s="22" t="n">
        <v>59</v>
      </c>
      <c r="N217" s="11" t="inlineStr">
        <is>
          <t>virou entrada</t>
        </is>
      </c>
      <c r="O217" s="11" t="inlineStr"/>
    </row>
    <row r="218">
      <c r="A218" s="11" t="inlineStr">
        <is>
          <t>Riza Lotus Prev Fundo Access CrPr RL</t>
        </is>
      </c>
      <c r="B218" s="11" t="inlineStr">
        <is>
          <t>47.564.762/0001-84</t>
        </is>
      </c>
      <c r="C218" s="11" t="inlineStr">
        <is>
          <t>Renda Fixa</t>
        </is>
      </c>
      <c r="D218" s="11" t="inlineStr">
        <is>
          <t>BTG PACTUAL GESTÃO E CONSULTORIA DE INVESTIMENTOS LTDA</t>
        </is>
      </c>
      <c r="E218" s="11" t="inlineStr">
        <is>
          <t>btg</t>
        </is>
      </c>
      <c r="F218" s="19" t="n">
        <v>68135.88</v>
      </c>
      <c r="G218" s="19" t="n">
        <v>356139.66</v>
      </c>
      <c r="H218" s="23" t="n">
        <v>-288003.78</v>
      </c>
      <c r="I218" s="19" t="n">
        <v>8395983.560000001</v>
      </c>
      <c r="J218" s="19" t="n">
        <v>8380920.38</v>
      </c>
      <c r="K218" s="21" t="n">
        <v>-3.43</v>
      </c>
      <c r="L218" s="21" t="n">
        <v>3.29</v>
      </c>
      <c r="M218" s="22" t="n">
        <v>59</v>
      </c>
      <c r="N218" s="11" t="inlineStr">
        <is>
          <t>saída persistente</t>
        </is>
      </c>
      <c r="O218" s="11" t="inlineStr"/>
    </row>
    <row r="219">
      <c r="A219" s="11" t="inlineStr">
        <is>
          <t>XP Icatu Horizonte Macro Prev FIM</t>
        </is>
      </c>
      <c r="B219" s="11" t="inlineStr">
        <is>
          <t>18.927.174/0001-60</t>
        </is>
      </c>
      <c r="C219" s="11" t="inlineStr">
        <is>
          <t>Multimercados</t>
        </is>
      </c>
      <c r="D219" s="11" t="inlineStr">
        <is>
          <t>XP GESTÃO DE RECURSOS LTDA</t>
        </is>
      </c>
      <c r="E219" s="11" t="inlineStr">
        <is>
          <t>xp</t>
        </is>
      </c>
      <c r="F219" s="19" t="n">
        <v>40240.06</v>
      </c>
      <c r="G219" s="19" t="n">
        <v>356497.71</v>
      </c>
      <c r="H219" s="23" t="n">
        <v>-316257.65</v>
      </c>
      <c r="I219" s="19" t="n">
        <v>11511035.51</v>
      </c>
      <c r="J219" s="19" t="n">
        <v>11469018.82</v>
      </c>
      <c r="K219" s="21" t="n">
        <v>-2.75</v>
      </c>
      <c r="L219" s="21" t="n">
        <v>2.41</v>
      </c>
      <c r="M219" s="22" t="n">
        <v>59</v>
      </c>
      <c r="N219" s="11" t="inlineStr">
        <is>
          <t>saída persistente</t>
        </is>
      </c>
      <c r="O219" s="11" t="inlineStr"/>
    </row>
    <row r="220">
      <c r="A220" s="11" t="inlineStr">
        <is>
          <t>Suno Ações Xp Seg Prev Fic Fim Rl</t>
        </is>
      </c>
      <c r="B220" s="11" t="inlineStr">
        <is>
          <t>44.814.968/0001-27</t>
        </is>
      </c>
      <c r="C220" s="11" t="inlineStr">
        <is>
          <t>Multimercados</t>
        </is>
      </c>
      <c r="D220" s="11" t="inlineStr">
        <is>
          <t>XP VIDA E PREVIDÊNCIA S.A.</t>
        </is>
      </c>
      <c r="E220" s="11" t="inlineStr">
        <is>
          <t>xp</t>
        </is>
      </c>
      <c r="F220" s="19" t="n">
        <v>310692.86</v>
      </c>
      <c r="G220" s="19" t="n">
        <v>631320.92</v>
      </c>
      <c r="H220" s="23" t="n">
        <v>-320628.06</v>
      </c>
      <c r="I220" s="19" t="n">
        <v>16174566.76</v>
      </c>
      <c r="J220" s="19" t="n">
        <v>16708388.27</v>
      </c>
      <c r="K220" s="21" t="n">
        <v>-1.98</v>
      </c>
      <c r="L220" s="21" t="n">
        <v>5.43</v>
      </c>
      <c r="M220" s="22" t="n">
        <v>55</v>
      </c>
      <c r="N220" s="11" t="inlineStr">
        <is>
          <t>virou entrada</t>
        </is>
      </c>
      <c r="O220" s="11" t="inlineStr"/>
    </row>
    <row r="221">
      <c r="A221" s="11" t="inlineStr">
        <is>
          <t>Tivio Alt Light XP Seg Prev FI FIM CP RL</t>
        </is>
      </c>
      <c r="B221" s="11" t="inlineStr">
        <is>
          <t>53.991.177/0001-63</t>
        </is>
      </c>
      <c r="C221" s="11" t="inlineStr">
        <is>
          <t>Multimercados</t>
        </is>
      </c>
      <c r="D221" s="11" t="inlineStr">
        <is>
          <t>TIVIO CAPITAL DISTRIBUIDORA DE TITULOS E VALORES MOBILIARIOS S.A.</t>
        </is>
      </c>
      <c r="E221" s="11" t="inlineStr">
        <is>
          <t>xp</t>
        </is>
      </c>
      <c r="F221" s="19" t="n">
        <v>26441.05</v>
      </c>
      <c r="G221" s="19" t="n">
        <v>357409.44</v>
      </c>
      <c r="H221" s="23" t="n">
        <v>-330968.39</v>
      </c>
      <c r="I221" s="19" t="n">
        <v>26533590.21</v>
      </c>
      <c r="J221" s="19" t="n">
        <v>26919047.31</v>
      </c>
      <c r="K221" s="21" t="n">
        <v>-1.25</v>
      </c>
      <c r="L221" s="21" t="n">
        <v>2.71</v>
      </c>
      <c r="M221" s="22" t="n">
        <v>59</v>
      </c>
      <c r="N221" s="11" t="inlineStr">
        <is>
          <t>saída persistente</t>
        </is>
      </c>
      <c r="O221" s="11" t="inlineStr"/>
    </row>
    <row r="222">
      <c r="A222" s="11" t="inlineStr">
        <is>
          <t>Indie 100 Icatu Prev FICFIM RL</t>
        </is>
      </c>
      <c r="B222" s="11" t="inlineStr">
        <is>
          <t>35.844.884/0001-45</t>
        </is>
      </c>
      <c r="C222" s="11" t="inlineStr">
        <is>
          <t>Multimercados</t>
        </is>
      </c>
      <c r="D222" s="11" t="inlineStr">
        <is>
          <t>INDIE CAPITAL INVESTIMENTOS LTDA.</t>
        </is>
      </c>
      <c r="E222" s="11" t="inlineStr">
        <is>
          <t>btg</t>
        </is>
      </c>
      <c r="F222" s="19" t="n">
        <v>6947.26</v>
      </c>
      <c r="G222" s="19" t="n">
        <v>341427.7</v>
      </c>
      <c r="H222" s="23" t="n">
        <v>-334480.44</v>
      </c>
      <c r="I222" s="19" t="n">
        <v>7021217.24</v>
      </c>
      <c r="J222" s="19" t="n">
        <v>6957642.76</v>
      </c>
      <c r="K222" s="21" t="n">
        <v>-4.76</v>
      </c>
      <c r="L222" s="21" t="n">
        <v>4.09</v>
      </c>
      <c r="M222" s="22" t="n">
        <v>59</v>
      </c>
      <c r="N222" s="11" t="inlineStr">
        <is>
          <t>virou entrada</t>
        </is>
      </c>
      <c r="O222" s="11" t="inlineStr"/>
    </row>
    <row r="223">
      <c r="A223" s="11" t="inlineStr">
        <is>
          <t>Pacifico Macro Prev Advisory Xp Seg Fic Fim</t>
        </is>
      </c>
      <c r="B223" s="11" t="inlineStr">
        <is>
          <t>33.755.685/0001-35</t>
        </is>
      </c>
      <c r="C223" s="11" t="inlineStr">
        <is>
          <t>Multimercados</t>
        </is>
      </c>
      <c r="D223" s="11" t="inlineStr">
        <is>
          <t>BTG PACTUAL ASSET MANAGEMENT S/A DTVM</t>
        </is>
      </c>
      <c r="E223" s="11" t="inlineStr">
        <is>
          <t>xp</t>
        </is>
      </c>
      <c r="F223" s="19" t="n">
        <v>374.58</v>
      </c>
      <c r="G223" s="19" t="n">
        <v>350793.55</v>
      </c>
      <c r="H223" s="23" t="n">
        <v>-350418.97</v>
      </c>
      <c r="I223" s="19" t="n">
        <v>3962172.25</v>
      </c>
      <c r="J223" s="19" t="n">
        <v>3734975.23</v>
      </c>
      <c r="K223" s="21" t="n">
        <v>-8.84</v>
      </c>
      <c r="L223" s="21" t="n">
        <v>3.24</v>
      </c>
      <c r="M223" s="22" t="n">
        <v>59</v>
      </c>
      <c r="N223" s="11" t="inlineStr">
        <is>
          <t>saída persistente</t>
        </is>
      </c>
      <c r="O223" s="11" t="inlineStr"/>
    </row>
    <row r="224">
      <c r="A224" s="11" t="inlineStr">
        <is>
          <t>Apex Long Biased XP Seg Advisory Prev FIC FIM RL</t>
        </is>
      </c>
      <c r="B224" s="11" t="inlineStr">
        <is>
          <t>37.124.157/0001-39</t>
        </is>
      </c>
      <c r="C224" s="11" t="inlineStr">
        <is>
          <t>Multimercados</t>
        </is>
      </c>
      <c r="D224" s="11" t="inlineStr">
        <is>
          <t>XP VIDA E PREVIDÊNCIA S.A.</t>
        </is>
      </c>
      <c r="E224" s="11" t="inlineStr">
        <is>
          <t>xp</t>
        </is>
      </c>
      <c r="F224" s="19" t="n">
        <v>383.82</v>
      </c>
      <c r="G224" s="19" t="n">
        <v>364630.05</v>
      </c>
      <c r="H224" s="23" t="n">
        <v>-364246.23</v>
      </c>
      <c r="I224" s="19" t="n">
        <v>11045972.63</v>
      </c>
      <c r="J224" s="19" t="n">
        <v>11629570.37</v>
      </c>
      <c r="K224" s="21" t="n">
        <v>-3.3</v>
      </c>
      <c r="L224" s="21" t="n">
        <v>8.869999999999999</v>
      </c>
      <c r="M224" s="22" t="n">
        <v>59</v>
      </c>
      <c r="N224" s="11" t="inlineStr">
        <is>
          <t>saída persistente</t>
        </is>
      </c>
      <c r="O224" s="11" t="inlineStr"/>
    </row>
    <row r="225">
      <c r="A225" s="11" t="inlineStr">
        <is>
          <t>Forpus 100 Icatu Prev Qual FICFIA RL</t>
        </is>
      </c>
      <c r="B225" s="11" t="inlineStr">
        <is>
          <t>38.281.397/0001-00</t>
        </is>
      </c>
      <c r="C225" s="11" t="inlineStr">
        <is>
          <t>Ações</t>
        </is>
      </c>
      <c r="D225" s="11" t="inlineStr">
        <is>
          <t>FORPUS CAPITAL GESTÃO DE RECURSOS LTDA.</t>
        </is>
      </c>
      <c r="E225" s="11" t="inlineStr">
        <is>
          <t>btg</t>
        </is>
      </c>
      <c r="F225" s="19" t="n">
        <v>41029.58</v>
      </c>
      <c r="G225" s="19" t="n">
        <v>410377.65</v>
      </c>
      <c r="H225" s="23" t="n">
        <v>-369348.07</v>
      </c>
      <c r="I225" s="19" t="n">
        <v>10466759.88</v>
      </c>
      <c r="J225" s="19" t="n">
        <v>10336196.03</v>
      </c>
      <c r="K225" s="21" t="n">
        <v>-3.53</v>
      </c>
      <c r="L225" s="21" t="n">
        <v>2.3</v>
      </c>
      <c r="M225" s="22" t="n">
        <v>59</v>
      </c>
      <c r="N225" s="11" t="inlineStr">
        <is>
          <t>saída persistente</t>
        </is>
      </c>
      <c r="O225" s="11" t="inlineStr"/>
    </row>
    <row r="226">
      <c r="A226" s="11" t="inlineStr">
        <is>
          <t>Empiricus FoF Super Prev Yield FIM CrPr RL</t>
        </is>
      </c>
      <c r="B226" s="11" t="inlineStr">
        <is>
          <t>55.169.143/0001-13</t>
        </is>
      </c>
      <c r="C226" s="11" t="inlineStr">
        <is>
          <t>Multimercados</t>
        </is>
      </c>
      <c r="D226" s="11" t="inlineStr">
        <is>
          <t>BTG PACTUAL GESTÃO E CONSULTORIA DE INVESTIMENTOS LTDA</t>
        </is>
      </c>
      <c r="E226" s="11" t="inlineStr">
        <is>
          <t>btg</t>
        </is>
      </c>
      <c r="F226" s="19" t="n">
        <v>183465.93</v>
      </c>
      <c r="G226" s="19" t="n">
        <v>555648.22</v>
      </c>
      <c r="H226" s="23" t="n">
        <v>-372182.29</v>
      </c>
      <c r="I226" s="19" t="n">
        <v>27560416.33</v>
      </c>
      <c r="J226" s="19" t="n">
        <v>27989713.23</v>
      </c>
      <c r="K226" s="21" t="n">
        <v>-1.35</v>
      </c>
      <c r="L226" s="21" t="n">
        <v>2.93</v>
      </c>
      <c r="M226" s="22" t="n">
        <v>59</v>
      </c>
      <c r="N226" s="11" t="inlineStr">
        <is>
          <t>virou entrada</t>
        </is>
      </c>
      <c r="O226" s="11" t="inlineStr"/>
    </row>
    <row r="227">
      <c r="A227" s="11" t="inlineStr">
        <is>
          <t>Kinea Apolo Advisory Xp Seg Prev Fic Fim Rl</t>
        </is>
      </c>
      <c r="B227" s="11" t="inlineStr">
        <is>
          <t>35.162.484/0001-50</t>
        </is>
      </c>
      <c r="C227" s="11" t="inlineStr">
        <is>
          <t>Multimercados</t>
        </is>
      </c>
      <c r="D227" s="11" t="inlineStr">
        <is>
          <t>XP VIDA E PREVIDÊNCIA S.A.</t>
        </is>
      </c>
      <c r="E227" s="11" t="inlineStr">
        <is>
          <t>xp</t>
        </is>
      </c>
      <c r="F227" s="19" t="n">
        <v>8818421.49</v>
      </c>
      <c r="G227" s="19" t="n">
        <v>9217693.08</v>
      </c>
      <c r="H227" s="23" t="n">
        <v>-399271.59</v>
      </c>
      <c r="I227" s="19" t="n">
        <v>173366494.47</v>
      </c>
      <c r="J227" s="19" t="n">
        <v>178167109.63</v>
      </c>
      <c r="K227" s="21" t="n">
        <v>-0.23</v>
      </c>
      <c r="L227" s="21" t="n">
        <v>3.14</v>
      </c>
      <c r="M227" s="22" t="n">
        <v>59</v>
      </c>
      <c r="N227" s="11" t="inlineStr">
        <is>
          <t>virou entrada</t>
        </is>
      </c>
      <c r="O227" s="11" t="inlineStr"/>
    </row>
    <row r="228">
      <c r="A228" s="11" t="inlineStr">
        <is>
          <t>VRB Prev FIM CrPr RL</t>
        </is>
      </c>
      <c r="B228" s="11" t="inlineStr">
        <is>
          <t>56.047.238/0001-27</t>
        </is>
      </c>
      <c r="C228" s="11" t="inlineStr">
        <is>
          <t>Multimercados</t>
        </is>
      </c>
      <c r="D228" s="11" t="inlineStr">
        <is>
          <t>TERA INVESTIMENTOS LTDA.</t>
        </is>
      </c>
      <c r="E228" s="11" t="inlineStr">
        <is>
          <t>btg</t>
        </is>
      </c>
      <c r="F228" s="19" t="n">
        <v>148210.63</v>
      </c>
      <c r="G228" s="19" t="n">
        <v>555163.34</v>
      </c>
      <c r="H228" s="23" t="n">
        <v>-406952.71</v>
      </c>
      <c r="I228" s="19" t="n">
        <v>22757483.22</v>
      </c>
      <c r="J228" s="19" t="n">
        <v>22996090.32</v>
      </c>
      <c r="K228" s="21" t="n">
        <v>-1.79</v>
      </c>
      <c r="L228" s="21" t="n">
        <v>2.88</v>
      </c>
      <c r="M228" s="22" t="n">
        <v>59</v>
      </c>
      <c r="N228" s="11" t="inlineStr">
        <is>
          <t>virou entrada</t>
        </is>
      </c>
      <c r="O228" s="11" t="inlineStr"/>
    </row>
    <row r="229">
      <c r="A229" s="11" t="inlineStr">
        <is>
          <t>Kinea Dakar Xp Seg Fic Rf Lp</t>
        </is>
      </c>
      <c r="B229" s="11" t="inlineStr">
        <is>
          <t>52.998.678/0001-09</t>
        </is>
      </c>
      <c r="C229" s="11" t="inlineStr">
        <is>
          <t>Renda Fixa</t>
        </is>
      </c>
      <c r="D229" s="11" t="inlineStr">
        <is>
          <t>KINEA INVESTIMENTOS LTDA.</t>
        </is>
      </c>
      <c r="E229" s="11" t="inlineStr">
        <is>
          <t>xp</t>
        </is>
      </c>
      <c r="F229" s="19" t="n">
        <v>375229.2</v>
      </c>
      <c r="G229" s="19" t="n">
        <v>784524.66</v>
      </c>
      <c r="H229" s="23" t="n">
        <v>-409295.46</v>
      </c>
      <c r="I229" s="19" t="n">
        <v>13767171.09</v>
      </c>
      <c r="J229" s="19" t="n">
        <v>13806277.79</v>
      </c>
      <c r="K229" s="21" t="n">
        <v>-2.97</v>
      </c>
      <c r="L229" s="21" t="n">
        <v>3.32</v>
      </c>
      <c r="M229" s="22" t="n">
        <v>59</v>
      </c>
      <c r="N229" s="11" t="inlineStr">
        <is>
          <t>virou entrada</t>
        </is>
      </c>
      <c r="O229" s="11" t="inlineStr"/>
    </row>
    <row r="230">
      <c r="A230" s="11" t="inlineStr">
        <is>
          <t>Kinea Ações Advisory Xp Seg Prev Fic Fim Rl</t>
        </is>
      </c>
      <c r="B230" s="11" t="inlineStr">
        <is>
          <t>32.973.280/0001-00</t>
        </is>
      </c>
      <c r="C230" s="11" t="inlineStr">
        <is>
          <t>Ações</t>
        </is>
      </c>
      <c r="D230" s="11" t="inlineStr">
        <is>
          <t>XP VIDA E PREVIDÊNCIA S.A.</t>
        </is>
      </c>
      <c r="E230" s="11" t="inlineStr">
        <is>
          <t>xp</t>
        </is>
      </c>
      <c r="F230" s="19" t="n">
        <v>398234.01</v>
      </c>
      <c r="G230" s="19" t="n">
        <v>823406.98</v>
      </c>
      <c r="H230" s="23" t="n">
        <v>-425172.97</v>
      </c>
      <c r="I230" s="19" t="n">
        <v>8748905.01</v>
      </c>
      <c r="J230" s="19" t="n">
        <v>8862384.75</v>
      </c>
      <c r="K230" s="21" t="n">
        <v>-4.86</v>
      </c>
      <c r="L230" s="21" t="n">
        <v>6.46</v>
      </c>
      <c r="M230" s="22" t="n">
        <v>59</v>
      </c>
      <c r="N230" s="11" t="inlineStr">
        <is>
          <t>virou entrada</t>
        </is>
      </c>
      <c r="O230" s="11" t="inlineStr"/>
    </row>
    <row r="231">
      <c r="A231" s="11" t="inlineStr">
        <is>
          <t>Encore Long Biased 100 Xp Seg Prev Ficfim Rl</t>
        </is>
      </c>
      <c r="B231" s="11" t="inlineStr">
        <is>
          <t>41.866.111/0001-62</t>
        </is>
      </c>
      <c r="C231" s="11" t="inlineStr">
        <is>
          <t>Multimercados</t>
        </is>
      </c>
      <c r="D231" s="11" t="inlineStr">
        <is>
          <t>XP VIDA E PREVIDÊNCIA S.A.</t>
        </is>
      </c>
      <c r="E231" s="11" t="inlineStr">
        <is>
          <t>xp</t>
        </is>
      </c>
      <c r="F231" s="19" t="n">
        <v>1730112.47</v>
      </c>
      <c r="G231" s="19" t="n">
        <v>2156434.57</v>
      </c>
      <c r="H231" s="23" t="n">
        <v>-426322.1</v>
      </c>
      <c r="I231" s="19" t="n">
        <v>48970696.21</v>
      </c>
      <c r="J231" s="19" t="n">
        <v>50374420.19</v>
      </c>
      <c r="K231" s="21" t="n">
        <v>-0.87</v>
      </c>
      <c r="L231" s="21" t="n">
        <v>3.72</v>
      </c>
      <c r="M231" s="22" t="n">
        <v>57</v>
      </c>
      <c r="N231" s="11" t="inlineStr">
        <is>
          <t>saída persistente</t>
        </is>
      </c>
      <c r="O231" s="11" t="inlineStr"/>
    </row>
    <row r="232">
      <c r="A232" s="11" t="inlineStr">
        <is>
          <t>Mantaro LB Prev Advisory XP Seg FIC FIM</t>
        </is>
      </c>
      <c r="B232" s="11" t="inlineStr">
        <is>
          <t>36.327.253/0001-11</t>
        </is>
      </c>
      <c r="C232" s="11" t="inlineStr">
        <is>
          <t>Multimercados</t>
        </is>
      </c>
      <c r="D232" s="11" t="inlineStr">
        <is>
          <t>MANTARO CAPITAL LTDA</t>
        </is>
      </c>
      <c r="E232" s="11" t="inlineStr">
        <is>
          <t>xp</t>
        </is>
      </c>
      <c r="F232" s="19" t="n">
        <v>1051.72</v>
      </c>
      <c r="G232" s="19" t="n">
        <v>427636.25</v>
      </c>
      <c r="H232" s="23" t="n">
        <v>-426584.53</v>
      </c>
      <c r="I232" s="19" t="n">
        <v>1624284.55</v>
      </c>
      <c r="J232" s="19" t="n">
        <v>1270435.68</v>
      </c>
      <c r="K232" s="21" t="n">
        <v>-26.26</v>
      </c>
      <c r="L232" s="21" t="n">
        <v>5.29</v>
      </c>
      <c r="M232" s="22" t="n">
        <v>59</v>
      </c>
      <c r="N232" s="11" t="inlineStr">
        <is>
          <t>virou saída</t>
        </is>
      </c>
      <c r="O232" s="11" t="inlineStr"/>
    </row>
    <row r="233">
      <c r="A233" s="11" t="inlineStr">
        <is>
          <t>Vinci Equilibrio Prev FIM RL</t>
        </is>
      </c>
      <c r="B233" s="11" t="inlineStr">
        <is>
          <t>21.312.800/0001-18</t>
        </is>
      </c>
      <c r="C233" s="11" t="inlineStr">
        <is>
          <t>Multimercados</t>
        </is>
      </c>
      <c r="D233" s="11" t="inlineStr">
        <is>
          <t>VINCI SOLUÇÕES DE INVESTIMENTOS LTDA</t>
        </is>
      </c>
      <c r="E233" s="11" t="inlineStr">
        <is>
          <t>btg</t>
        </is>
      </c>
      <c r="F233" s="19" t="n">
        <v>174786.15</v>
      </c>
      <c r="G233" s="19" t="n">
        <v>608260.61</v>
      </c>
      <c r="H233" s="23" t="n">
        <v>-433474.46</v>
      </c>
      <c r="I233" s="19" t="n">
        <v>20148624.37</v>
      </c>
      <c r="J233" s="19" t="n">
        <v>20466894.56</v>
      </c>
      <c r="K233" s="21" t="n">
        <v>-2.15</v>
      </c>
      <c r="L233" s="21" t="n">
        <v>2.92</v>
      </c>
      <c r="M233" s="22" t="n">
        <v>59</v>
      </c>
      <c r="N233" s="11" t="inlineStr">
        <is>
          <t>virou entrada</t>
        </is>
      </c>
      <c r="O233" s="11" t="inlineStr"/>
    </row>
    <row r="234">
      <c r="A234" s="11" t="inlineStr">
        <is>
          <t>Canvas Icatu Prev FICFIM Prev RL</t>
        </is>
      </c>
      <c r="B234" s="11" t="inlineStr">
        <is>
          <t>24.405.282/0001-75</t>
        </is>
      </c>
      <c r="C234" s="11" t="inlineStr">
        <is>
          <t>Multimercados</t>
        </is>
      </c>
      <c r="D234" s="11" t="inlineStr">
        <is>
          <t>CANVAS CAPITAL S.A.</t>
        </is>
      </c>
      <c r="E234" s="11" t="inlineStr">
        <is>
          <t>btg</t>
        </is>
      </c>
      <c r="F234" s="19" t="n">
        <v>30017.05</v>
      </c>
      <c r="G234" s="19" t="n">
        <v>480458.82</v>
      </c>
      <c r="H234" s="23" t="n">
        <v>-450441.77</v>
      </c>
      <c r="I234" s="19" t="n">
        <v>6694498.82</v>
      </c>
      <c r="J234" s="19" t="n">
        <v>6374238.79</v>
      </c>
      <c r="K234" s="21" t="n">
        <v>-6.73</v>
      </c>
      <c r="L234" s="21" t="n">
        <v>3.59</v>
      </c>
      <c r="M234" s="22" t="n">
        <v>59</v>
      </c>
      <c r="N234" s="11" t="inlineStr">
        <is>
          <t>virou entrada</t>
        </is>
      </c>
      <c r="O234" s="11" t="inlineStr"/>
    </row>
    <row r="235">
      <c r="A235" s="11" t="inlineStr">
        <is>
          <t>ACE Capital Prev Icatu FICFIM RL</t>
        </is>
      </c>
      <c r="B235" s="11" t="inlineStr">
        <is>
          <t>48.212.959/0001-17</t>
        </is>
      </c>
      <c r="C235" s="11" t="inlineStr">
        <is>
          <t>Multimercados</t>
        </is>
      </c>
      <c r="D235" s="11" t="inlineStr">
        <is>
          <t>ACE CAPITAL GESTORA DE RECURSOS LTDA.</t>
        </is>
      </c>
      <c r="E235" s="11" t="inlineStr">
        <is>
          <t>btg</t>
        </is>
      </c>
      <c r="F235" s="19" t="n">
        <v>57603.1</v>
      </c>
      <c r="G235" s="19" t="n">
        <v>523385.46</v>
      </c>
      <c r="H235" s="23" t="n">
        <v>-465782.36</v>
      </c>
      <c r="I235" s="19" t="n">
        <v>6100600.54</v>
      </c>
      <c r="J235" s="19" t="n">
        <v>5782731.09</v>
      </c>
      <c r="K235" s="21" t="n">
        <v>-7.64</v>
      </c>
      <c r="L235" s="21" t="n">
        <v>2.77</v>
      </c>
      <c r="M235" s="22" t="n">
        <v>59</v>
      </c>
      <c r="N235" s="11" t="inlineStr">
        <is>
          <t>saída persistente</t>
        </is>
      </c>
      <c r="O235" s="11" t="inlineStr"/>
    </row>
    <row r="236">
      <c r="A236" s="11" t="inlineStr">
        <is>
          <t>Empiricus Icatu Carteira Universa Prev FIM CrPr RL</t>
        </is>
      </c>
      <c r="B236" s="11" t="inlineStr">
        <is>
          <t>36.517.971/0001-50</t>
        </is>
      </c>
      <c r="C236" s="11" t="inlineStr">
        <is>
          <t>Multimercados</t>
        </is>
      </c>
      <c r="D236" s="11" t="inlineStr">
        <is>
          <t>BTG PACTUAL ASSET MANAGEMENT S/A DTVM</t>
        </is>
      </c>
      <c r="E236" s="11" t="inlineStr">
        <is>
          <t>btg</t>
        </is>
      </c>
      <c r="F236" s="19" t="n">
        <v>116874.97</v>
      </c>
      <c r="G236" s="19" t="n">
        <v>591338.87</v>
      </c>
      <c r="H236" s="23" t="n">
        <v>-474463.9</v>
      </c>
      <c r="I236" s="19" t="n">
        <v>16542085.94</v>
      </c>
      <c r="J236" s="19" t="n">
        <v>16597663.01</v>
      </c>
      <c r="K236" s="21" t="n">
        <v>-2.87</v>
      </c>
      <c r="L236" s="21" t="n">
        <v>3.26</v>
      </c>
      <c r="M236" s="22" t="n">
        <v>59</v>
      </c>
      <c r="N236" s="11" t="inlineStr">
        <is>
          <t>saída persistente</t>
        </is>
      </c>
      <c r="O236" s="11" t="inlineStr"/>
    </row>
    <row r="237">
      <c r="A237" s="11" t="inlineStr">
        <is>
          <t>Novus Bolsa Macro Global Prev Xp Seg Ficfia</t>
        </is>
      </c>
      <c r="B237" s="11" t="inlineStr">
        <is>
          <t>38.035.023/0001-04</t>
        </is>
      </c>
      <c r="C237" s="11" t="inlineStr">
        <is>
          <t>Ações</t>
        </is>
      </c>
      <c r="D237" s="11" t="inlineStr">
        <is>
          <t>NOVUS CAPITAL GESTORA DE RECURSOS LTDA.</t>
        </is>
      </c>
      <c r="E237" s="11" t="inlineStr">
        <is>
          <t>xp</t>
        </is>
      </c>
      <c r="F237" s="19" t="n">
        <v>0</v>
      </c>
      <c r="G237" s="19" t="n">
        <v>501506.7</v>
      </c>
      <c r="H237" s="23" t="n">
        <v>-501506.7</v>
      </c>
      <c r="I237" s="19" t="n">
        <v>2228121.23</v>
      </c>
      <c r="J237" s="19" t="n">
        <v>1794998.28</v>
      </c>
      <c r="K237" s="21" t="n">
        <v>-22.51</v>
      </c>
      <c r="L237" s="21" t="n">
        <v>3.82</v>
      </c>
      <c r="M237" s="22" t="n">
        <v>58</v>
      </c>
      <c r="N237" s="11" t="inlineStr">
        <is>
          <t>saída persistente</t>
        </is>
      </c>
      <c r="O237" s="11" t="inlineStr"/>
    </row>
    <row r="238">
      <c r="A238" s="11" t="inlineStr">
        <is>
          <t>BTG Autoinvest Sofisticado Prev FIM CrPr RL</t>
        </is>
      </c>
      <c r="B238" s="11" t="inlineStr">
        <is>
          <t>20.332.753/0001-01</t>
        </is>
      </c>
      <c r="C238" s="11" t="inlineStr">
        <is>
          <t>Multimercados</t>
        </is>
      </c>
      <c r="D238" s="11" t="inlineStr">
        <is>
          <t>BTG PACTUAL GESTÃO E CONSULTORIA DE INVESTIMENTOS LTDA</t>
        </is>
      </c>
      <c r="E238" s="11" t="inlineStr">
        <is>
          <t>btg</t>
        </is>
      </c>
      <c r="F238" s="19" t="n">
        <v>2324991.95</v>
      </c>
      <c r="G238" s="19" t="n">
        <v>2830998.22</v>
      </c>
      <c r="H238" s="23" t="n">
        <v>-506006.27</v>
      </c>
      <c r="I238" s="19" t="n">
        <v>40787092.43</v>
      </c>
      <c r="J238" s="19" t="n">
        <v>41853249.77</v>
      </c>
      <c r="K238" s="21" t="n">
        <v>-1.24</v>
      </c>
      <c r="L238" s="21" t="n">
        <v>4.3</v>
      </c>
      <c r="M238" s="22" t="n">
        <v>59</v>
      </c>
      <c r="N238" s="11" t="inlineStr">
        <is>
          <t>virou entrada</t>
        </is>
      </c>
      <c r="O238" s="11" t="inlineStr"/>
    </row>
    <row r="239">
      <c r="A239" s="11" t="inlineStr">
        <is>
          <t>Regia Acoes ESG 100 Prev Icatu Seguros FICFIA IS RL</t>
        </is>
      </c>
      <c r="B239" s="11" t="inlineStr">
        <is>
          <t>35.807.793/0001-30</t>
        </is>
      </c>
      <c r="C239" s="11" t="inlineStr">
        <is>
          <t>Ações</t>
        </is>
      </c>
      <c r="D239" s="11" t="inlineStr">
        <is>
          <t>REGIA CAPITAL LTDA</t>
        </is>
      </c>
      <c r="E239" s="11" t="inlineStr">
        <is>
          <t>btg</t>
        </is>
      </c>
      <c r="F239" s="19" t="n">
        <v>47891</v>
      </c>
      <c r="G239" s="19" t="n">
        <v>569949.33</v>
      </c>
      <c r="H239" s="23" t="n">
        <v>-522058.33</v>
      </c>
      <c r="I239" s="19" t="n">
        <v>6233651.75</v>
      </c>
      <c r="J239" s="19" t="n">
        <v>6065829.63</v>
      </c>
      <c r="K239" s="21" t="n">
        <v>-8.369999999999999</v>
      </c>
      <c r="L239" s="21" t="n">
        <v>6.48</v>
      </c>
      <c r="M239" s="22" t="n">
        <v>59</v>
      </c>
      <c r="N239" s="11" t="inlineStr">
        <is>
          <t>virou entrada</t>
        </is>
      </c>
      <c r="O239" s="11" t="inlineStr"/>
    </row>
    <row r="240">
      <c r="A240" s="11" t="inlineStr">
        <is>
          <t>Geo Empresas Globais Em Dólares Xp Seg Prev Ficfim Rl</t>
        </is>
      </c>
      <c r="B240" s="11" t="inlineStr">
        <is>
          <t>43.859.993/0001-64</t>
        </is>
      </c>
      <c r="C240" s="11" t="inlineStr">
        <is>
          <t>Multimercados</t>
        </is>
      </c>
      <c r="D240" s="11" t="inlineStr">
        <is>
          <t>XP VIDA E PREVIDÊNCIA S.A.</t>
        </is>
      </c>
      <c r="E240" s="11" t="inlineStr">
        <is>
          <t>xp</t>
        </is>
      </c>
      <c r="F240" s="19" t="n">
        <v>551525.49</v>
      </c>
      <c r="G240" s="19" t="n">
        <v>1095116.43</v>
      </c>
      <c r="H240" s="23" t="n">
        <v>-543590.9399999999</v>
      </c>
      <c r="I240" s="19" t="n">
        <v>18945263.65</v>
      </c>
      <c r="J240" s="19" t="n">
        <v>18840776.82</v>
      </c>
      <c r="K240" s="21" t="n">
        <v>-2.87</v>
      </c>
      <c r="L240" s="21" t="n">
        <v>2.36</v>
      </c>
      <c r="M240" s="22" t="n">
        <v>59</v>
      </c>
      <c r="N240" s="11" t="inlineStr">
        <is>
          <t>virou entrada</t>
        </is>
      </c>
      <c r="O240" s="11" t="inlineStr"/>
    </row>
    <row r="241">
      <c r="A241" s="11" t="inlineStr">
        <is>
          <t>Az Quest XP Seg Multi Max Prev Quali FIC FIM</t>
        </is>
      </c>
      <c r="B241" s="11" t="inlineStr">
        <is>
          <t>40.799.759/0001-09</t>
        </is>
      </c>
      <c r="C241" s="11" t="inlineStr">
        <is>
          <t>Multimercados</t>
        </is>
      </c>
      <c r="D241" s="11" t="inlineStr">
        <is>
          <t>XP VIDA E PREVIDÊNCIA S.A.</t>
        </is>
      </c>
      <c r="E241" s="11" t="inlineStr">
        <is>
          <t>xp</t>
        </is>
      </c>
      <c r="F241" s="19" t="n">
        <v>757073.6800000001</v>
      </c>
      <c r="G241" s="19" t="n">
        <v>1334668.61</v>
      </c>
      <c r="H241" s="23" t="n">
        <v>-577594.9300000001</v>
      </c>
      <c r="I241" s="19" t="n">
        <v>11312293.84</v>
      </c>
      <c r="J241" s="19" t="n">
        <v>11092146.86</v>
      </c>
      <c r="K241" s="21" t="n">
        <v>-5.11</v>
      </c>
      <c r="L241" s="21" t="n">
        <v>3.33</v>
      </c>
      <c r="M241" s="22" t="n">
        <v>58</v>
      </c>
      <c r="N241" s="11" t="inlineStr">
        <is>
          <t>saída persistente</t>
        </is>
      </c>
      <c r="O241" s="11" t="inlineStr"/>
    </row>
    <row r="242">
      <c r="A242" s="11" t="inlineStr">
        <is>
          <t>Dahlia 70 Advisory Xp Seg Ii Prev Fic Fim</t>
        </is>
      </c>
      <c r="B242" s="11" t="inlineStr">
        <is>
          <t>43.761.805/0001-60</t>
        </is>
      </c>
      <c r="C242" s="11" t="inlineStr">
        <is>
          <t>Multimercados</t>
        </is>
      </c>
      <c r="D242" s="11" t="inlineStr">
        <is>
          <t>XP VIDA E PREVIDÊNCIA S.A.</t>
        </is>
      </c>
      <c r="E242" s="11" t="inlineStr">
        <is>
          <t>xp</t>
        </is>
      </c>
      <c r="F242" s="19" t="n">
        <v>958438.39</v>
      </c>
      <c r="G242" s="19" t="n">
        <v>1549437.59</v>
      </c>
      <c r="H242" s="23" t="n">
        <v>-590999.2</v>
      </c>
      <c r="I242" s="19" t="n">
        <v>23818334.69</v>
      </c>
      <c r="J242" s="19" t="n">
        <v>23723721.59</v>
      </c>
      <c r="K242" s="21" t="n">
        <v>-2.48</v>
      </c>
      <c r="L242" s="21" t="n">
        <v>2.12</v>
      </c>
      <c r="M242" s="22" t="n">
        <v>59</v>
      </c>
      <c r="N242" s="11" t="inlineStr">
        <is>
          <t>saída persistente</t>
        </is>
      </c>
      <c r="O242" s="11" t="inlineStr"/>
    </row>
    <row r="243">
      <c r="A243" s="11" t="inlineStr">
        <is>
          <t>Squadra Prev Long Only FICFIA RL</t>
        </is>
      </c>
      <c r="B243" s="11" t="inlineStr">
        <is>
          <t>58.115.642/0001-16</t>
        </is>
      </c>
      <c r="C243" s="11" t="inlineStr">
        <is>
          <t>Ações</t>
        </is>
      </c>
      <c r="D243" s="11" t="inlineStr">
        <is>
          <t>SQUADRA INVESTIMENTOS - GESTÃO DE RECURSOS LTDA.</t>
        </is>
      </c>
      <c r="E243" s="11" t="inlineStr">
        <is>
          <t>btg</t>
        </is>
      </c>
      <c r="F243" s="19" t="n">
        <v>418968.02</v>
      </c>
      <c r="G243" s="19" t="n">
        <v>1024991.91</v>
      </c>
      <c r="H243" s="23" t="n">
        <v>-606023.89</v>
      </c>
      <c r="I243" s="19" t="n">
        <v>6387525.17</v>
      </c>
      <c r="J243" s="19" t="n">
        <v>6152232.66</v>
      </c>
      <c r="K243" s="21" t="n">
        <v>-9.49</v>
      </c>
      <c r="L243" s="21" t="n">
        <v>6.6</v>
      </c>
      <c r="M243" s="22" t="n">
        <v>59</v>
      </c>
      <c r="N243" s="11" t="inlineStr">
        <is>
          <t>virou entrada</t>
        </is>
      </c>
      <c r="O243" s="11" t="inlineStr"/>
    </row>
    <row r="244">
      <c r="A244" s="11" t="inlineStr">
        <is>
          <t>Indie 70 Icatu Prev FIM RL</t>
        </is>
      </c>
      <c r="B244" s="11" t="inlineStr">
        <is>
          <t>29.732.967/0001-40</t>
        </is>
      </c>
      <c r="C244" s="11" t="inlineStr">
        <is>
          <t>Multimercados</t>
        </is>
      </c>
      <c r="D244" s="11" t="inlineStr">
        <is>
          <t>INDIE CAPITAL INVESTIMENTOS LTDA.</t>
        </is>
      </c>
      <c r="E244" s="11" t="inlineStr">
        <is>
          <t>btg</t>
        </is>
      </c>
      <c r="F244" s="19" t="n">
        <v>324298.32</v>
      </c>
      <c r="G244" s="19" t="n">
        <v>936799.27</v>
      </c>
      <c r="H244" s="23" t="n">
        <v>-612500.95</v>
      </c>
      <c r="I244" s="19" t="n">
        <v>11790901.2</v>
      </c>
      <c r="J244" s="19" t="n">
        <v>11576248.22</v>
      </c>
      <c r="K244" s="21" t="n">
        <v>-5.19</v>
      </c>
      <c r="L244" s="21" t="n">
        <v>3.59</v>
      </c>
      <c r="M244" s="22" t="n">
        <v>59</v>
      </c>
      <c r="N244" s="11" t="inlineStr">
        <is>
          <t>saída persistente</t>
        </is>
      </c>
      <c r="O244" s="11" t="inlineStr"/>
    </row>
    <row r="245">
      <c r="A245" s="11" t="inlineStr">
        <is>
          <t>Tropico Cash Prev Icatu FIE FIM RL</t>
        </is>
      </c>
      <c r="B245" s="11" t="inlineStr">
        <is>
          <t>50.818.438/0001-50</t>
        </is>
      </c>
      <c r="C245" s="11" t="inlineStr">
        <is>
          <t>Multimercados</t>
        </is>
      </c>
      <c r="D245" s="11" t="inlineStr">
        <is>
          <t>TROPICO INVESTIMENTOS E PARTICIPACOES LTDA</t>
        </is>
      </c>
      <c r="E245" s="11" t="inlineStr">
        <is>
          <t>btg</t>
        </is>
      </c>
      <c r="F245" s="19" t="n">
        <v>913624.9399999999</v>
      </c>
      <c r="G245" s="19" t="n">
        <v>1529958.22</v>
      </c>
      <c r="H245" s="23" t="n">
        <v>-616333.28</v>
      </c>
      <c r="I245" s="19" t="n">
        <v>35525786.06</v>
      </c>
      <c r="J245" s="19" t="n">
        <v>36141797.69</v>
      </c>
      <c r="K245" s="21" t="n">
        <v>-1.73</v>
      </c>
      <c r="L245" s="21" t="n">
        <v>3.51</v>
      </c>
      <c r="M245" s="22" t="n">
        <v>59</v>
      </c>
      <c r="N245" s="11" t="inlineStr">
        <is>
          <t>saída persistente</t>
        </is>
      </c>
      <c r="O245" s="11" t="inlineStr"/>
    </row>
    <row r="246">
      <c r="A246" s="11" t="inlineStr">
        <is>
          <t>AZ Quest Inflação Ativo Prev FIE FIRF</t>
        </is>
      </c>
      <c r="B246" s="11" t="inlineStr">
        <is>
          <t>34.442.059/0001-51</t>
        </is>
      </c>
      <c r="C246" s="11" t="inlineStr">
        <is>
          <t>Renda Fixa</t>
        </is>
      </c>
      <c r="D246" s="11" t="inlineStr">
        <is>
          <t>AZ Quest Prev Ltda.</t>
        </is>
      </c>
      <c r="E246" s="11" t="inlineStr">
        <is>
          <t>xp, btg</t>
        </is>
      </c>
      <c r="F246" s="19" t="n">
        <v>100761.15</v>
      </c>
      <c r="G246" s="19" t="n">
        <v>741953.1899999999</v>
      </c>
      <c r="H246" s="23" t="n">
        <v>-641192.04</v>
      </c>
      <c r="I246" s="19" t="n">
        <v>14184327.37</v>
      </c>
      <c r="J246" s="19" t="n">
        <v>14256698.73</v>
      </c>
      <c r="K246" s="21" t="n">
        <v>-4.52</v>
      </c>
      <c r="L246" s="21" t="n">
        <v>5.17</v>
      </c>
      <c r="M246" s="22" t="n">
        <v>59</v>
      </c>
      <c r="N246" s="11" t="inlineStr">
        <is>
          <t>saída persistente</t>
        </is>
      </c>
      <c r="O246" s="11" t="inlineStr"/>
    </row>
    <row r="247">
      <c r="A247" s="11" t="inlineStr">
        <is>
          <t>BTG Pactual Absoluto LS Prev FICFIM RL</t>
        </is>
      </c>
      <c r="B247" s="11" t="inlineStr">
        <is>
          <t>37.681.077/0001-84</t>
        </is>
      </c>
      <c r="C247" s="11" t="inlineStr">
        <is>
          <t>Multimercados</t>
        </is>
      </c>
      <c r="D247" s="11" t="inlineStr">
        <is>
          <t>BTG PACTUAL ASSET MANAGEMENT S/A DTVM</t>
        </is>
      </c>
      <c r="E247" s="11" t="inlineStr">
        <is>
          <t>btg</t>
        </is>
      </c>
      <c r="F247" s="19" t="n">
        <v>150988.33</v>
      </c>
      <c r="G247" s="19" t="n">
        <v>796835.78</v>
      </c>
      <c r="H247" s="23" t="n">
        <v>-645847.45</v>
      </c>
      <c r="I247" s="19" t="n">
        <v>11386666.86</v>
      </c>
      <c r="J247" s="19" t="n">
        <v>10850696.7</v>
      </c>
      <c r="K247" s="21" t="n">
        <v>-5.67</v>
      </c>
      <c r="L247" s="21" t="n">
        <v>1.07</v>
      </c>
      <c r="M247" s="22" t="n">
        <v>59</v>
      </c>
      <c r="N247" s="11" t="inlineStr">
        <is>
          <t>saída persistente</t>
        </is>
      </c>
      <c r="O247" s="11" t="inlineStr"/>
    </row>
    <row r="248">
      <c r="A248" s="11" t="inlineStr">
        <is>
          <t>Icatu Vanguarda LB Prev FICFIM RL</t>
        </is>
      </c>
      <c r="B248" s="11" t="inlineStr">
        <is>
          <t>27.328.750/0001-43</t>
        </is>
      </c>
      <c r="C248" s="11" t="inlineStr">
        <is>
          <t>Multimercados</t>
        </is>
      </c>
      <c r="D248" s="11" t="inlineStr">
        <is>
          <t>ICATU SEGUROS S/A</t>
        </is>
      </c>
      <c r="E248" s="11" t="inlineStr">
        <is>
          <t>btg</t>
        </is>
      </c>
      <c r="F248" s="19" t="n">
        <v>71996.36</v>
      </c>
      <c r="G248" s="19" t="n">
        <v>738826.12</v>
      </c>
      <c r="H248" s="23" t="n">
        <v>-666829.76</v>
      </c>
      <c r="I248" s="19" t="n">
        <v>9465029.529999999</v>
      </c>
      <c r="J248" s="19" t="n">
        <v>8997915.27</v>
      </c>
      <c r="K248" s="21" t="n">
        <v>-7.05</v>
      </c>
      <c r="L248" s="21" t="n">
        <v>2.27</v>
      </c>
      <c r="M248" s="22" t="n">
        <v>59</v>
      </c>
      <c r="N248" s="11" t="inlineStr">
        <is>
          <t>saída persistente</t>
        </is>
      </c>
      <c r="O248" s="11" t="inlineStr"/>
    </row>
    <row r="249">
      <c r="A249" s="11" t="inlineStr">
        <is>
          <t>Sharp Equity Value 100 P Prev FICFIA RL</t>
        </is>
      </c>
      <c r="B249" s="11" t="inlineStr">
        <is>
          <t>44.803.356/0001-39</t>
        </is>
      </c>
      <c r="C249" s="11" t="inlineStr">
        <is>
          <t>Ações</t>
        </is>
      </c>
      <c r="D249" s="11" t="inlineStr">
        <is>
          <t>SHARP CAPITAL GESTORA DE RECURSOS LTDA</t>
        </is>
      </c>
      <c r="E249" s="11" t="inlineStr">
        <is>
          <t>btg</t>
        </is>
      </c>
      <c r="F249" s="19" t="n">
        <v>120168.74</v>
      </c>
      <c r="G249" s="19" t="n">
        <v>788439.67</v>
      </c>
      <c r="H249" s="23" t="n">
        <v>-668270.9300000001</v>
      </c>
      <c r="I249" s="19" t="n">
        <v>10332830.11</v>
      </c>
      <c r="J249" s="19" t="n">
        <v>10168729.77</v>
      </c>
      <c r="K249" s="21" t="n">
        <v>-6.47</v>
      </c>
      <c r="L249" s="21" t="n">
        <v>5.19</v>
      </c>
      <c r="M249" s="22" t="n">
        <v>59</v>
      </c>
      <c r="N249" s="11" t="inlineStr">
        <is>
          <t>saída persistente</t>
        </is>
      </c>
      <c r="O249" s="11" t="inlineStr"/>
    </row>
    <row r="250">
      <c r="A250" s="11" t="inlineStr">
        <is>
          <t>Ibiuna Prev Xp Seg Ficfim</t>
        </is>
      </c>
      <c r="B250" s="11" t="inlineStr">
        <is>
          <t>36.620.088/0001-91</t>
        </is>
      </c>
      <c r="C250" s="11" t="inlineStr">
        <is>
          <t>Multimercados</t>
        </is>
      </c>
      <c r="D250" s="11" t="inlineStr">
        <is>
          <t>XP VIDA E PREVIDÊNCIA S.A.</t>
        </is>
      </c>
      <c r="E250" s="11" t="inlineStr">
        <is>
          <t>xp</t>
        </is>
      </c>
      <c r="F250" s="19" t="n">
        <v>169389.42</v>
      </c>
      <c r="G250" s="19" t="n">
        <v>876216.5600000001</v>
      </c>
      <c r="H250" s="23" t="n">
        <v>-706827.14</v>
      </c>
      <c r="I250" s="19" t="n">
        <v>27948580.98</v>
      </c>
      <c r="J250" s="19" t="n">
        <v>27877137.97</v>
      </c>
      <c r="K250" s="21" t="n">
        <v>-2.53</v>
      </c>
      <c r="L250" s="21" t="n">
        <v>2.35</v>
      </c>
      <c r="M250" s="22" t="n">
        <v>59</v>
      </c>
      <c r="N250" s="11" t="inlineStr">
        <is>
          <t>saída persistente</t>
        </is>
      </c>
      <c r="O250" s="11" t="inlineStr"/>
    </row>
    <row r="251">
      <c r="A251" s="11" t="inlineStr">
        <is>
          <t>Dahlia 100 Prev FICFIM RL</t>
        </is>
      </c>
      <c r="B251" s="11" t="inlineStr">
        <is>
          <t>37.128.109/0001-19</t>
        </is>
      </c>
      <c r="C251" s="11" t="inlineStr">
        <is>
          <t>Multimercados</t>
        </is>
      </c>
      <c r="D251" s="11" t="inlineStr">
        <is>
          <t>DAHLIA CAPITAL GESTÃO DE RECURSOS LTDA.</t>
        </is>
      </c>
      <c r="E251" s="11" t="inlineStr">
        <is>
          <t>btg</t>
        </is>
      </c>
      <c r="F251" s="19" t="n">
        <v>1033798.92</v>
      </c>
      <c r="G251" s="19" t="n">
        <v>1753147.61</v>
      </c>
      <c r="H251" s="23" t="n">
        <v>-719348.6899999999</v>
      </c>
      <c r="I251" s="19" t="n">
        <v>15653863.88</v>
      </c>
      <c r="J251" s="19" t="n">
        <v>14997676.68</v>
      </c>
      <c r="K251" s="21" t="n">
        <v>-4.6</v>
      </c>
      <c r="L251" s="21" t="n">
        <v>1.63</v>
      </c>
      <c r="M251" s="22" t="n">
        <v>59</v>
      </c>
      <c r="N251" s="11" t="inlineStr">
        <is>
          <t>virou saída</t>
        </is>
      </c>
      <c r="O251" s="11" t="inlineStr"/>
    </row>
    <row r="252">
      <c r="A252" s="11" t="inlineStr">
        <is>
          <t>Forpus 70 Prev FIM RL</t>
        </is>
      </c>
      <c r="B252" s="11" t="inlineStr">
        <is>
          <t>34.474.917/0001-40</t>
        </is>
      </c>
      <c r="C252" s="11" t="inlineStr">
        <is>
          <t>Multimercados</t>
        </is>
      </c>
      <c r="D252" s="11" t="inlineStr">
        <is>
          <t>FORPUS CAPITAL GESTÃO DE RECURSOS LTDA.</t>
        </is>
      </c>
      <c r="E252" s="11" t="inlineStr">
        <is>
          <t>btg</t>
        </is>
      </c>
      <c r="F252" s="19" t="n">
        <v>316978.51</v>
      </c>
      <c r="G252" s="19" t="n">
        <v>1036832.7</v>
      </c>
      <c r="H252" s="23" t="n">
        <v>-719854.1899999999</v>
      </c>
      <c r="I252" s="19" t="n">
        <v>15651816.18</v>
      </c>
      <c r="J252" s="19" t="n">
        <v>15377592.84</v>
      </c>
      <c r="K252" s="21" t="n">
        <v>-4.6</v>
      </c>
      <c r="L252" s="21" t="n">
        <v>3.05</v>
      </c>
      <c r="M252" s="22" t="n">
        <v>59</v>
      </c>
      <c r="N252" s="11" t="inlineStr">
        <is>
          <t>saída persistente</t>
        </is>
      </c>
      <c r="O252" s="11" t="inlineStr"/>
    </row>
    <row r="253">
      <c r="A253" s="11" t="inlineStr">
        <is>
          <t>Kadima Long Short Prev FICFIM RL</t>
        </is>
      </c>
      <c r="B253" s="11" t="inlineStr">
        <is>
          <t>35.020.129/0001-46</t>
        </is>
      </c>
      <c r="C253" s="11" t="inlineStr">
        <is>
          <t>Multimercados</t>
        </is>
      </c>
      <c r="D253" s="11" t="inlineStr">
        <is>
          <t>KADIMA GESTAO DE INVESTIMENTOS LTDA</t>
        </is>
      </c>
      <c r="E253" s="11" t="inlineStr">
        <is>
          <t>btg</t>
        </is>
      </c>
      <c r="F253" s="19" t="n">
        <v>74367.25</v>
      </c>
      <c r="G253" s="19" t="n">
        <v>795314.28</v>
      </c>
      <c r="H253" s="23" t="n">
        <v>-720947.03</v>
      </c>
      <c r="I253" s="19" t="n">
        <v>10612466.52</v>
      </c>
      <c r="J253" s="19" t="n">
        <v>10184197.1</v>
      </c>
      <c r="K253" s="21" t="n">
        <v>-6.79</v>
      </c>
      <c r="L253" s="21" t="n">
        <v>2.96</v>
      </c>
      <c r="M253" s="22" t="n">
        <v>59</v>
      </c>
      <c r="N253" s="11" t="inlineStr">
        <is>
          <t>saída persistente</t>
        </is>
      </c>
      <c r="O253" s="11" t="inlineStr"/>
    </row>
    <row r="254">
      <c r="A254" s="11" t="inlineStr">
        <is>
          <t>A1 RF Ativa Prev FICFIRF RL</t>
        </is>
      </c>
      <c r="B254" s="11" t="inlineStr">
        <is>
          <t>60.356.190/0001-06</t>
        </is>
      </c>
      <c r="C254" s="11" t="inlineStr">
        <is>
          <t>Renda Fixa</t>
        </is>
      </c>
      <c r="D254" s="11" t="inlineStr">
        <is>
          <t>ASSET1 INVESTIMENTOS S/A</t>
        </is>
      </c>
      <c r="E254" s="11" t="inlineStr">
        <is>
          <t>btg</t>
        </is>
      </c>
      <c r="F254" s="19" t="n">
        <v>545141.8100000001</v>
      </c>
      <c r="G254" s="19" t="n">
        <v>1338332.16</v>
      </c>
      <c r="H254" s="23" t="n">
        <v>-793190.35</v>
      </c>
      <c r="I254" s="19" t="n">
        <v>47373096.11</v>
      </c>
      <c r="J254" s="19" t="n">
        <v>48036230.69</v>
      </c>
      <c r="K254" s="21" t="n">
        <v>-1.67</v>
      </c>
      <c r="L254" s="21" t="n">
        <v>3.07</v>
      </c>
      <c r="M254" s="22" t="n">
        <v>59</v>
      </c>
      <c r="N254" s="11" t="inlineStr">
        <is>
          <t>virou saída</t>
        </is>
      </c>
      <c r="O254" s="11" t="inlineStr"/>
    </row>
    <row r="255">
      <c r="A255" s="11" t="inlineStr">
        <is>
          <t>Kapitalo Zeta Prev FICFIM Access RL</t>
        </is>
      </c>
      <c r="B255" s="11" t="inlineStr">
        <is>
          <t>55.136.698/0001-69</t>
        </is>
      </c>
      <c r="C255" s="11" t="inlineStr">
        <is>
          <t>Multimercados</t>
        </is>
      </c>
      <c r="D255" s="11" t="inlineStr">
        <is>
          <t>BTG PACTUAL GESTÃO E CONSULTORIA DE INVESTIMENTOS LTDA</t>
        </is>
      </c>
      <c r="E255" s="11" t="inlineStr">
        <is>
          <t>btg</t>
        </is>
      </c>
      <c r="F255" s="19" t="n">
        <v>2060188.39</v>
      </c>
      <c r="G255" s="19" t="n">
        <v>2865976.18</v>
      </c>
      <c r="H255" s="23" t="n">
        <v>-805787.79</v>
      </c>
      <c r="I255" s="19" t="n">
        <v>49453294.97</v>
      </c>
      <c r="J255" s="19" t="n">
        <v>52943302.55</v>
      </c>
      <c r="K255" s="21" t="n">
        <v>-1.63</v>
      </c>
      <c r="L255" s="21" t="n">
        <v>8.67</v>
      </c>
      <c r="M255" s="22" t="n">
        <v>59</v>
      </c>
      <c r="N255" s="11" t="inlineStr">
        <is>
          <t>virou saída</t>
        </is>
      </c>
      <c r="O255" s="11" t="inlineStr"/>
    </row>
    <row r="256">
      <c r="A256" s="11" t="inlineStr">
        <is>
          <t>Vinland Long Biased Advisory Xp Seg Prev Fic Fim Rl</t>
        </is>
      </c>
      <c r="B256" s="11" t="inlineStr">
        <is>
          <t>31.846.641/0001-95</t>
        </is>
      </c>
      <c r="C256" s="11" t="inlineStr">
        <is>
          <t>Multimercados</t>
        </is>
      </c>
      <c r="D256" s="11" t="inlineStr">
        <is>
          <t>XP VIDA E PREVIDÊNCIA S.A.</t>
        </is>
      </c>
      <c r="E256" s="11" t="inlineStr">
        <is>
          <t>xp</t>
        </is>
      </c>
      <c r="F256" s="19" t="n">
        <v>50415.85</v>
      </c>
      <c r="G256" s="19" t="n">
        <v>899419.79</v>
      </c>
      <c r="H256" s="23" t="n">
        <v>-849003.9399999999</v>
      </c>
      <c r="I256" s="19" t="n">
        <v>15087724.57</v>
      </c>
      <c r="J256" s="19" t="n">
        <v>14473122.75</v>
      </c>
      <c r="K256" s="21" t="n">
        <v>-5.63</v>
      </c>
      <c r="L256" s="21" t="n">
        <v>1.63</v>
      </c>
      <c r="M256" s="22" t="n">
        <v>59</v>
      </c>
      <c r="N256" s="11" t="inlineStr">
        <is>
          <t>saída persistente</t>
        </is>
      </c>
      <c r="O256" s="11" t="inlineStr"/>
    </row>
    <row r="257">
      <c r="A257" s="11" t="inlineStr">
        <is>
          <t>Btgp Multi Acoes 100 Prev Fundo de Invstimento em Cotas de FICFIA RL</t>
        </is>
      </c>
      <c r="B257" s="11" t="inlineStr">
        <is>
          <t>37.320.765/0001-19</t>
        </is>
      </c>
      <c r="C257" s="11" t="inlineStr">
        <is>
          <t>Ações</t>
        </is>
      </c>
      <c r="D257" s="11" t="inlineStr">
        <is>
          <t>BTG PACTUAL GESTÃO E CONSULTORIA DE INVESTIMENTOS LTDA</t>
        </is>
      </c>
      <c r="E257" s="11" t="inlineStr">
        <is>
          <t>btg</t>
        </is>
      </c>
      <c r="F257" s="19" t="n">
        <v>1862797.03</v>
      </c>
      <c r="G257" s="19" t="n">
        <v>2724608.83</v>
      </c>
      <c r="H257" s="23" t="n">
        <v>-861811.8</v>
      </c>
      <c r="I257" s="19" t="n">
        <v>60664255.67</v>
      </c>
      <c r="J257" s="19" t="n">
        <v>63330053.01</v>
      </c>
      <c r="K257" s="21" t="n">
        <v>-1.42</v>
      </c>
      <c r="L257" s="21" t="n">
        <v>5.92</v>
      </c>
      <c r="M257" s="22" t="n">
        <v>59</v>
      </c>
      <c r="N257" s="11" t="inlineStr">
        <is>
          <t>saída persistente</t>
        </is>
      </c>
      <c r="O257" s="11" t="inlineStr"/>
    </row>
    <row r="258">
      <c r="A258" s="11" t="inlineStr">
        <is>
          <t>Kadima Xp Seg Prev Long Short Ficfim</t>
        </is>
      </c>
      <c r="B258" s="11" t="inlineStr">
        <is>
          <t>40.635.009/0001-93</t>
        </is>
      </c>
      <c r="C258" s="11" t="inlineStr">
        <is>
          <t>Multimercados</t>
        </is>
      </c>
      <c r="D258" s="11" t="inlineStr">
        <is>
          <t>XP VIDA E PREVIDÊNCIA S.A.</t>
        </is>
      </c>
      <c r="E258" s="11" t="inlineStr">
        <is>
          <t>xp</t>
        </is>
      </c>
      <c r="F258" s="19" t="n">
        <v>43702.77</v>
      </c>
      <c r="G258" s="19" t="n">
        <v>1012982.94</v>
      </c>
      <c r="H258" s="23" t="n">
        <v>-969280.17</v>
      </c>
      <c r="I258" s="19" t="n">
        <v>3717032.88</v>
      </c>
      <c r="J258" s="19" t="n">
        <v>2839139.23</v>
      </c>
      <c r="K258" s="21" t="n">
        <v>-26.08</v>
      </c>
      <c r="L258" s="21" t="n">
        <v>2.9</v>
      </c>
      <c r="M258" s="22" t="n">
        <v>59</v>
      </c>
      <c r="N258" s="11" t="inlineStr">
        <is>
          <t>saída persistente</t>
        </is>
      </c>
      <c r="O258" s="11" t="inlineStr"/>
    </row>
    <row r="259">
      <c r="A259" s="11" t="inlineStr">
        <is>
          <t>Asa Hedge Prev XP Seg FIC FIM RL</t>
        </is>
      </c>
      <c r="B259" s="11" t="inlineStr">
        <is>
          <t>45.645.218/0001-31</t>
        </is>
      </c>
      <c r="C259" s="11" t="inlineStr">
        <is>
          <t>Multimercados</t>
        </is>
      </c>
      <c r="D259" s="11" t="inlineStr">
        <is>
          <t>XP VIDA E PREVIDÊNCIA S.A.</t>
        </is>
      </c>
      <c r="E259" s="11" t="inlineStr">
        <is>
          <t>xp</t>
        </is>
      </c>
      <c r="F259" s="19" t="n">
        <v>48534.34</v>
      </c>
      <c r="G259" s="19" t="n">
        <v>1019467.42</v>
      </c>
      <c r="H259" s="23" t="n">
        <v>-970933.08</v>
      </c>
      <c r="I259" s="19" t="n">
        <v>8528976.24</v>
      </c>
      <c r="J259" s="19" t="n">
        <v>7729215.45</v>
      </c>
      <c r="K259" s="21" t="n">
        <v>-11.38</v>
      </c>
      <c r="L259" s="21" t="n">
        <v>2.16</v>
      </c>
      <c r="M259" s="22" t="n">
        <v>59</v>
      </c>
      <c r="N259" s="11" t="inlineStr">
        <is>
          <t>saída persistente</t>
        </is>
      </c>
      <c r="O259" s="11" t="inlineStr"/>
    </row>
    <row r="260">
      <c r="A260" s="11" t="inlineStr">
        <is>
          <t>Tenax RFA Prev FIE I FICFIRF CrPr RL</t>
        </is>
      </c>
      <c r="B260" s="11" t="inlineStr">
        <is>
          <t>55.753.965/0001-47</t>
        </is>
      </c>
      <c r="C260" s="11" t="inlineStr">
        <is>
          <t>Renda Fixa</t>
        </is>
      </c>
      <c r="D260" s="11" t="inlineStr">
        <is>
          <t>TENAX CAPITAL LTDA.</t>
        </is>
      </c>
      <c r="E260" s="11" t="inlineStr">
        <is>
          <t>btg</t>
        </is>
      </c>
      <c r="F260" s="19" t="n">
        <v>185452.11</v>
      </c>
      <c r="G260" s="19" t="n">
        <v>1163509.09</v>
      </c>
      <c r="H260" s="23" t="n">
        <v>-978056.98</v>
      </c>
      <c r="I260" s="19" t="n">
        <v>4327479.59</v>
      </c>
      <c r="J260" s="19" t="n">
        <v>3497168.72</v>
      </c>
      <c r="K260" s="21" t="n">
        <v>-22.6</v>
      </c>
      <c r="L260" s="21" t="n">
        <v>3.44</v>
      </c>
      <c r="M260" s="22" t="n">
        <v>59</v>
      </c>
      <c r="N260" s="11" t="inlineStr">
        <is>
          <t>virou saída</t>
        </is>
      </c>
      <c r="O260" s="11" t="inlineStr"/>
    </row>
    <row r="261">
      <c r="A261" s="11" t="inlineStr">
        <is>
          <t>Icatu Vanguarda FICFIRF Inflacao Curta Prev RL</t>
        </is>
      </c>
      <c r="B261" s="11" t="inlineStr">
        <is>
          <t>12.823.627/0001-21</t>
        </is>
      </c>
      <c r="C261" s="11" t="inlineStr">
        <is>
          <t>Renda Fixa</t>
        </is>
      </c>
      <c r="D261" s="11" t="inlineStr">
        <is>
          <t>ICATU VANGUARDA GESTÃO DE RECURSOS LTDA</t>
        </is>
      </c>
      <c r="E261" s="11" t="inlineStr">
        <is>
          <t>btg</t>
        </is>
      </c>
      <c r="F261" s="19" t="n">
        <v>22771994.9</v>
      </c>
      <c r="G261" s="19" t="n">
        <v>23778665.66</v>
      </c>
      <c r="H261" s="23" t="n">
        <v>-1006670.76</v>
      </c>
      <c r="I261" s="19" t="n">
        <v>560002004.12</v>
      </c>
      <c r="J261" s="19" t="n">
        <v>579930302.35</v>
      </c>
      <c r="K261" s="21" t="n">
        <v>-0.18</v>
      </c>
      <c r="L261" s="21" t="n">
        <v>3.81</v>
      </c>
      <c r="M261" s="22" t="n">
        <v>59</v>
      </c>
      <c r="N261" s="11" t="inlineStr">
        <is>
          <t>virou entrada</t>
        </is>
      </c>
      <c r="O261" s="11" t="inlineStr"/>
    </row>
    <row r="262">
      <c r="A262" s="11" t="inlineStr">
        <is>
          <t>Constellation 70 Prev FIM RL</t>
        </is>
      </c>
      <c r="B262" s="11" t="inlineStr">
        <is>
          <t>29.550.612/0001-30</t>
        </is>
      </c>
      <c r="C262" s="11" t="inlineStr">
        <is>
          <t>Multimercados</t>
        </is>
      </c>
      <c r="D262" s="11" t="inlineStr">
        <is>
          <t>CONSTELLATION INVESTIMENTOS E PARTICIPAÇÕES LTDA</t>
        </is>
      </c>
      <c r="E262" s="11" t="inlineStr">
        <is>
          <t>btg</t>
        </is>
      </c>
      <c r="F262" s="19" t="n">
        <v>506301.28</v>
      </c>
      <c r="G262" s="19" t="n">
        <v>1532799.26</v>
      </c>
      <c r="H262" s="23" t="n">
        <v>-1026497.98</v>
      </c>
      <c r="I262" s="19" t="n">
        <v>15377122.23</v>
      </c>
      <c r="J262" s="19" t="n">
        <v>15098554.65</v>
      </c>
      <c r="K262" s="21" t="n">
        <v>-6.68</v>
      </c>
      <c r="L262" s="21" t="n">
        <v>5.05</v>
      </c>
      <c r="M262" s="22" t="n">
        <v>59</v>
      </c>
      <c r="N262" s="11" t="inlineStr">
        <is>
          <t>saída persistente</t>
        </is>
      </c>
      <c r="O262" s="11" t="inlineStr"/>
    </row>
    <row r="263">
      <c r="A263" s="11" t="inlineStr">
        <is>
          <t>Occam Liquidez Prev Xp Seg Fic Fim</t>
        </is>
      </c>
      <c r="B263" s="11" t="inlineStr">
        <is>
          <t>40.780.979/0001-82</t>
        </is>
      </c>
      <c r="C263" s="11" t="inlineStr">
        <is>
          <t>Multimercados</t>
        </is>
      </c>
      <c r="D263" s="11" t="inlineStr">
        <is>
          <t>XP VIDA E PREVIDÊNCIA S.A.</t>
        </is>
      </c>
      <c r="E263" s="11" t="inlineStr">
        <is>
          <t>xp</t>
        </is>
      </c>
      <c r="F263" s="19" t="n">
        <v>62833.79</v>
      </c>
      <c r="G263" s="19" t="n">
        <v>1097619.54</v>
      </c>
      <c r="H263" s="23" t="n">
        <v>-1034785.75</v>
      </c>
      <c r="I263" s="19" t="n">
        <v>4804640.17</v>
      </c>
      <c r="J263" s="19" t="n">
        <v>3873644.87</v>
      </c>
      <c r="K263" s="21" t="n">
        <v>-21.54</v>
      </c>
      <c r="L263" s="21" t="n">
        <v>2.35</v>
      </c>
      <c r="M263" s="22" t="n">
        <v>59</v>
      </c>
      <c r="N263" s="11" t="inlineStr">
        <is>
          <t>virou saída</t>
        </is>
      </c>
      <c r="O263" s="11" t="inlineStr"/>
    </row>
    <row r="264">
      <c r="A264" s="11" t="inlineStr">
        <is>
          <t>Selection Multimercado XP Seg FIC FIM</t>
        </is>
      </c>
      <c r="B264" s="11" t="inlineStr">
        <is>
          <t>35.386.842/0001-08</t>
        </is>
      </c>
      <c r="C264" s="11" t="inlineStr">
        <is>
          <t>Multimercados</t>
        </is>
      </c>
      <c r="D264" s="11" t="inlineStr">
        <is>
          <t>XP ADVISORY GESTAO DE RECURSOS LTDA</t>
        </is>
      </c>
      <c r="E264" s="11" t="inlineStr">
        <is>
          <t>xp</t>
        </is>
      </c>
      <c r="F264" s="19" t="n">
        <v>86036.8</v>
      </c>
      <c r="G264" s="19" t="n">
        <v>1151308.78</v>
      </c>
      <c r="H264" s="23" t="n">
        <v>-1065271.98</v>
      </c>
      <c r="I264" s="19" t="n">
        <v>14456293.27</v>
      </c>
      <c r="J264" s="19" t="n">
        <v>13989328.25</v>
      </c>
      <c r="K264" s="21" t="n">
        <v>-7.37</v>
      </c>
      <c r="L264" s="21" t="n">
        <v>4.37</v>
      </c>
      <c r="M264" s="22" t="n">
        <v>57</v>
      </c>
      <c r="N264" s="11" t="inlineStr">
        <is>
          <t>virou entrada</t>
        </is>
      </c>
      <c r="O264" s="11" t="inlineStr"/>
    </row>
    <row r="265">
      <c r="A265" s="11" t="inlineStr">
        <is>
          <t>RPS Prev Ações XP Seg FICFI</t>
        </is>
      </c>
      <c r="B265" s="11" t="inlineStr">
        <is>
          <t>37.567.399/0001-05</t>
        </is>
      </c>
      <c r="C265" s="11" t="inlineStr">
        <is>
          <t>Ações</t>
        </is>
      </c>
      <c r="D265" s="11" t="inlineStr">
        <is>
          <t>RPS CAPITAL ADMINISTRADORA DE RECURSOS LTDA</t>
        </is>
      </c>
      <c r="E265" s="11" t="inlineStr">
        <is>
          <t>xp</t>
        </is>
      </c>
      <c r="F265" s="19" t="n">
        <v>783.1799999999999</v>
      </c>
      <c r="G265" s="19" t="n">
        <v>1094098.69</v>
      </c>
      <c r="H265" s="23" t="n">
        <v>-1093315.51</v>
      </c>
      <c r="I265" s="19" t="n">
        <v>2337371.16</v>
      </c>
      <c r="J265" s="19" t="n">
        <v>1325602.04</v>
      </c>
      <c r="K265" s="21" t="n">
        <v>-46.78</v>
      </c>
      <c r="L265" s="21" t="n">
        <v>8.869999999999999</v>
      </c>
      <c r="M265" s="22" t="n">
        <v>59</v>
      </c>
      <c r="N265" s="11" t="inlineStr">
        <is>
          <t>virou entrada</t>
        </is>
      </c>
      <c r="O265" s="11" t="inlineStr"/>
    </row>
    <row r="266">
      <c r="A266" s="11" t="inlineStr">
        <is>
          <t>Empiricus FoF Superprevidencia Acoes Icatu FIA RL</t>
        </is>
      </c>
      <c r="B266" s="11" t="inlineStr">
        <is>
          <t>35.844.969/0001-23</t>
        </is>
      </c>
      <c r="C266" s="11" t="inlineStr">
        <is>
          <t>Multimercados</t>
        </is>
      </c>
      <c r="D266" s="11" t="inlineStr">
        <is>
          <t>BTG PACTUAL GESTÃO E CONSULTORIA DE INVESTIMENTOS LTDA</t>
        </is>
      </c>
      <c r="E266" s="11" t="inlineStr">
        <is>
          <t>btg</t>
        </is>
      </c>
      <c r="F266" s="19" t="n">
        <v>84405.19</v>
      </c>
      <c r="G266" s="19" t="n">
        <v>1179179.32</v>
      </c>
      <c r="H266" s="23" t="n">
        <v>-1094774.13</v>
      </c>
      <c r="I266" s="19" t="n">
        <v>22169566.66</v>
      </c>
      <c r="J266" s="19" t="n">
        <v>22279689.05</v>
      </c>
      <c r="K266" s="21" t="n">
        <v>-4.94</v>
      </c>
      <c r="L266" s="21" t="n">
        <v>5.73</v>
      </c>
      <c r="M266" s="22" t="n">
        <v>59</v>
      </c>
      <c r="N266" s="11" t="inlineStr">
        <is>
          <t>virou entrada</t>
        </is>
      </c>
      <c r="O266" s="11" t="inlineStr"/>
    </row>
    <row r="267">
      <c r="A267" s="11" t="inlineStr">
        <is>
          <t>Kapitalo Kappa BP Qualificado Prev FICFIM RL</t>
        </is>
      </c>
      <c r="B267" s="11" t="inlineStr">
        <is>
          <t>41.745.725/0001-96</t>
        </is>
      </c>
      <c r="C267" s="11" t="inlineStr">
        <is>
          <t>Multimercados</t>
        </is>
      </c>
      <c r="D267" s="11" t="inlineStr">
        <is>
          <t>BTG PACTUAL GESTÃO E CONSULTORIA DE INVESTIMENTOS LTDA</t>
        </is>
      </c>
      <c r="E267" s="11" t="inlineStr">
        <is>
          <t>btg</t>
        </is>
      </c>
      <c r="F267" s="19" t="n">
        <v>487681.97</v>
      </c>
      <c r="G267" s="19" t="n">
        <v>1615375.12</v>
      </c>
      <c r="H267" s="23" t="n">
        <v>-1127693.15</v>
      </c>
      <c r="I267" s="19" t="n">
        <v>24087331.47</v>
      </c>
      <c r="J267" s="19" t="n">
        <v>24336248.49</v>
      </c>
      <c r="K267" s="21" t="n">
        <v>-4.68</v>
      </c>
      <c r="L267" s="21" t="n">
        <v>5.87</v>
      </c>
      <c r="M267" s="22" t="n">
        <v>59</v>
      </c>
      <c r="N267" s="11" t="inlineStr">
        <is>
          <t>saída persistente</t>
        </is>
      </c>
      <c r="O267" s="11" t="inlineStr"/>
    </row>
    <row r="268">
      <c r="A268" s="11" t="inlineStr">
        <is>
          <t>Absolute Delfos Prev FICFIRF Access CrPr RL</t>
        </is>
      </c>
      <c r="B268" s="11" t="inlineStr">
        <is>
          <t>57.370.727/0001-88</t>
        </is>
      </c>
      <c r="C268" s="11" t="inlineStr">
        <is>
          <t>Renda Fixa</t>
        </is>
      </c>
      <c r="D268" s="11" t="inlineStr">
        <is>
          <t>BTG PACTUAL GESTÃO E CONSULTORIA DE INVESTIMENTOS LTDA</t>
        </is>
      </c>
      <c r="E268" s="11" t="inlineStr">
        <is>
          <t>btg</t>
        </is>
      </c>
      <c r="F268" s="19" t="n">
        <v>1507045.56</v>
      </c>
      <c r="G268" s="19" t="n">
        <v>2750287.21</v>
      </c>
      <c r="H268" s="23" t="n">
        <v>-1243241.65</v>
      </c>
      <c r="I268" s="19" t="n">
        <v>42667165.5</v>
      </c>
      <c r="J268" s="19" t="n">
        <v>42708825.1</v>
      </c>
      <c r="K268" s="21" t="n">
        <v>-2.91</v>
      </c>
      <c r="L268" s="21" t="n">
        <v>3.01</v>
      </c>
      <c r="M268" s="22" t="n">
        <v>59</v>
      </c>
      <c r="N268" s="11" t="inlineStr">
        <is>
          <t>saída persistente</t>
        </is>
      </c>
      <c r="O268" s="11" t="inlineStr"/>
    </row>
    <row r="269">
      <c r="A269" s="11" t="inlineStr">
        <is>
          <t>Absolute Endurance XP Seg FICFIA Prev</t>
        </is>
      </c>
      <c r="B269" s="11" t="inlineStr">
        <is>
          <t>37.355.605/0001-05</t>
        </is>
      </c>
      <c r="C269" s="11" t="inlineStr">
        <is>
          <t>Ações</t>
        </is>
      </c>
      <c r="D269" s="11" t="inlineStr">
        <is>
          <t>ABSOLUTE GESTAO DE INVESTIMENTOS LTDA</t>
        </is>
      </c>
      <c r="E269" s="11" t="inlineStr">
        <is>
          <t>xp</t>
        </is>
      </c>
      <c r="F269" s="19" t="n">
        <v>1296552.65</v>
      </c>
      <c r="G269" s="19" t="n">
        <v>2541331.66</v>
      </c>
      <c r="H269" s="23" t="n">
        <v>-1244779.01</v>
      </c>
      <c r="I269" s="19" t="n">
        <v>23591231.94</v>
      </c>
      <c r="J269" s="19" t="n">
        <v>23442494.1</v>
      </c>
      <c r="K269" s="21" t="n">
        <v>-5.28</v>
      </c>
      <c r="L269" s="21" t="n">
        <v>5.24</v>
      </c>
      <c r="M269" s="22" t="n">
        <v>59</v>
      </c>
      <c r="N269" s="11" t="inlineStr">
        <is>
          <t>virou entrada</t>
        </is>
      </c>
      <c r="O269" s="11" t="inlineStr"/>
    </row>
    <row r="270">
      <c r="A270" s="11" t="inlineStr">
        <is>
          <t>Reach Prev Moderado FIM Prev MM RL</t>
        </is>
      </c>
      <c r="B270" s="11" t="inlineStr">
        <is>
          <t>32.398.441/0001-80</t>
        </is>
      </c>
      <c r="C270" s="11" t="inlineStr">
        <is>
          <t>Multimercados</t>
        </is>
      </c>
      <c r="D270" s="11" t="inlineStr">
        <is>
          <t>REACH CAPITAL INVESTIMENTOS S.A</t>
        </is>
      </c>
      <c r="E270" s="11" t="inlineStr">
        <is>
          <t>btg</t>
        </is>
      </c>
      <c r="F270" s="19" t="n">
        <v>77783.95</v>
      </c>
      <c r="G270" s="19" t="n">
        <v>1369193.98</v>
      </c>
      <c r="H270" s="23" t="n">
        <v>-1291410.03</v>
      </c>
      <c r="I270" s="19" t="n">
        <v>2054421.57</v>
      </c>
      <c r="J270" s="19" t="n">
        <v>1215999.01</v>
      </c>
      <c r="K270" s="21" t="n">
        <v>-62.86</v>
      </c>
      <c r="L270" s="21" t="n">
        <v>-1.14</v>
      </c>
      <c r="M270" s="22" t="n">
        <v>59</v>
      </c>
      <c r="N270" s="11" t="inlineStr">
        <is>
          <t>virou entrada</t>
        </is>
      </c>
      <c r="O270" s="11" t="inlineStr">
        <is>
          <t>sim</t>
        </is>
      </c>
    </row>
    <row r="271">
      <c r="A271" s="11" t="inlineStr">
        <is>
          <t>BTG Autoinvest Balanceado Prev FIM CrPr RL</t>
        </is>
      </c>
      <c r="B271" s="11" t="inlineStr">
        <is>
          <t>44.672.908/0001-17</t>
        </is>
      </c>
      <c r="C271" s="11" t="inlineStr">
        <is>
          <t>Multimercados</t>
        </is>
      </c>
      <c r="D271" s="11" t="inlineStr">
        <is>
          <t>BTG PACTUAL GESTÃO E CONSULTORIA DE INVESTIMENTOS LTDA</t>
        </is>
      </c>
      <c r="E271" s="11" t="inlineStr">
        <is>
          <t>btg</t>
        </is>
      </c>
      <c r="F271" s="19" t="n">
        <v>46364.47</v>
      </c>
      <c r="G271" s="19" t="n">
        <v>1340037.28</v>
      </c>
      <c r="H271" s="23" t="n">
        <v>-1293672.81</v>
      </c>
      <c r="I271" s="19" t="n">
        <v>3098423.51</v>
      </c>
      <c r="J271" s="19" t="n">
        <v>1910275.81</v>
      </c>
      <c r="K271" s="21" t="n">
        <v>-41.75</v>
      </c>
      <c r="L271" s="21" t="n">
        <v>4.16</v>
      </c>
      <c r="M271" s="22" t="n">
        <v>59</v>
      </c>
      <c r="N271" s="11" t="inlineStr">
        <is>
          <t>saída persistente</t>
        </is>
      </c>
      <c r="O271" s="11" t="inlineStr"/>
    </row>
    <row r="272">
      <c r="A272" s="11" t="inlineStr">
        <is>
          <t>Tork Long Only XP Seg Prev FIC FIA FIE</t>
        </is>
      </c>
      <c r="B272" s="11" t="inlineStr">
        <is>
          <t>34.432.014/0001-04</t>
        </is>
      </c>
      <c r="C272" s="11" t="inlineStr">
        <is>
          <t>Multimercados</t>
        </is>
      </c>
      <c r="D272" s="11" t="inlineStr">
        <is>
          <t>XP GESTÃO DE RECURSOS LTDA</t>
        </is>
      </c>
      <c r="E272" s="11" t="inlineStr">
        <is>
          <t>xp</t>
        </is>
      </c>
      <c r="F272" s="19" t="n">
        <v>0</v>
      </c>
      <c r="G272" s="19" t="n">
        <v>1313564.44</v>
      </c>
      <c r="H272" s="23" t="n">
        <v>-1313564.44</v>
      </c>
      <c r="I272" s="19" t="n">
        <v>5601995.97</v>
      </c>
      <c r="J272" s="19" t="n">
        <v>4272434.5</v>
      </c>
      <c r="K272" s="21" t="n">
        <v>-23.45</v>
      </c>
      <c r="L272" s="21" t="n">
        <v>0.41</v>
      </c>
      <c r="M272" s="22" t="n">
        <v>59</v>
      </c>
      <c r="N272" s="11" t="inlineStr">
        <is>
          <t>saída persistente</t>
        </is>
      </c>
      <c r="O272" s="11" t="inlineStr"/>
    </row>
    <row r="273">
      <c r="A273" s="11" t="inlineStr">
        <is>
          <t>Porto Selection Prev FICFIRF FIE 1 CrPr RL</t>
        </is>
      </c>
      <c r="B273" s="11" t="inlineStr">
        <is>
          <t>51.639.846/0001-07</t>
        </is>
      </c>
      <c r="C273" s="11" t="inlineStr">
        <is>
          <t>Renda Fixa</t>
        </is>
      </c>
      <c r="D273" s="11" t="inlineStr">
        <is>
          <t>PORTO SEGURO INVESTIMENTOS LTDA</t>
        </is>
      </c>
      <c r="E273" s="11" t="inlineStr">
        <is>
          <t>btg</t>
        </is>
      </c>
      <c r="F273" s="19" t="n">
        <v>292553.91</v>
      </c>
      <c r="G273" s="19" t="n">
        <v>1672450.18</v>
      </c>
      <c r="H273" s="23" t="n">
        <v>-1379896.27</v>
      </c>
      <c r="I273" s="19" t="n">
        <v>25249594.12</v>
      </c>
      <c r="J273" s="19" t="n">
        <v>24631562.28</v>
      </c>
      <c r="K273" s="21" t="n">
        <v>-5.47</v>
      </c>
      <c r="L273" s="21" t="n">
        <v>3.11</v>
      </c>
      <c r="M273" s="22" t="n">
        <v>59</v>
      </c>
      <c r="N273" s="11" t="inlineStr">
        <is>
          <t>saída persistente</t>
        </is>
      </c>
      <c r="O273" s="11" t="inlineStr"/>
    </row>
    <row r="274">
      <c r="A274" s="11" t="inlineStr">
        <is>
          <t>ARX Income Icatu Prev FIM RL</t>
        </is>
      </c>
      <c r="B274" s="11" t="inlineStr">
        <is>
          <t>03.879.361/0001-48</t>
        </is>
      </c>
      <c r="C274" s="11" t="inlineStr">
        <is>
          <t>Multimercados</t>
        </is>
      </c>
      <c r="D274" s="11" t="inlineStr">
        <is>
          <t>ARX INVESTIMENTOS LTDA</t>
        </is>
      </c>
      <c r="E274" s="11" t="inlineStr">
        <is>
          <t>btg</t>
        </is>
      </c>
      <c r="F274" s="19" t="n">
        <v>2348862.34</v>
      </c>
      <c r="G274" s="19" t="n">
        <v>3728919.19</v>
      </c>
      <c r="H274" s="23" t="n">
        <v>-1380056.85</v>
      </c>
      <c r="I274" s="19" t="n">
        <v>89353859.41</v>
      </c>
      <c r="J274" s="19" t="n">
        <v>94181154.68000001</v>
      </c>
      <c r="K274" s="21" t="n">
        <v>-1.54</v>
      </c>
      <c r="L274" s="21" t="n">
        <v>6.55</v>
      </c>
      <c r="M274" s="22" t="n">
        <v>59</v>
      </c>
      <c r="N274" s="11" t="inlineStr">
        <is>
          <t>saída persistente</t>
        </is>
      </c>
      <c r="O274" s="11" t="inlineStr"/>
    </row>
    <row r="275">
      <c r="A275" s="11" t="inlineStr">
        <is>
          <t>3R Genus Hedge Prev FIM RL</t>
        </is>
      </c>
      <c r="B275" s="11" t="inlineStr">
        <is>
          <t>51.694.298/0001-18</t>
        </is>
      </c>
      <c r="C275" s="11" t="inlineStr">
        <is>
          <t>Multimercados</t>
        </is>
      </c>
      <c r="D275" s="11" t="inlineStr">
        <is>
          <t>3R GESTORA DE RECURSOS LTDA</t>
        </is>
      </c>
      <c r="E275" s="11" t="inlineStr">
        <is>
          <t>btg</t>
        </is>
      </c>
      <c r="F275" s="19" t="n">
        <v>0</v>
      </c>
      <c r="G275" s="19" t="n">
        <v>1480889.03</v>
      </c>
      <c r="H275" s="23" t="n">
        <v>-1480889.03</v>
      </c>
      <c r="I275" s="19" t="n">
        <v>1807719.54</v>
      </c>
      <c r="J275" s="19" t="n">
        <v>333381.86</v>
      </c>
      <c r="K275" s="21" t="n">
        <v>-81.92</v>
      </c>
      <c r="L275" s="21" t="n">
        <v>0.03</v>
      </c>
      <c r="M275" s="22" t="n">
        <v>59</v>
      </c>
      <c r="N275" s="11" t="inlineStr">
        <is>
          <t>saída persistente</t>
        </is>
      </c>
      <c r="O275" s="11" t="inlineStr">
        <is>
          <t>sim</t>
        </is>
      </c>
    </row>
    <row r="276">
      <c r="A276" s="11" t="inlineStr">
        <is>
          <t>Occam Xp Seg Prev Fic Fim Rl</t>
        </is>
      </c>
      <c r="B276" s="11" t="inlineStr">
        <is>
          <t>32.312.361/0001-60</t>
        </is>
      </c>
      <c r="C276" s="11" t="inlineStr">
        <is>
          <t>Multimercados</t>
        </is>
      </c>
      <c r="D276" s="11" t="inlineStr">
        <is>
          <t>XP VIDA E PREVIDÊNCIA S.A.</t>
        </is>
      </c>
      <c r="E276" s="11" t="inlineStr">
        <is>
          <t>xp</t>
        </is>
      </c>
      <c r="F276" s="19" t="n">
        <v>31475.71</v>
      </c>
      <c r="G276" s="19" t="n">
        <v>1523150.34</v>
      </c>
      <c r="H276" s="23" t="n">
        <v>-1491674.63</v>
      </c>
      <c r="I276" s="19" t="n">
        <v>16392555.03</v>
      </c>
      <c r="J276" s="19" t="n">
        <v>15277231.02</v>
      </c>
      <c r="K276" s="21" t="n">
        <v>-9.1</v>
      </c>
      <c r="L276" s="21" t="n">
        <v>2.43</v>
      </c>
      <c r="M276" s="22" t="n">
        <v>59</v>
      </c>
      <c r="N276" s="11" t="inlineStr">
        <is>
          <t>saída persistente</t>
        </is>
      </c>
      <c r="O276" s="11" t="inlineStr"/>
    </row>
    <row r="277">
      <c r="A277" s="11" t="inlineStr">
        <is>
          <t>Sulamérica Prestige Xp Seg Prev Fif Rf Rl</t>
        </is>
      </c>
      <c r="B277" s="11" t="inlineStr">
        <is>
          <t>46.334.681/0001-25</t>
        </is>
      </c>
      <c r="C277" s="11" t="inlineStr">
        <is>
          <t>Renda Fixa</t>
        </is>
      </c>
      <c r="D277" s="11" t="inlineStr">
        <is>
          <t>SUL AMÉRICA INVESTIMENTOS GESTORA DE RECURSOS S.A.</t>
        </is>
      </c>
      <c r="E277" s="11" t="inlineStr">
        <is>
          <t>xp</t>
        </is>
      </c>
      <c r="F277" s="19" t="n">
        <v>13103557.66</v>
      </c>
      <c r="G277" s="19" t="n">
        <v>14694393.13</v>
      </c>
      <c r="H277" s="23" t="n">
        <v>-1590835.47</v>
      </c>
      <c r="I277" s="19" t="n">
        <v>148107430.87</v>
      </c>
      <c r="J277" s="19" t="n">
        <v>151363815.99</v>
      </c>
      <c r="K277" s="21" t="n">
        <v>-1.07</v>
      </c>
      <c r="L277" s="21" t="n">
        <v>2.96</v>
      </c>
      <c r="M277" s="22" t="n">
        <v>59</v>
      </c>
      <c r="N277" s="11" t="inlineStr">
        <is>
          <t>virou entrada</t>
        </is>
      </c>
      <c r="O277" s="11" t="inlineStr"/>
    </row>
    <row r="278">
      <c r="A278" s="11" t="inlineStr">
        <is>
          <t>Hix Xp Seg Prev Fic Fim</t>
        </is>
      </c>
      <c r="B278" s="11" t="inlineStr">
        <is>
          <t>40.779.216/0001-11</t>
        </is>
      </c>
      <c r="C278" s="11" t="inlineStr">
        <is>
          <t>Multimercados</t>
        </is>
      </c>
      <c r="D278" s="11" t="inlineStr">
        <is>
          <t>XP VIDA E PREVIDÊNCIA S.A.</t>
        </is>
      </c>
      <c r="E278" s="11" t="inlineStr">
        <is>
          <t>xp</t>
        </is>
      </c>
      <c r="F278" s="19" t="n">
        <v>1287225.02</v>
      </c>
      <c r="G278" s="19" t="n">
        <v>2895294.06</v>
      </c>
      <c r="H278" s="23" t="n">
        <v>-1608069.04</v>
      </c>
      <c r="I278" s="19" t="n">
        <v>31967961.2</v>
      </c>
      <c r="J278" s="19" t="n">
        <v>30931233.45</v>
      </c>
      <c r="K278" s="21" t="n">
        <v>-5.03</v>
      </c>
      <c r="L278" s="21" t="n">
        <v>1.94</v>
      </c>
      <c r="M278" s="22" t="n">
        <v>59</v>
      </c>
      <c r="N278" s="11" t="inlineStr">
        <is>
          <t>virou entrada</t>
        </is>
      </c>
      <c r="O278" s="11" t="inlineStr"/>
    </row>
    <row r="279">
      <c r="A279" s="11" t="inlineStr">
        <is>
          <t>Oceana Long Biased Advisory XP Seg Prev FIC FIM</t>
        </is>
      </c>
      <c r="B279" s="11" t="inlineStr">
        <is>
          <t>38.236.291/0001-94</t>
        </is>
      </c>
      <c r="C279" s="11" t="inlineStr">
        <is>
          <t>Multimercados</t>
        </is>
      </c>
      <c r="D279" s="11" t="inlineStr">
        <is>
          <t>OCEANA INVESTIMENTOS ADMINISTRADORA DE CARTEIRA DE VALORES MOBILIÁRIOS LTDA</t>
        </is>
      </c>
      <c r="E279" s="11" t="inlineStr">
        <is>
          <t>xp</t>
        </is>
      </c>
      <c r="F279" s="19" t="n">
        <v>2483328.37</v>
      </c>
      <c r="G279" s="19" t="n">
        <v>4125029.68</v>
      </c>
      <c r="H279" s="23" t="n">
        <v>-1641701.31</v>
      </c>
      <c r="I279" s="19" t="n">
        <v>43634921.4</v>
      </c>
      <c r="J279" s="19" t="n">
        <v>44017897.28</v>
      </c>
      <c r="K279" s="21" t="n">
        <v>-3.76</v>
      </c>
      <c r="L279" s="21" t="n">
        <v>5.05</v>
      </c>
      <c r="M279" s="22" t="n">
        <v>59</v>
      </c>
      <c r="N279" s="11" t="inlineStr">
        <is>
          <t>virou entrada</t>
        </is>
      </c>
      <c r="O279" s="11" t="inlineStr"/>
    </row>
    <row r="280">
      <c r="A280" s="11" t="inlineStr">
        <is>
          <t>XP Strategy III Prev FIC FIM RL</t>
        </is>
      </c>
      <c r="B280" s="11" t="inlineStr">
        <is>
          <t>46.099.658/0001-01</t>
        </is>
      </c>
      <c r="C280" s="11" t="inlineStr">
        <is>
          <t>Multimercados</t>
        </is>
      </c>
      <c r="D280" s="11" t="inlineStr">
        <is>
          <t>XP VIDA E PREVIDÊNCIA S.A.</t>
        </is>
      </c>
      <c r="E280" s="11" t="inlineStr">
        <is>
          <t>xp</t>
        </is>
      </c>
      <c r="F280" s="19" t="n">
        <v>3404.83</v>
      </c>
      <c r="G280" s="19" t="n">
        <v>1657157.09</v>
      </c>
      <c r="H280" s="23" t="n">
        <v>-1653752.26</v>
      </c>
      <c r="I280" s="19" t="n">
        <v>8532568.470000001</v>
      </c>
      <c r="J280" s="19" t="n">
        <v>6874698.83</v>
      </c>
      <c r="K280" s="21" t="n">
        <v>-19.38</v>
      </c>
      <c r="L280" s="21" t="n">
        <v>-0.09</v>
      </c>
      <c r="M280" s="22" t="n">
        <v>57</v>
      </c>
      <c r="N280" s="11" t="inlineStr">
        <is>
          <t>saída persistente</t>
        </is>
      </c>
      <c r="O280" s="11" t="inlineStr"/>
    </row>
    <row r="281">
      <c r="A281" s="11" t="inlineStr">
        <is>
          <t>Exes Prev FIE FICFIM CrPr RL</t>
        </is>
      </c>
      <c r="B281" s="11" t="inlineStr">
        <is>
          <t>42.730.600/0001-55</t>
        </is>
      </c>
      <c r="C281" s="11" t="inlineStr">
        <is>
          <t>Multimercados</t>
        </is>
      </c>
      <c r="D281" s="11" t="inlineStr">
        <is>
          <t>EXES GESTORA DE RECURSOS LTDA.</t>
        </is>
      </c>
      <c r="E281" s="11" t="inlineStr">
        <is>
          <t>btg</t>
        </is>
      </c>
      <c r="F281" s="19" t="n">
        <v>3651526.35</v>
      </c>
      <c r="G281" s="19" t="n">
        <v>5312550.1</v>
      </c>
      <c r="H281" s="23" t="n">
        <v>-1661023.75</v>
      </c>
      <c r="I281" s="19" t="n">
        <v>153494963.69</v>
      </c>
      <c r="J281" s="19" t="n">
        <v>155544865.26</v>
      </c>
      <c r="K281" s="21" t="n">
        <v>-1.08</v>
      </c>
      <c r="L281" s="21" t="n">
        <v>2.45</v>
      </c>
      <c r="M281" s="22" t="n">
        <v>59</v>
      </c>
      <c r="N281" s="11" t="inlineStr">
        <is>
          <t>virou entrada</t>
        </is>
      </c>
      <c r="O281" s="11" t="inlineStr"/>
    </row>
    <row r="282">
      <c r="A282" s="11" t="inlineStr">
        <is>
          <t>HIX Prev III Prev FICFIA RL</t>
        </is>
      </c>
      <c r="B282" s="11" t="inlineStr">
        <is>
          <t>43.507.741/0001-76</t>
        </is>
      </c>
      <c r="C282" s="11" t="inlineStr">
        <is>
          <t>Ações</t>
        </is>
      </c>
      <c r="D282" s="11" t="inlineStr">
        <is>
          <t>HIX INVESTIMENTOS LTDA</t>
        </is>
      </c>
      <c r="E282" s="11" t="inlineStr">
        <is>
          <t>btg</t>
        </is>
      </c>
      <c r="F282" s="19" t="n">
        <v>255767.11</v>
      </c>
      <c r="G282" s="19" t="n">
        <v>1948365.3</v>
      </c>
      <c r="H282" s="23" t="n">
        <v>-1692598.19</v>
      </c>
      <c r="I282" s="19" t="n">
        <v>7444577.15</v>
      </c>
      <c r="J282" s="19" t="n">
        <v>5784234</v>
      </c>
      <c r="K282" s="21" t="n">
        <v>-22.74</v>
      </c>
      <c r="L282" s="21" t="n">
        <v>0.97</v>
      </c>
      <c r="M282" s="22" t="n">
        <v>59</v>
      </c>
      <c r="N282" s="11" t="inlineStr">
        <is>
          <t>virou entrada</t>
        </is>
      </c>
      <c r="O282" s="11" t="inlineStr"/>
    </row>
    <row r="283">
      <c r="A283" s="11" t="inlineStr">
        <is>
          <t>Kad Ima-B Xp Seg Prev Ficfim Rl</t>
        </is>
      </c>
      <c r="B283" s="11" t="inlineStr">
        <is>
          <t>44.434.888/0001-46</t>
        </is>
      </c>
      <c r="C283" s="11" t="inlineStr">
        <is>
          <t>Multimercados</t>
        </is>
      </c>
      <c r="D283" s="11" t="inlineStr">
        <is>
          <t>XP VIDA E PREVIDÊNCIA S.A.</t>
        </is>
      </c>
      <c r="E283" s="11" t="inlineStr">
        <is>
          <t>xp</t>
        </is>
      </c>
      <c r="F283" s="19" t="n">
        <v>517671.58</v>
      </c>
      <c r="G283" s="19" t="n">
        <v>2228520.48</v>
      </c>
      <c r="H283" s="23" t="n">
        <v>-1710848.9</v>
      </c>
      <c r="I283" s="19" t="n">
        <v>32509593.48</v>
      </c>
      <c r="J283" s="19" t="n">
        <v>32514045.49</v>
      </c>
      <c r="K283" s="21" t="n">
        <v>-5.26</v>
      </c>
      <c r="L283" s="21" t="n">
        <v>5.52</v>
      </c>
      <c r="M283" s="22" t="n">
        <v>59</v>
      </c>
      <c r="N283" s="11" t="inlineStr">
        <is>
          <t>virou entrada</t>
        </is>
      </c>
      <c r="O283" s="11" t="inlineStr"/>
    </row>
    <row r="284">
      <c r="A284" s="11" t="inlineStr">
        <is>
          <t>Itaú Janeiro XP Seg FIF CIC MM RL</t>
        </is>
      </c>
      <c r="B284" s="11" t="inlineStr">
        <is>
          <t>61.922.156/0001-14</t>
        </is>
      </c>
      <c r="C284" s="11" t="inlineStr">
        <is>
          <t>Multimercados</t>
        </is>
      </c>
      <c r="D284" s="11" t="inlineStr">
        <is>
          <t>ITAU UNIBANCO ASSET MANAGEMENT LTDA.</t>
        </is>
      </c>
      <c r="E284" s="11" t="inlineStr">
        <is>
          <t>xp</t>
        </is>
      </c>
      <c r="F284" s="19" t="n">
        <v>1073751.01</v>
      </c>
      <c r="G284" s="19" t="n">
        <v>2808282.03</v>
      </c>
      <c r="H284" s="23" t="n">
        <v>-1734531.02</v>
      </c>
      <c r="I284" s="19" t="n">
        <v>131857448.84</v>
      </c>
      <c r="J284" s="19" t="n">
        <v>132670081.74</v>
      </c>
      <c r="K284" s="21" t="n">
        <v>-1.32</v>
      </c>
      <c r="L284" s="21" t="n">
        <v>2.41</v>
      </c>
      <c r="M284" s="22" t="n">
        <v>59</v>
      </c>
      <c r="N284" s="11" t="inlineStr">
        <is>
          <t>saída persistente</t>
        </is>
      </c>
      <c r="O284" s="11" t="inlineStr"/>
    </row>
    <row r="285">
      <c r="A285" s="11" t="inlineStr">
        <is>
          <t>Xp Long Biased Advisory Xp Seg Fic Fim</t>
        </is>
      </c>
      <c r="B285" s="11" t="inlineStr">
        <is>
          <t>35.744.196/0001-03</t>
        </is>
      </c>
      <c r="C285" s="11" t="inlineStr">
        <is>
          <t>Multimercados</t>
        </is>
      </c>
      <c r="D285" s="11" t="inlineStr">
        <is>
          <t>XP GESTÃO DE RECURSOS LTDA</t>
        </is>
      </c>
      <c r="E285" s="11" t="inlineStr">
        <is>
          <t>xp</t>
        </is>
      </c>
      <c r="F285" s="19" t="n">
        <v>345173.67</v>
      </c>
      <c r="G285" s="19" t="n">
        <v>2111266.58</v>
      </c>
      <c r="H285" s="23" t="n">
        <v>-1766092.91</v>
      </c>
      <c r="I285" s="19" t="n">
        <v>21995412.24</v>
      </c>
      <c r="J285" s="19" t="n">
        <v>19904239.96</v>
      </c>
      <c r="K285" s="21" t="n">
        <v>-8.029999999999999</v>
      </c>
      <c r="L285" s="21" t="n">
        <v>-0.33</v>
      </c>
      <c r="M285" s="22" t="n">
        <v>59</v>
      </c>
      <c r="N285" s="11" t="inlineStr">
        <is>
          <t>saída persistente</t>
        </is>
      </c>
      <c r="O285" s="11" t="inlineStr"/>
    </row>
    <row r="286">
      <c r="A286" s="11" t="inlineStr">
        <is>
          <t>DNA Energy Prev XP Seg FIM</t>
        </is>
      </c>
      <c r="B286" s="11" t="inlineStr">
        <is>
          <t>35.420.731/0001-70</t>
        </is>
      </c>
      <c r="C286" s="11" t="inlineStr">
        <is>
          <t>Multimercados</t>
        </is>
      </c>
      <c r="D286" s="11" t="inlineStr">
        <is>
          <t>XP ADVISORY GESTAO DE RECURSOS LTDA</t>
        </is>
      </c>
      <c r="E286" s="11" t="inlineStr">
        <is>
          <t>xp</t>
        </is>
      </c>
      <c r="F286" s="19" t="n">
        <v>80717.69</v>
      </c>
      <c r="G286" s="19" t="n">
        <v>1860352.21</v>
      </c>
      <c r="H286" s="23" t="n">
        <v>-1779634.52</v>
      </c>
      <c r="I286" s="19" t="n">
        <v>20752679.06</v>
      </c>
      <c r="J286" s="19" t="n">
        <v>19843133.14</v>
      </c>
      <c r="K286" s="21" t="n">
        <v>-8.58</v>
      </c>
      <c r="L286" s="21" t="n">
        <v>4.39</v>
      </c>
      <c r="M286" s="22" t="n">
        <v>53</v>
      </c>
      <c r="N286" s="11" t="inlineStr">
        <is>
          <t>saída persistente</t>
        </is>
      </c>
      <c r="O286" s="11" t="inlineStr"/>
    </row>
    <row r="287">
      <c r="A287" s="11" t="inlineStr">
        <is>
          <t>Legacy Crédito Prev Advisory XP Seg FIC FIRF CP</t>
        </is>
      </c>
      <c r="B287" s="11" t="inlineStr">
        <is>
          <t>42.195.844/0001-85</t>
        </is>
      </c>
      <c r="C287" s="11" t="inlineStr">
        <is>
          <t>Renda Fixa</t>
        </is>
      </c>
      <c r="D287" s="11" t="inlineStr">
        <is>
          <t>LEGACY CAPITAL GESTORA DE RECURSOS LTDA.</t>
        </is>
      </c>
      <c r="E287" s="11" t="inlineStr">
        <is>
          <t>xp</t>
        </is>
      </c>
      <c r="F287" s="19" t="n">
        <v>209559.38</v>
      </c>
      <c r="G287" s="19" t="n">
        <v>1996115.55</v>
      </c>
      <c r="H287" s="23" t="n">
        <v>-1786556.17</v>
      </c>
      <c r="I287" s="19" t="n">
        <v>25435024.32</v>
      </c>
      <c r="J287" s="19" t="n">
        <v>24213759.67</v>
      </c>
      <c r="K287" s="21" t="n">
        <v>-7.02</v>
      </c>
      <c r="L287" s="21" t="n">
        <v>2.7</v>
      </c>
      <c r="M287" s="22" t="n">
        <v>59</v>
      </c>
      <c r="N287" s="11" t="inlineStr">
        <is>
          <t>saída persistente</t>
        </is>
      </c>
      <c r="O287" s="11" t="inlineStr"/>
    </row>
    <row r="288">
      <c r="A288" s="11" t="inlineStr">
        <is>
          <t>Reach Total Return Xp Seg Fic Fim</t>
        </is>
      </c>
      <c r="B288" s="11" t="inlineStr">
        <is>
          <t>44.157.016/0001-88</t>
        </is>
      </c>
      <c r="C288" s="11" t="inlineStr">
        <is>
          <t>Multimercados</t>
        </is>
      </c>
      <c r="D288" s="11" t="inlineStr">
        <is>
          <t>XP VIDA E PREVIDÊNCIA S.A.</t>
        </is>
      </c>
      <c r="E288" s="11" t="inlineStr">
        <is>
          <t>xp</t>
        </is>
      </c>
      <c r="F288" s="19" t="n">
        <v>17438.99</v>
      </c>
      <c r="G288" s="19" t="n">
        <v>1845218.98</v>
      </c>
      <c r="H288" s="23" t="n">
        <v>-1827779.99</v>
      </c>
      <c r="I288" s="19" t="n">
        <v>6150174.12</v>
      </c>
      <c r="J288" s="19" t="n">
        <v>4183497.36</v>
      </c>
      <c r="K288" s="21" t="n">
        <v>-29.72</v>
      </c>
      <c r="L288" s="21" t="n">
        <v>-3.19</v>
      </c>
      <c r="M288" s="22" t="n">
        <v>59</v>
      </c>
      <c r="N288" s="11" t="inlineStr">
        <is>
          <t>saída persistente</t>
        </is>
      </c>
      <c r="O288" s="11" t="inlineStr"/>
    </row>
    <row r="289">
      <c r="A289" s="11" t="inlineStr">
        <is>
          <t>Icatu Vanguarda Credito Global Prev FICFIM CrPr RL</t>
        </is>
      </c>
      <c r="B289" s="11" t="inlineStr">
        <is>
          <t>36.352.241/0001-47</t>
        </is>
      </c>
      <c r="C289" s="11" t="inlineStr">
        <is>
          <t>Multimercados</t>
        </is>
      </c>
      <c r="D289" s="11" t="inlineStr">
        <is>
          <t>ICATU VANGUARDA GESTÃO DE RECURSOS LTDA</t>
        </is>
      </c>
      <c r="E289" s="11" t="inlineStr">
        <is>
          <t>btg</t>
        </is>
      </c>
      <c r="F289" s="19" t="n">
        <v>215132.33</v>
      </c>
      <c r="G289" s="19" t="n">
        <v>2045250.97</v>
      </c>
      <c r="H289" s="23" t="n">
        <v>-1830118.64</v>
      </c>
      <c r="I289" s="19" t="n">
        <v>25768105.11</v>
      </c>
      <c r="J289" s="19" t="n">
        <v>24794144.88</v>
      </c>
      <c r="K289" s="21" t="n">
        <v>-7.1</v>
      </c>
      <c r="L289" s="21" t="n">
        <v>2.5</v>
      </c>
      <c r="M289" s="22" t="n">
        <v>59</v>
      </c>
      <c r="N289" s="11" t="inlineStr">
        <is>
          <t>saída persistente</t>
        </is>
      </c>
      <c r="O289" s="11" t="inlineStr"/>
    </row>
    <row r="290">
      <c r="A290" s="11" t="inlineStr">
        <is>
          <t>Gap Absoluto XP Seg IQ FIC FIM</t>
        </is>
      </c>
      <c r="B290" s="11" t="inlineStr">
        <is>
          <t>35.956.326/0001-71</t>
        </is>
      </c>
      <c r="C290" s="11" t="inlineStr">
        <is>
          <t>Multimercados</t>
        </is>
      </c>
      <c r="D290" s="11" t="inlineStr">
        <is>
          <t>LEGACY CAPITAL GESTORA DE RECURSOS LTDA.</t>
        </is>
      </c>
      <c r="E290" s="11" t="inlineStr">
        <is>
          <t>xp</t>
        </is>
      </c>
      <c r="F290" s="19" t="n">
        <v>900.76</v>
      </c>
      <c r="G290" s="19" t="n">
        <v>1831693.6</v>
      </c>
      <c r="H290" s="23" t="n">
        <v>-1830792.84</v>
      </c>
      <c r="I290" s="19" t="n">
        <v>11765081.8</v>
      </c>
      <c r="J290" s="19" t="n">
        <v>10121854.75</v>
      </c>
      <c r="K290" s="21" t="n">
        <v>-15.56</v>
      </c>
      <c r="L290" s="21" t="n">
        <v>1.75</v>
      </c>
      <c r="M290" s="22" t="n">
        <v>59</v>
      </c>
      <c r="N290" s="11" t="inlineStr">
        <is>
          <t>saída persistente</t>
        </is>
      </c>
      <c r="O290" s="11" t="inlineStr"/>
    </row>
    <row r="291">
      <c r="A291" s="11" t="inlineStr">
        <is>
          <t>Alaska Long Only Prev 70 FICFIM RL</t>
        </is>
      </c>
      <c r="B291" s="11" t="inlineStr">
        <is>
          <t>41.881.132/0001-57</t>
        </is>
      </c>
      <c r="C291" s="11" t="inlineStr">
        <is>
          <t>Multimercados</t>
        </is>
      </c>
      <c r="D291" s="11" t="inlineStr">
        <is>
          <t>ALASKA INVESTIMENTOS LTDA.</t>
        </is>
      </c>
      <c r="E291" s="11" t="inlineStr">
        <is>
          <t>btg</t>
        </is>
      </c>
      <c r="F291" s="19" t="n">
        <v>1000091.3</v>
      </c>
      <c r="G291" s="19" t="n">
        <v>2856306.42</v>
      </c>
      <c r="H291" s="23" t="n">
        <v>-1856215.12</v>
      </c>
      <c r="I291" s="19" t="n">
        <v>21414447.4</v>
      </c>
      <c r="J291" s="19" t="n">
        <v>19860860.87</v>
      </c>
      <c r="K291" s="21" t="n">
        <v>-8.67</v>
      </c>
      <c r="L291" s="21" t="n">
        <v>2.16</v>
      </c>
      <c r="M291" s="22" t="n">
        <v>59</v>
      </c>
      <c r="N291" s="11" t="inlineStr">
        <is>
          <t>virou entrada</t>
        </is>
      </c>
      <c r="O291" s="11" t="inlineStr"/>
    </row>
    <row r="292">
      <c r="A292" s="11" t="inlineStr">
        <is>
          <t>HIX Icatu Prev Long Only Qualificado FICFIM 100 RL</t>
        </is>
      </c>
      <c r="B292" s="11" t="inlineStr">
        <is>
          <t>29.800.227/0001-01</t>
        </is>
      </c>
      <c r="C292" s="11" t="inlineStr">
        <is>
          <t>Multimercados</t>
        </is>
      </c>
      <c r="D292" s="11" t="inlineStr">
        <is>
          <t>HIX INVESTIMENTOS LTDA</t>
        </is>
      </c>
      <c r="E292" s="11" t="inlineStr">
        <is>
          <t>btg</t>
        </is>
      </c>
      <c r="F292" s="19" t="n">
        <v>238079.04</v>
      </c>
      <c r="G292" s="19" t="n">
        <v>2126014.68</v>
      </c>
      <c r="H292" s="23" t="n">
        <v>-1887935.64</v>
      </c>
      <c r="I292" s="19" t="n">
        <v>21529706.26</v>
      </c>
      <c r="J292" s="19" t="n">
        <v>20122935.44</v>
      </c>
      <c r="K292" s="21" t="n">
        <v>-8.77</v>
      </c>
      <c r="L292" s="21" t="n">
        <v>2.5</v>
      </c>
      <c r="M292" s="22" t="n">
        <v>59</v>
      </c>
      <c r="N292" s="11" t="inlineStr">
        <is>
          <t>saída persistente</t>
        </is>
      </c>
      <c r="O292" s="11" t="inlineStr"/>
    </row>
    <row r="293">
      <c r="A293" s="11" t="inlineStr">
        <is>
          <t>Icatu Kadima FIE Prev FICFIM RL</t>
        </is>
      </c>
      <c r="B293" s="11" t="inlineStr">
        <is>
          <t>15.862.867/0001-23</t>
        </is>
      </c>
      <c r="C293" s="11" t="inlineStr">
        <is>
          <t>Multimercados</t>
        </is>
      </c>
      <c r="D293" s="11" t="inlineStr">
        <is>
          <t>KADIMA GESTAO DE INVESTIMENTOS LTDA</t>
        </is>
      </c>
      <c r="E293" s="11" t="inlineStr">
        <is>
          <t>btg</t>
        </is>
      </c>
      <c r="F293" s="19" t="n">
        <v>871229.8199999999</v>
      </c>
      <c r="G293" s="19" t="n">
        <v>2767480.2</v>
      </c>
      <c r="H293" s="23" t="n">
        <v>-1896250.38</v>
      </c>
      <c r="I293" s="19" t="n">
        <v>55402199.75</v>
      </c>
      <c r="J293" s="19" t="n">
        <v>55417887.54</v>
      </c>
      <c r="K293" s="21" t="n">
        <v>-3.42</v>
      </c>
      <c r="L293" s="21" t="n">
        <v>3.39</v>
      </c>
      <c r="M293" s="22" t="n">
        <v>59</v>
      </c>
      <c r="N293" s="11" t="inlineStr">
        <is>
          <t>saída persistente</t>
        </is>
      </c>
      <c r="O293" s="11" t="inlineStr"/>
    </row>
    <row r="294">
      <c r="A294" s="11" t="inlineStr">
        <is>
          <t>Verde Am Lb 70 Advisory Xp Seg Prev Fic Fim Rl</t>
        </is>
      </c>
      <c r="B294" s="11" t="inlineStr">
        <is>
          <t>30.830.240/0001-84</t>
        </is>
      </c>
      <c r="C294" s="11" t="inlineStr">
        <is>
          <t>Multimercados</t>
        </is>
      </c>
      <c r="D294" s="11" t="inlineStr">
        <is>
          <t>XP VIDA E PREVIDÊNCIA S.A.</t>
        </is>
      </c>
      <c r="E294" s="11" t="inlineStr">
        <is>
          <t>xp</t>
        </is>
      </c>
      <c r="F294" s="19" t="n">
        <v>1280623.77</v>
      </c>
      <c r="G294" s="19" t="n">
        <v>3177472.48</v>
      </c>
      <c r="H294" s="23" t="n">
        <v>-1896848.71</v>
      </c>
      <c r="I294" s="19" t="n">
        <v>46153050.83</v>
      </c>
      <c r="J294" s="19" t="n">
        <v>46537357.53</v>
      </c>
      <c r="K294" s="21" t="n">
        <v>-4.11</v>
      </c>
      <c r="L294" s="21" t="n">
        <v>5.06</v>
      </c>
      <c r="M294" s="22" t="n">
        <v>59</v>
      </c>
      <c r="N294" s="11" t="inlineStr">
        <is>
          <t>saída persistente</t>
        </is>
      </c>
      <c r="O294" s="11" t="inlineStr"/>
    </row>
    <row r="295">
      <c r="A295" s="11" t="inlineStr">
        <is>
          <t>Bahia Am Rf Ativo Prev Xp Seg Fic Fim</t>
        </is>
      </c>
      <c r="B295" s="11" t="inlineStr">
        <is>
          <t>45.645.241/0001-26</t>
        </is>
      </c>
      <c r="C295" s="11" t="inlineStr">
        <is>
          <t>Multimercados</t>
        </is>
      </c>
      <c r="D295" s="11" t="inlineStr">
        <is>
          <t>XP VIDA E PREVIDÊNCIA S.A.</t>
        </is>
      </c>
      <c r="E295" s="11" t="inlineStr">
        <is>
          <t>xp</t>
        </is>
      </c>
      <c r="F295" s="19" t="n">
        <v>18311.29</v>
      </c>
      <c r="G295" s="19" t="n">
        <v>1979811.44</v>
      </c>
      <c r="H295" s="23" t="n">
        <v>-1961500.15</v>
      </c>
      <c r="I295" s="19" t="n">
        <v>9401800.35</v>
      </c>
      <c r="J295" s="19" t="n">
        <v>7706942.48</v>
      </c>
      <c r="K295" s="21" t="n">
        <v>-20.86</v>
      </c>
      <c r="L295" s="21" t="n">
        <v>3.12</v>
      </c>
      <c r="M295" s="22" t="n">
        <v>59</v>
      </c>
      <c r="N295" s="11" t="inlineStr">
        <is>
          <t>saída persistente</t>
        </is>
      </c>
      <c r="O295" s="11" t="inlineStr"/>
    </row>
    <row r="296">
      <c r="A296" s="11" t="inlineStr">
        <is>
          <t>Capitânia Prev Inflação D30 XP Seg Advisory FIC FIRF CP</t>
        </is>
      </c>
      <c r="B296" s="11" t="inlineStr">
        <is>
          <t>43.779.018/0001-46</t>
        </is>
      </c>
      <c r="C296" s="11" t="inlineStr">
        <is>
          <t>Renda Fixa</t>
        </is>
      </c>
      <c r="D296" s="11" t="inlineStr">
        <is>
          <t>XP VIDA E PREVIDÊNCIA S.A.</t>
        </is>
      </c>
      <c r="E296" s="11" t="inlineStr">
        <is>
          <t>xp</t>
        </is>
      </c>
      <c r="F296" s="19" t="n">
        <v>767421.35</v>
      </c>
      <c r="G296" s="19" t="n">
        <v>2861595.93</v>
      </c>
      <c r="H296" s="23" t="n">
        <v>-2094174.58</v>
      </c>
      <c r="I296" s="19" t="n">
        <v>24647452.61</v>
      </c>
      <c r="J296" s="19" t="n">
        <v>23010731.57</v>
      </c>
      <c r="K296" s="21" t="n">
        <v>-8.5</v>
      </c>
      <c r="L296" s="21" t="n">
        <v>1.97</v>
      </c>
      <c r="M296" s="22" t="n">
        <v>59</v>
      </c>
      <c r="N296" s="11" t="inlineStr">
        <is>
          <t>saída persistente</t>
        </is>
      </c>
      <c r="O296" s="11" t="inlineStr"/>
    </row>
    <row r="297">
      <c r="A297" s="11" t="inlineStr">
        <is>
          <t>Xp Equity Hedge Seguros Prev I Fic Fim Rl</t>
        </is>
      </c>
      <c r="B297" s="11" t="inlineStr">
        <is>
          <t>32.990.465/0001-23</t>
        </is>
      </c>
      <c r="C297" s="11" t="inlineStr">
        <is>
          <t>Multimercados</t>
        </is>
      </c>
      <c r="D297" s="11" t="inlineStr">
        <is>
          <t>XP VIDA E PREVIDÊNCIA S.A.</t>
        </is>
      </c>
      <c r="E297" s="11" t="inlineStr">
        <is>
          <t>xp</t>
        </is>
      </c>
      <c r="F297" s="19" t="n">
        <v>18948.57</v>
      </c>
      <c r="G297" s="19" t="n">
        <v>2122260.4</v>
      </c>
      <c r="H297" s="23" t="n">
        <v>-2103311.83</v>
      </c>
      <c r="I297" s="19" t="n">
        <v>29638164.87</v>
      </c>
      <c r="J297" s="19" t="n">
        <v>27313569.75</v>
      </c>
      <c r="K297" s="21" t="n">
        <v>-7.1</v>
      </c>
      <c r="L297" s="21" t="n">
        <v>-0.98</v>
      </c>
      <c r="M297" s="22" t="n">
        <v>58</v>
      </c>
      <c r="N297" s="11" t="inlineStr">
        <is>
          <t>saída persistente</t>
        </is>
      </c>
      <c r="O297" s="11" t="inlineStr"/>
    </row>
    <row r="298">
      <c r="A298" s="11" t="inlineStr">
        <is>
          <t>M Global 40 Xp Seg Prev Fic Fim Rl</t>
        </is>
      </c>
      <c r="B298" s="11" t="inlineStr">
        <is>
          <t>40.682.081/0001-71</t>
        </is>
      </c>
      <c r="C298" s="11" t="inlineStr">
        <is>
          <t>Multimercados</t>
        </is>
      </c>
      <c r="D298" s="11" t="inlineStr">
        <is>
          <t>XP ALLOCATION ASSET MANAGEMENT LTDA</t>
        </is>
      </c>
      <c r="E298" s="11" t="inlineStr">
        <is>
          <t>xp</t>
        </is>
      </c>
      <c r="F298" s="19" t="n">
        <v>77410.72</v>
      </c>
      <c r="G298" s="19" t="n">
        <v>2223108.56</v>
      </c>
      <c r="H298" s="23" t="n">
        <v>-2145697.84</v>
      </c>
      <c r="I298" s="19" t="n">
        <v>28650459.77</v>
      </c>
      <c r="J298" s="19" t="n">
        <v>27167217.27</v>
      </c>
      <c r="K298" s="21" t="n">
        <v>-7.49</v>
      </c>
      <c r="L298" s="21" t="n">
        <v>2.43</v>
      </c>
      <c r="M298" s="22" t="n">
        <v>59</v>
      </c>
      <c r="N298" s="11" t="inlineStr">
        <is>
          <t>saída persistente</t>
        </is>
      </c>
      <c r="O298" s="11" t="inlineStr"/>
    </row>
    <row r="299">
      <c r="A299" s="11" t="inlineStr">
        <is>
          <t>V8 Vanquish Termo Prev FICFIRF Access CrPr RL</t>
        </is>
      </c>
      <c r="B299" s="11" t="inlineStr">
        <is>
          <t>55.275.543/0001-03</t>
        </is>
      </c>
      <c r="C299" s="11" t="inlineStr">
        <is>
          <t>Renda Fixa</t>
        </is>
      </c>
      <c r="D299" s="11" t="inlineStr">
        <is>
          <t>BTG PACTUAL GESTÃO E CONSULTORIA DE INVESTIMENTOS LTDA</t>
        </is>
      </c>
      <c r="E299" s="11" t="inlineStr">
        <is>
          <t>btg</t>
        </is>
      </c>
      <c r="F299" s="19" t="n">
        <v>5472139.82</v>
      </c>
      <c r="G299" s="19" t="n">
        <v>7720113.31</v>
      </c>
      <c r="H299" s="23" t="n">
        <v>-2247973.49</v>
      </c>
      <c r="I299" s="19" t="n">
        <v>69726049.03</v>
      </c>
      <c r="J299" s="19" t="n">
        <v>69513317.86</v>
      </c>
      <c r="K299" s="21" t="n">
        <v>-3.22</v>
      </c>
      <c r="L299" s="21" t="n">
        <v>2.93</v>
      </c>
      <c r="M299" s="22" t="n">
        <v>59</v>
      </c>
      <c r="N299" s="11" t="inlineStr">
        <is>
          <t>saída persistente</t>
        </is>
      </c>
      <c r="O299" s="11" t="inlineStr"/>
    </row>
    <row r="300">
      <c r="A300" s="11" t="inlineStr">
        <is>
          <t>Verde AM Long Bias 70 Icatu Prev FIE FIM RL</t>
        </is>
      </c>
      <c r="B300" s="11" t="inlineStr">
        <is>
          <t>35.363.972/0001-25</t>
        </is>
      </c>
      <c r="C300" s="11" t="inlineStr">
        <is>
          <t>Multimercados</t>
        </is>
      </c>
      <c r="D300" s="11" t="inlineStr">
        <is>
          <t>VERDE ASSET MANAGEMENT S.A.</t>
        </is>
      </c>
      <c r="E300" s="11" t="inlineStr">
        <is>
          <t>btg</t>
        </is>
      </c>
      <c r="F300" s="19" t="n">
        <v>638838.86</v>
      </c>
      <c r="G300" s="19" t="n">
        <v>2923287.41</v>
      </c>
      <c r="H300" s="23" t="n">
        <v>-2284448.55</v>
      </c>
      <c r="I300" s="19" t="n">
        <v>38678465.25</v>
      </c>
      <c r="J300" s="19" t="n">
        <v>38458217.06</v>
      </c>
      <c r="K300" s="21" t="n">
        <v>-5.91</v>
      </c>
      <c r="L300" s="21" t="n">
        <v>5.71</v>
      </c>
      <c r="M300" s="22" t="n">
        <v>59</v>
      </c>
      <c r="N300" s="11" t="inlineStr">
        <is>
          <t>saída persistente</t>
        </is>
      </c>
      <c r="O300" s="11" t="inlineStr"/>
    </row>
    <row r="301">
      <c r="A301" s="11" t="inlineStr">
        <is>
          <t>Giant Zarathustra 80 Prev Xp Seg Fic Fim Rl</t>
        </is>
      </c>
      <c r="B301" s="11" t="inlineStr">
        <is>
          <t>47.020.660/0001-06</t>
        </is>
      </c>
      <c r="C301" s="11" t="inlineStr">
        <is>
          <t>Multimercados</t>
        </is>
      </c>
      <c r="D301" s="11" t="inlineStr">
        <is>
          <t>XP VIDA E PREVIDÊNCIA S.A.</t>
        </is>
      </c>
      <c r="E301" s="11" t="inlineStr">
        <is>
          <t>xp</t>
        </is>
      </c>
      <c r="F301" s="19" t="n">
        <v>21518.42</v>
      </c>
      <c r="G301" s="19" t="n">
        <v>2311930.04</v>
      </c>
      <c r="H301" s="23" t="n">
        <v>-2290411.62</v>
      </c>
      <c r="I301" s="19" t="n">
        <v>10558689.95</v>
      </c>
      <c r="J301" s="19" t="n">
        <v>8563030.07</v>
      </c>
      <c r="K301" s="21" t="n">
        <v>-21.69</v>
      </c>
      <c r="L301" s="21" t="n">
        <v>3.22</v>
      </c>
      <c r="M301" s="22" t="n">
        <v>59</v>
      </c>
      <c r="N301" s="11" t="inlineStr">
        <is>
          <t>saída persistente</t>
        </is>
      </c>
      <c r="O301" s="11" t="inlineStr"/>
    </row>
    <row r="302">
      <c r="A302" s="11" t="inlineStr">
        <is>
          <t>Vrb Advisory Rf Prev Fundo De Investimento Multimercado Crédito Privado</t>
        </is>
      </c>
      <c r="B302" s="11" t="inlineStr">
        <is>
          <t>45.645.386/0001-27</t>
        </is>
      </c>
      <c r="C302" s="11" t="inlineStr">
        <is>
          <t>Multimercados</t>
        </is>
      </c>
      <c r="D302" s="11" t="inlineStr">
        <is>
          <t>XP ADVISORY GESTAO DE RECURSOS LTDA</t>
        </is>
      </c>
      <c r="E302" s="11" t="inlineStr">
        <is>
          <t>xp</t>
        </is>
      </c>
      <c r="F302" s="19" t="n">
        <v>6956629.62</v>
      </c>
      <c r="G302" s="19" t="n">
        <v>9269737.82</v>
      </c>
      <c r="H302" s="23" t="n">
        <v>-2313108.2</v>
      </c>
      <c r="I302" s="19" t="n">
        <v>423680440.56</v>
      </c>
      <c r="J302" s="19" t="n">
        <v>434079465.83</v>
      </c>
      <c r="K302" s="21" t="n">
        <v>-0.55</v>
      </c>
      <c r="L302" s="21" t="n">
        <v>2.93</v>
      </c>
      <c r="M302" s="22" t="n">
        <v>58</v>
      </c>
      <c r="N302" s="11" t="inlineStr">
        <is>
          <t>saída persistente</t>
        </is>
      </c>
      <c r="O302" s="11" t="inlineStr"/>
    </row>
    <row r="303">
      <c r="A303" s="11" t="inlineStr">
        <is>
          <t>Absolute Pace Xp Seg Prev Fif Em Ações Rl</t>
        </is>
      </c>
      <c r="B303" s="11" t="inlineStr">
        <is>
          <t>61.201.512/0001-00</t>
        </is>
      </c>
      <c r="C303" s="11" t="inlineStr">
        <is>
          <t>Ações</t>
        </is>
      </c>
      <c r="D303" s="11" t="inlineStr">
        <is>
          <t>ABSOLUTE GESTAO DE INVESTIMENTOS LTDA</t>
        </is>
      </c>
      <c r="E303" s="11" t="inlineStr">
        <is>
          <t>xp</t>
        </is>
      </c>
      <c r="F303" s="19" t="n">
        <v>238009.29</v>
      </c>
      <c r="G303" s="19" t="n">
        <v>2566215.55</v>
      </c>
      <c r="H303" s="23" t="n">
        <v>-2328206.26</v>
      </c>
      <c r="I303" s="19" t="n">
        <v>48862031.99</v>
      </c>
      <c r="J303" s="19" t="n">
        <v>48847738.44</v>
      </c>
      <c r="K303" s="21" t="n">
        <v>-4.76</v>
      </c>
      <c r="L303" s="21" t="n">
        <v>4.88</v>
      </c>
      <c r="M303" s="22" t="n">
        <v>59</v>
      </c>
      <c r="N303" s="11" t="inlineStr">
        <is>
          <t>saída persistente</t>
        </is>
      </c>
      <c r="O303" s="11" t="inlineStr"/>
    </row>
    <row r="304">
      <c r="A304" s="11" t="inlineStr">
        <is>
          <t>Constellation XP Seg 100 Prev FIC FIM</t>
        </is>
      </c>
      <c r="B304" s="11" t="inlineStr">
        <is>
          <t>35.651.477/0001-11</t>
        </is>
      </c>
      <c r="C304" s="11" t="inlineStr">
        <is>
          <t>Multimercados</t>
        </is>
      </c>
      <c r="D304" s="11" t="inlineStr">
        <is>
          <t>CONSTELLATION INVESTIMENTOS E PARTICIPAÇÕES LTDA</t>
        </is>
      </c>
      <c r="E304" s="11" t="inlineStr">
        <is>
          <t>xp</t>
        </is>
      </c>
      <c r="F304" s="19" t="n">
        <v>315014.57</v>
      </c>
      <c r="G304" s="19" t="n">
        <v>2644882.75</v>
      </c>
      <c r="H304" s="23" t="n">
        <v>-2329868.18</v>
      </c>
      <c r="I304" s="19" t="n">
        <v>33722488.22</v>
      </c>
      <c r="J304" s="19" t="n">
        <v>33832838.76</v>
      </c>
      <c r="K304" s="21" t="n">
        <v>-6.91</v>
      </c>
      <c r="L304" s="21" t="n">
        <v>7.51</v>
      </c>
      <c r="M304" s="22" t="n">
        <v>59</v>
      </c>
      <c r="N304" s="11" t="inlineStr">
        <is>
          <t>saída persistente</t>
        </is>
      </c>
      <c r="O304" s="11" t="inlineStr"/>
    </row>
    <row r="305">
      <c r="A305" s="11" t="inlineStr">
        <is>
          <t>Occam Icatu Prev FICFIM RL</t>
        </is>
      </c>
      <c r="B305" s="11" t="inlineStr">
        <is>
          <t>17.685.620/0001-04</t>
        </is>
      </c>
      <c r="C305" s="11" t="inlineStr">
        <is>
          <t>Multimercados</t>
        </is>
      </c>
      <c r="D305" s="11" t="inlineStr">
        <is>
          <t>OCCAM BRASIL GESTÃO DE RECURSOS LTDA.</t>
        </is>
      </c>
      <c r="E305" s="11" t="inlineStr">
        <is>
          <t>btg</t>
        </is>
      </c>
      <c r="F305" s="19" t="n">
        <v>363692.09</v>
      </c>
      <c r="G305" s="19" t="n">
        <v>2717993.44</v>
      </c>
      <c r="H305" s="23" t="n">
        <v>-2354301.35</v>
      </c>
      <c r="I305" s="19" t="n">
        <v>26730842.47</v>
      </c>
      <c r="J305" s="19" t="n">
        <v>24980558.52</v>
      </c>
      <c r="K305" s="21" t="n">
        <v>-8.81</v>
      </c>
      <c r="L305" s="21" t="n">
        <v>2.38</v>
      </c>
      <c r="M305" s="22" t="n">
        <v>59</v>
      </c>
      <c r="N305" s="11" t="inlineStr">
        <is>
          <t>saída persistente</t>
        </is>
      </c>
      <c r="O305" s="11" t="inlineStr"/>
    </row>
    <row r="306">
      <c r="A306" s="11" t="inlineStr">
        <is>
          <t>Encore Long Biased 70 XP Seg Prev FIC FIM</t>
        </is>
      </c>
      <c r="B306" s="11" t="inlineStr">
        <is>
          <t>41.802.178/0001-33</t>
        </is>
      </c>
      <c r="C306" s="11" t="inlineStr">
        <is>
          <t>Multimercados</t>
        </is>
      </c>
      <c r="D306" s="11" t="inlineStr">
        <is>
          <t>XP VIDA E PREVIDÊNCIA S.A.</t>
        </is>
      </c>
      <c r="E306" s="11" t="inlineStr">
        <is>
          <t>xp</t>
        </is>
      </c>
      <c r="F306" s="19" t="n">
        <v>1214055.27</v>
      </c>
      <c r="G306" s="19" t="n">
        <v>3712637.39</v>
      </c>
      <c r="H306" s="23" t="n">
        <v>-2498582.12</v>
      </c>
      <c r="I306" s="19" t="n">
        <v>29925662.05</v>
      </c>
      <c r="J306" s="19" t="n">
        <v>28444132.22</v>
      </c>
      <c r="K306" s="21" t="n">
        <v>-8.35</v>
      </c>
      <c r="L306" s="21" t="n">
        <v>3.96</v>
      </c>
      <c r="M306" s="22" t="n">
        <v>58</v>
      </c>
      <c r="N306" s="11" t="inlineStr">
        <is>
          <t>saída persistente</t>
        </is>
      </c>
      <c r="O306" s="11" t="inlineStr"/>
    </row>
    <row r="307">
      <c r="A307" s="11" t="inlineStr">
        <is>
          <t>Leblon 70 XP Seg Prev FIM</t>
        </is>
      </c>
      <c r="B307" s="11" t="inlineStr">
        <is>
          <t>27.793.095/0001-02</t>
        </is>
      </c>
      <c r="C307" s="11" t="inlineStr">
        <is>
          <t>Multimercados</t>
        </is>
      </c>
      <c r="D307" s="11" t="inlineStr">
        <is>
          <t>LEBLON EQUITIES GESTAO DE RECURSOS LTDA</t>
        </is>
      </c>
      <c r="E307" s="11" t="inlineStr">
        <is>
          <t>xp</t>
        </is>
      </c>
      <c r="F307" s="19" t="n">
        <v>176904.43</v>
      </c>
      <c r="G307" s="19" t="n">
        <v>2680303.61</v>
      </c>
      <c r="H307" s="23" t="n">
        <v>-2503399.18</v>
      </c>
      <c r="I307" s="19" t="n">
        <v>35423659.28</v>
      </c>
      <c r="J307" s="19" t="n">
        <v>35726300.77</v>
      </c>
      <c r="K307" s="21" t="n">
        <v>-7.07</v>
      </c>
      <c r="L307" s="21" t="n">
        <v>8.199999999999999</v>
      </c>
      <c r="M307" s="22" t="n">
        <v>59</v>
      </c>
      <c r="N307" s="11" t="inlineStr">
        <is>
          <t>saída persistente</t>
        </is>
      </c>
      <c r="O307" s="11" t="inlineStr"/>
    </row>
    <row r="308">
      <c r="A308" s="11" t="inlineStr">
        <is>
          <t>Vinci Equilibrio Advisory XP Seg Prev FIM</t>
        </is>
      </c>
      <c r="B308" s="11" t="inlineStr">
        <is>
          <t>32.319.702/0001-29</t>
        </is>
      </c>
      <c r="C308" s="11" t="inlineStr">
        <is>
          <t>Multimercados</t>
        </is>
      </c>
      <c r="D308" s="11" t="inlineStr">
        <is>
          <t>VINCI SOLUÇÕES DE INVESTIMENTOS LTDA</t>
        </is>
      </c>
      <c r="E308" s="11" t="inlineStr">
        <is>
          <t>xp</t>
        </is>
      </c>
      <c r="F308" s="19" t="n">
        <v>56825.05</v>
      </c>
      <c r="G308" s="19" t="n">
        <v>2608948.66</v>
      </c>
      <c r="H308" s="23" t="n">
        <v>-2552123.61</v>
      </c>
      <c r="I308" s="19" t="n">
        <v>30001690.24</v>
      </c>
      <c r="J308" s="19" t="n">
        <v>28309035.13</v>
      </c>
      <c r="K308" s="21" t="n">
        <v>-8.51</v>
      </c>
      <c r="L308" s="21" t="n">
        <v>2.98</v>
      </c>
      <c r="M308" s="22" t="n">
        <v>59</v>
      </c>
      <c r="N308" s="11" t="inlineStr">
        <is>
          <t>saída persistente</t>
        </is>
      </c>
      <c r="O308" s="11" t="inlineStr"/>
    </row>
    <row r="309">
      <c r="A309" s="11" t="inlineStr">
        <is>
          <t>Capitânia Reit Prev Adv XP Seg FIE I FIC FIM CP</t>
        </is>
      </c>
      <c r="B309" s="11" t="inlineStr">
        <is>
          <t>35.955.948/0001-85</t>
        </is>
      </c>
      <c r="C309" s="11" t="inlineStr">
        <is>
          <t>Multimercados</t>
        </is>
      </c>
      <c r="D309" s="11" t="inlineStr">
        <is>
          <t>CAPITANIA PREV S.A.</t>
        </is>
      </c>
      <c r="E309" s="11" t="inlineStr">
        <is>
          <t>xp</t>
        </is>
      </c>
      <c r="F309" s="19" t="n">
        <v>28534.36</v>
      </c>
      <c r="G309" s="19" t="n">
        <v>2583078.87</v>
      </c>
      <c r="H309" s="23" t="n">
        <v>-2554544.51</v>
      </c>
      <c r="I309" s="19" t="n">
        <v>19570471.58</v>
      </c>
      <c r="J309" s="19" t="n">
        <v>17096487.96</v>
      </c>
      <c r="K309" s="21" t="n">
        <v>-13.05</v>
      </c>
      <c r="L309" s="21" t="n">
        <v>0.53</v>
      </c>
      <c r="M309" s="22" t="n">
        <v>59</v>
      </c>
      <c r="N309" s="11" t="inlineStr">
        <is>
          <t>saída persistente</t>
        </is>
      </c>
      <c r="O309" s="11" t="inlineStr"/>
    </row>
    <row r="310">
      <c r="A310" s="11" t="inlineStr">
        <is>
          <t>Xp Termo Xp Seg Prev Ficfim Cp</t>
        </is>
      </c>
      <c r="B310" s="11" t="inlineStr">
        <is>
          <t>47.032.813/0001-27</t>
        </is>
      </c>
      <c r="C310" s="11" t="inlineStr">
        <is>
          <t>Multimercados</t>
        </is>
      </c>
      <c r="D310" s="11" t="inlineStr">
        <is>
          <t>XP VIDA E PREVIDÊNCIA S.A.</t>
        </is>
      </c>
      <c r="E310" s="11" t="inlineStr">
        <is>
          <t>xp</t>
        </is>
      </c>
      <c r="F310" s="19" t="n">
        <v>410256.96</v>
      </c>
      <c r="G310" s="19" t="n">
        <v>2966498.69</v>
      </c>
      <c r="H310" s="23" t="n">
        <v>-2556241.73</v>
      </c>
      <c r="I310" s="19" t="n">
        <v>20144278.2</v>
      </c>
      <c r="J310" s="19" t="n">
        <v>17967164.46</v>
      </c>
      <c r="K310" s="21" t="n">
        <v>-12.69</v>
      </c>
      <c r="L310" s="21" t="n">
        <v>2.76</v>
      </c>
      <c r="M310" s="22" t="n">
        <v>58</v>
      </c>
      <c r="N310" s="11" t="inlineStr">
        <is>
          <t>saída persistente</t>
        </is>
      </c>
      <c r="O310" s="11" t="inlineStr"/>
    </row>
    <row r="311">
      <c r="A311" s="11" t="inlineStr">
        <is>
          <t>Alaska Prev 100 Long Only FICFIM RL</t>
        </is>
      </c>
      <c r="B311" s="11" t="inlineStr">
        <is>
          <t>37.313.900/0001-07</t>
        </is>
      </c>
      <c r="C311" s="11" t="inlineStr">
        <is>
          <t>Multimercados</t>
        </is>
      </c>
      <c r="D311" s="11" t="inlineStr">
        <is>
          <t>ALASKA INVESTIMENTOS LTDA.</t>
        </is>
      </c>
      <c r="E311" s="11" t="inlineStr">
        <is>
          <t>btg</t>
        </is>
      </c>
      <c r="F311" s="19" t="n">
        <v>1253690.4</v>
      </c>
      <c r="G311" s="19" t="n">
        <v>3876792.74</v>
      </c>
      <c r="H311" s="23" t="n">
        <v>-2623102.34</v>
      </c>
      <c r="I311" s="19" t="n">
        <v>26011857.13</v>
      </c>
      <c r="J311" s="19" t="n">
        <v>24122029.39</v>
      </c>
      <c r="K311" s="21" t="n">
        <v>-10.08</v>
      </c>
      <c r="L311" s="21" t="n">
        <v>1.6</v>
      </c>
      <c r="M311" s="22" t="n">
        <v>59</v>
      </c>
      <c r="N311" s="11" t="inlineStr">
        <is>
          <t>saída persistente</t>
        </is>
      </c>
      <c r="O311" s="11" t="inlineStr"/>
    </row>
    <row r="312">
      <c r="A312" s="11" t="inlineStr">
        <is>
          <t>XP Seg Superprev FIM</t>
        </is>
      </c>
      <c r="B312" s="11" t="inlineStr">
        <is>
          <t>35.420.569/0001-90</t>
        </is>
      </c>
      <c r="C312" s="11" t="inlineStr">
        <is>
          <t>Multimercados</t>
        </is>
      </c>
      <c r="D312" s="11" t="inlineStr">
        <is>
          <t>XP VIDA E PREVIDÊNCIA S.A.</t>
        </is>
      </c>
      <c r="E312" s="11" t="inlineStr">
        <is>
          <t>xp</t>
        </is>
      </c>
      <c r="F312" s="19" t="n">
        <v>25065889.01</v>
      </c>
      <c r="G312" s="19" t="n">
        <v>27763125.62</v>
      </c>
      <c r="H312" s="23" t="n">
        <v>-2697236.61</v>
      </c>
      <c r="I312" s="19" t="n">
        <v>498983550.03</v>
      </c>
      <c r="J312" s="19" t="n">
        <v>512645147.95</v>
      </c>
      <c r="K312" s="21" t="n">
        <v>-0.54</v>
      </c>
      <c r="L312" s="21" t="n">
        <v>3.3</v>
      </c>
      <c r="M312" s="22" t="n">
        <v>59</v>
      </c>
      <c r="N312" s="11" t="inlineStr">
        <is>
          <t>saída persistente</t>
        </is>
      </c>
      <c r="O312" s="11" t="inlineStr"/>
    </row>
    <row r="313">
      <c r="A313" s="11" t="inlineStr">
        <is>
          <t>Dahlia 100 Advisory XP Seg Prev FIC FIM</t>
        </is>
      </c>
      <c r="B313" s="11" t="inlineStr">
        <is>
          <t>36.327.214/0001-14</t>
        </is>
      </c>
      <c r="C313" s="11" t="inlineStr">
        <is>
          <t>Multimercados</t>
        </is>
      </c>
      <c r="D313" s="11" t="inlineStr">
        <is>
          <t>DAHLIA CAPITAL GESTÃO DE RECURSOS LTDA.</t>
        </is>
      </c>
      <c r="E313" s="11" t="inlineStr">
        <is>
          <t>xp</t>
        </is>
      </c>
      <c r="F313" s="19" t="n">
        <v>1327067.5</v>
      </c>
      <c r="G313" s="19" t="n">
        <v>4142067.13</v>
      </c>
      <c r="H313" s="23" t="n">
        <v>-2814999.63</v>
      </c>
      <c r="I313" s="19" t="n">
        <v>38386842.83</v>
      </c>
      <c r="J313" s="19" t="n">
        <v>36177787.41</v>
      </c>
      <c r="K313" s="21" t="n">
        <v>-7.33</v>
      </c>
      <c r="L313" s="21" t="n">
        <v>1.68</v>
      </c>
      <c r="M313" s="22" t="n">
        <v>59</v>
      </c>
      <c r="N313" s="11" t="inlineStr">
        <is>
          <t>virou entrada</t>
        </is>
      </c>
      <c r="O313" s="11" t="inlineStr"/>
    </row>
    <row r="314">
      <c r="A314" s="11" t="inlineStr">
        <is>
          <t>Safra Vitesse Prev FICFIRF Access CrPr RL</t>
        </is>
      </c>
      <c r="B314" s="11" t="inlineStr">
        <is>
          <t>51.623.929/0001-08</t>
        </is>
      </c>
      <c r="C314" s="11" t="inlineStr">
        <is>
          <t>Renda Fixa</t>
        </is>
      </c>
      <c r="D314" s="11" t="inlineStr">
        <is>
          <t>BTG PACTUAL GESTÃO E CONSULTORIA DE INVESTIMENTOS LTDA</t>
        </is>
      </c>
      <c r="E314" s="11" t="inlineStr">
        <is>
          <t>btg</t>
        </is>
      </c>
      <c r="F314" s="19" t="n">
        <v>1902783.6</v>
      </c>
      <c r="G314" s="19" t="n">
        <v>4725591.03</v>
      </c>
      <c r="H314" s="23" t="n">
        <v>-2822807.43</v>
      </c>
      <c r="I314" s="19" t="n">
        <v>50167252.13</v>
      </c>
      <c r="J314" s="19" t="n">
        <v>48715860.24</v>
      </c>
      <c r="K314" s="21" t="n">
        <v>-5.63</v>
      </c>
      <c r="L314" s="21" t="n">
        <v>2.96</v>
      </c>
      <c r="M314" s="22" t="n">
        <v>59</v>
      </c>
      <c r="N314" s="11" t="inlineStr">
        <is>
          <t>saída persistente</t>
        </is>
      </c>
      <c r="O314" s="11" t="inlineStr"/>
    </row>
    <row r="315">
      <c r="A315" s="11" t="inlineStr">
        <is>
          <t>Empiricus FoF Superprevidencia Arrojado Icatu Prev FIM RL</t>
        </is>
      </c>
      <c r="B315" s="11" t="inlineStr">
        <is>
          <t>33.269.222/0001-63</t>
        </is>
      </c>
      <c r="C315" s="11" t="inlineStr">
        <is>
          <t>Multimercados</t>
        </is>
      </c>
      <c r="D315" s="11" t="inlineStr">
        <is>
          <t>BTG PACTUAL GESTÃO E CONSULTORIA DE INVESTIMENTOS LTDA</t>
        </is>
      </c>
      <c r="E315" s="11" t="inlineStr">
        <is>
          <t>btg</t>
        </is>
      </c>
      <c r="F315" s="19" t="n">
        <v>921746.3</v>
      </c>
      <c r="G315" s="19" t="n">
        <v>3829619.36</v>
      </c>
      <c r="H315" s="23" t="n">
        <v>-2907873.06</v>
      </c>
      <c r="I315" s="19" t="n">
        <v>72753814.45</v>
      </c>
      <c r="J315" s="19" t="n">
        <v>73768236.27</v>
      </c>
      <c r="K315" s="21" t="n">
        <v>-4</v>
      </c>
      <c r="L315" s="21" t="n">
        <v>5.54</v>
      </c>
      <c r="M315" s="22" t="n">
        <v>59</v>
      </c>
      <c r="N315" s="11" t="inlineStr">
        <is>
          <t>saída persistente</t>
        </is>
      </c>
      <c r="O315" s="11" t="inlineStr"/>
    </row>
    <row r="316">
      <c r="A316" s="11" t="inlineStr">
        <is>
          <t>Itau Flexprev Vertice Optimus Titan Prev FICFIM Access CrPr RL</t>
        </is>
      </c>
      <c r="B316" s="11" t="inlineStr">
        <is>
          <t>44.803.603/0001-05</t>
        </is>
      </c>
      <c r="C316" s="11" t="inlineStr">
        <is>
          <t>Multimercados</t>
        </is>
      </c>
      <c r="D316" s="11" t="inlineStr">
        <is>
          <t>BTG PACTUAL GESTÃO E CONSULTORIA DE INVESTIMENTOS LTDA</t>
        </is>
      </c>
      <c r="E316" s="11" t="inlineStr">
        <is>
          <t>btg</t>
        </is>
      </c>
      <c r="F316" s="19" t="n">
        <v>1119514.7</v>
      </c>
      <c r="G316" s="19" t="n">
        <v>4133503.13</v>
      </c>
      <c r="H316" s="23" t="n">
        <v>-3013988.43</v>
      </c>
      <c r="I316" s="19" t="n">
        <v>23346651.59</v>
      </c>
      <c r="J316" s="19" t="n">
        <v>21104237.2</v>
      </c>
      <c r="K316" s="21" t="n">
        <v>-12.91</v>
      </c>
      <c r="L316" s="21" t="n">
        <v>3.63</v>
      </c>
      <c r="M316" s="22" t="n">
        <v>59</v>
      </c>
      <c r="N316" s="11" t="inlineStr">
        <is>
          <t>virou entrada</t>
        </is>
      </c>
      <c r="O316" s="11" t="inlineStr"/>
    </row>
    <row r="317">
      <c r="A317" s="11" t="inlineStr">
        <is>
          <t>Kapitalo Zeta XP Seg Prev FIF CIC Multimercado RL</t>
        </is>
      </c>
      <c r="B317" s="11" t="inlineStr">
        <is>
          <t>58.841.072/0001-41</t>
        </is>
      </c>
      <c r="C317" s="11" t="inlineStr">
        <is>
          <t>Multimercados</t>
        </is>
      </c>
      <c r="D317" s="11" t="inlineStr">
        <is>
          <t>KAPITALO INVESTIMENTOS LTDA.</t>
        </is>
      </c>
      <c r="E317" s="11" t="inlineStr">
        <is>
          <t>xp</t>
        </is>
      </c>
      <c r="F317" s="19" t="n">
        <v>4944720.92</v>
      </c>
      <c r="G317" s="19" t="n">
        <v>7970243.26</v>
      </c>
      <c r="H317" s="23" t="n">
        <v>-3025522.34</v>
      </c>
      <c r="I317" s="19" t="n">
        <v>117717216.54</v>
      </c>
      <c r="J317" s="19" t="n">
        <v>124900361.22</v>
      </c>
      <c r="K317" s="21" t="n">
        <v>-2.57</v>
      </c>
      <c r="L317" s="21" t="n">
        <v>8.82</v>
      </c>
      <c r="M317" s="22" t="n">
        <v>58</v>
      </c>
      <c r="N317" s="11" t="inlineStr">
        <is>
          <t>saída persistente</t>
        </is>
      </c>
      <c r="O317" s="11" t="inlineStr"/>
    </row>
    <row r="318">
      <c r="A318" s="11" t="inlineStr">
        <is>
          <t>Kinea Dakar BP Prev FIRF</t>
        </is>
      </c>
      <c r="B318" s="11" t="inlineStr">
        <is>
          <t>52.856.535/0001-62</t>
        </is>
      </c>
      <c r="C318" s="11" t="inlineStr">
        <is>
          <t>Renda Fixa</t>
        </is>
      </c>
      <c r="D318" s="11" t="inlineStr">
        <is>
          <t>BTG PACTUAL GESTÃO E CONSULTORIA DE INVESTIMENTOS LTDA</t>
        </is>
      </c>
      <c r="E318" s="11" t="inlineStr">
        <is>
          <t>btg</t>
        </is>
      </c>
      <c r="F318" s="19" t="n">
        <v>294807.39</v>
      </c>
      <c r="G318" s="19" t="n">
        <v>3408649.87</v>
      </c>
      <c r="H318" s="23" t="n">
        <v>-3113842.48</v>
      </c>
      <c r="I318" s="19" t="n">
        <v>31704131.49</v>
      </c>
      <c r="J318" s="19" t="n">
        <v>29598795.19</v>
      </c>
      <c r="K318" s="21" t="n">
        <v>-9.82</v>
      </c>
      <c r="L318" s="21" t="n">
        <v>3.34</v>
      </c>
      <c r="M318" s="22" t="n">
        <v>59</v>
      </c>
      <c r="N318" s="11" t="inlineStr">
        <is>
          <t>saída persistente</t>
        </is>
      </c>
      <c r="O318" s="11" t="inlineStr"/>
    </row>
    <row r="319">
      <c r="A319" s="11" t="inlineStr">
        <is>
          <t>XP Advisory Portfolio Private II Prev FIM CP</t>
        </is>
      </c>
      <c r="B319" s="11" t="inlineStr">
        <is>
          <t>34.475.199/0001-26</t>
        </is>
      </c>
      <c r="C319" s="11" t="inlineStr">
        <is>
          <t>Multimercados</t>
        </is>
      </c>
      <c r="D319" s="11" t="inlineStr">
        <is>
          <t>XP ADVISORY GESTAO DE RECURSOS LTDA</t>
        </is>
      </c>
      <c r="E319" s="11" t="inlineStr">
        <is>
          <t>xp</t>
        </is>
      </c>
      <c r="F319" s="19" t="n">
        <v>0</v>
      </c>
      <c r="G319" s="19" t="n">
        <v>3254815.89</v>
      </c>
      <c r="H319" s="23" t="n">
        <v>-3254815.89</v>
      </c>
      <c r="I319" s="19" t="n">
        <v>20777691.16</v>
      </c>
      <c r="J319" s="19" t="n">
        <v>18277267.76</v>
      </c>
      <c r="K319" s="21" t="n">
        <v>-15.66</v>
      </c>
      <c r="L319" s="21" t="n">
        <v>4.12</v>
      </c>
      <c r="M319" s="22" t="n">
        <v>49</v>
      </c>
      <c r="N319" s="11" t="inlineStr">
        <is>
          <t>saída persistente</t>
        </is>
      </c>
      <c r="O319" s="11" t="inlineStr"/>
    </row>
    <row r="320">
      <c r="A320" s="11" t="inlineStr">
        <is>
          <t>Kinea Prev Mont Blanc Xp Fif Cotas Rf Cp Rl</t>
        </is>
      </c>
      <c r="B320" s="11" t="inlineStr">
        <is>
          <t>61.182.246/0001-16</t>
        </is>
      </c>
      <c r="C320" s="11" t="inlineStr">
        <is>
          <t>Renda Fixa</t>
        </is>
      </c>
      <c r="D320" s="11" t="inlineStr">
        <is>
          <t>KINEA INVESTIMENTOS LTDA.</t>
        </is>
      </c>
      <c r="E320" s="11" t="inlineStr">
        <is>
          <t>xp</t>
        </is>
      </c>
      <c r="F320" s="19" t="n">
        <v>6228986.98</v>
      </c>
      <c r="G320" s="19" t="n">
        <v>9563562.27</v>
      </c>
      <c r="H320" s="23" t="n">
        <v>-3334575.29</v>
      </c>
      <c r="I320" s="19" t="n">
        <v>107346089.55</v>
      </c>
      <c r="J320" s="19" t="n">
        <v>108654430.22</v>
      </c>
      <c r="K320" s="21" t="n">
        <v>-3.11</v>
      </c>
      <c r="L320" s="21" t="n">
        <v>3.12</v>
      </c>
      <c r="M320" s="22" t="n">
        <v>59</v>
      </c>
      <c r="N320" s="11" t="inlineStr">
        <is>
          <t>saída persistente</t>
        </is>
      </c>
      <c r="O320" s="11" t="inlineStr"/>
    </row>
    <row r="321">
      <c r="A321" s="11" t="inlineStr">
        <is>
          <t>AZ Quest Icatu Multi Prev FICFIM RL</t>
        </is>
      </c>
      <c r="B321" s="11" t="inlineStr">
        <is>
          <t>18.534.967/0001-19</t>
        </is>
      </c>
      <c r="C321" s="11" t="inlineStr">
        <is>
          <t>Multimercados</t>
        </is>
      </c>
      <c r="D321" s="11" t="inlineStr">
        <is>
          <t>AZ Quest Prev Ltda.</t>
        </is>
      </c>
      <c r="E321" s="11" t="inlineStr">
        <is>
          <t>btg</t>
        </is>
      </c>
      <c r="F321" s="19" t="n">
        <v>1130493</v>
      </c>
      <c r="G321" s="19" t="n">
        <v>4578859.98</v>
      </c>
      <c r="H321" s="23" t="n">
        <v>-3448366.98</v>
      </c>
      <c r="I321" s="19" t="n">
        <v>58267132.34</v>
      </c>
      <c r="J321" s="19" t="n">
        <v>56495651.75</v>
      </c>
      <c r="K321" s="21" t="n">
        <v>-5.92</v>
      </c>
      <c r="L321" s="21" t="n">
        <v>3.02</v>
      </c>
      <c r="M321" s="22" t="n">
        <v>59</v>
      </c>
      <c r="N321" s="11" t="inlineStr">
        <is>
          <t>saída persistente</t>
        </is>
      </c>
      <c r="O321" s="11" t="inlineStr"/>
    </row>
    <row r="322">
      <c r="A322" s="11" t="inlineStr">
        <is>
          <t>Atlas ONE Icatu 70 Prev FIM RL</t>
        </is>
      </c>
      <c r="B322" s="11" t="inlineStr">
        <is>
          <t>33.520.932/0001-14</t>
        </is>
      </c>
      <c r="C322" s="11" t="inlineStr">
        <is>
          <t>Multimercados</t>
        </is>
      </c>
      <c r="D322" s="11" t="inlineStr">
        <is>
          <t>ATLAS ONE INVESTIMENTOS GESTÃO DE RECURSOS LTDA.</t>
        </is>
      </c>
      <c r="E322" s="11" t="inlineStr">
        <is>
          <t>btg</t>
        </is>
      </c>
      <c r="F322" s="19" t="n">
        <v>460968.78</v>
      </c>
      <c r="G322" s="19" t="n">
        <v>3994676.79</v>
      </c>
      <c r="H322" s="23" t="n">
        <v>-3533708.01</v>
      </c>
      <c r="I322" s="19" t="n">
        <v>6139963.34</v>
      </c>
      <c r="J322" s="19" t="n">
        <v>2337272.49</v>
      </c>
      <c r="K322" s="21" t="n">
        <v>-57.55</v>
      </c>
      <c r="L322" s="21" t="n">
        <v>-3.22</v>
      </c>
      <c r="M322" s="22" t="n">
        <v>59</v>
      </c>
      <c r="N322" s="11" t="inlineStr">
        <is>
          <t>saída persistente</t>
        </is>
      </c>
      <c r="O322" s="11" t="inlineStr">
        <is>
          <t>sim</t>
        </is>
      </c>
    </row>
    <row r="323">
      <c r="A323" s="11" t="inlineStr">
        <is>
          <t>Riza Icatu Prev Low Vol FIM RL</t>
        </is>
      </c>
      <c r="B323" s="11" t="inlineStr">
        <is>
          <t>31.248.460/0001-67</t>
        </is>
      </c>
      <c r="C323" s="11" t="inlineStr">
        <is>
          <t>Multimercados</t>
        </is>
      </c>
      <c r="D323" s="11" t="inlineStr">
        <is>
          <t>RIZA LÍQUIDOS GESTORA DE RECURSOS LTDA.</t>
        </is>
      </c>
      <c r="E323" s="11" t="inlineStr">
        <is>
          <t>btg</t>
        </is>
      </c>
      <c r="F323" s="19" t="n">
        <v>4935450.17</v>
      </c>
      <c r="G323" s="19" t="n">
        <v>8520022.640000001</v>
      </c>
      <c r="H323" s="23" t="n">
        <v>-3584572.47</v>
      </c>
      <c r="I323" s="19" t="n">
        <v>177929283.25</v>
      </c>
      <c r="J323" s="19" t="n">
        <v>179540609.21</v>
      </c>
      <c r="K323" s="21" t="n">
        <v>-2.01</v>
      </c>
      <c r="L323" s="21" t="n">
        <v>2.96</v>
      </c>
      <c r="M323" s="22" t="n">
        <v>59</v>
      </c>
      <c r="N323" s="11" t="inlineStr">
        <is>
          <t>saída persistente</t>
        </is>
      </c>
      <c r="O323" s="11" t="inlineStr"/>
    </row>
    <row r="324">
      <c r="A324" s="11" t="inlineStr">
        <is>
          <t>Absolute Delfos Xp Seg Prev Fie I Fic Rf Cp Rl</t>
        </is>
      </c>
      <c r="B324" s="11" t="inlineStr">
        <is>
          <t>61.904.092/0001-29</t>
        </is>
      </c>
      <c r="C324" s="11" t="inlineStr">
        <is>
          <t>Renda Fixa</t>
        </is>
      </c>
      <c r="D324" s="11" t="inlineStr">
        <is>
          <t>ABSOLUTE CRÉDITO GESTÃO DE INVESTIMENTOS LTDA.</t>
        </is>
      </c>
      <c r="E324" s="11" t="inlineStr">
        <is>
          <t>xp</t>
        </is>
      </c>
      <c r="F324" s="19" t="n">
        <v>623950.0699999999</v>
      </c>
      <c r="G324" s="19" t="n">
        <v>4244976.36</v>
      </c>
      <c r="H324" s="23" t="n">
        <v>-3621026.29</v>
      </c>
      <c r="I324" s="19" t="n">
        <v>68250769.19</v>
      </c>
      <c r="J324" s="19" t="n">
        <v>67236226.76000001</v>
      </c>
      <c r="K324" s="21" t="n">
        <v>-5.31</v>
      </c>
      <c r="L324" s="21" t="n">
        <v>3.04</v>
      </c>
      <c r="M324" s="22" t="n">
        <v>59</v>
      </c>
      <c r="N324" s="11" t="inlineStr">
        <is>
          <t>virou entrada</t>
        </is>
      </c>
      <c r="O324" s="11" t="inlineStr"/>
    </row>
    <row r="325">
      <c r="A325" s="11" t="inlineStr">
        <is>
          <t>Giant Prev FIE FIC FIM</t>
        </is>
      </c>
      <c r="B325" s="11" t="inlineStr">
        <is>
          <t>32.847.791/0001-86</t>
        </is>
      </c>
      <c r="C325" s="11" t="inlineStr">
        <is>
          <t>Multimercados</t>
        </is>
      </c>
      <c r="D325" s="11" t="inlineStr">
        <is>
          <t>XP VIDA E PREVIDÊNCIA S.A.</t>
        </is>
      </c>
      <c r="E325" s="11" t="inlineStr">
        <is>
          <t>xp</t>
        </is>
      </c>
      <c r="F325" s="19" t="n">
        <v>1173102.29</v>
      </c>
      <c r="G325" s="19" t="n">
        <v>4817213.6</v>
      </c>
      <c r="H325" s="23" t="n">
        <v>-3644111.31</v>
      </c>
      <c r="I325" s="19" t="n">
        <v>34179506.33</v>
      </c>
      <c r="J325" s="19" t="n">
        <v>31599223.59</v>
      </c>
      <c r="K325" s="21" t="n">
        <v>-10.66</v>
      </c>
      <c r="L325" s="21" t="n">
        <v>3.02</v>
      </c>
      <c r="M325" s="22" t="n">
        <v>59</v>
      </c>
      <c r="N325" s="11" t="inlineStr">
        <is>
          <t>saída persistente</t>
        </is>
      </c>
      <c r="O325" s="11" t="inlineStr"/>
    </row>
    <row r="326">
      <c r="A326" s="11" t="inlineStr">
        <is>
          <t>Kinea Prev Atlas BTG Pactual FICFIM RL</t>
        </is>
      </c>
      <c r="B326" s="11" t="inlineStr">
        <is>
          <t>37.728.756/0001-61</t>
        </is>
      </c>
      <c r="C326" s="11" t="inlineStr">
        <is>
          <t>Multimercados</t>
        </is>
      </c>
      <c r="D326" s="11" t="inlineStr">
        <is>
          <t>BTG PACTUAL GESTÃO E CONSULTORIA DE INVESTIMENTOS LTDA</t>
        </is>
      </c>
      <c r="E326" s="11" t="inlineStr">
        <is>
          <t>btg</t>
        </is>
      </c>
      <c r="F326" s="19" t="n">
        <v>6554147.17</v>
      </c>
      <c r="G326" s="19" t="n">
        <v>10283706.08</v>
      </c>
      <c r="H326" s="23" t="n">
        <v>-3729558.91</v>
      </c>
      <c r="I326" s="19" t="n">
        <v>125260099.91</v>
      </c>
      <c r="J326" s="19" t="n">
        <v>126283826.13</v>
      </c>
      <c r="K326" s="21" t="n">
        <v>-2.98</v>
      </c>
      <c r="L326" s="21" t="n">
        <v>3.98</v>
      </c>
      <c r="M326" s="22" t="n">
        <v>59</v>
      </c>
      <c r="N326" s="11" t="inlineStr">
        <is>
          <t>saída persistente</t>
        </is>
      </c>
      <c r="O326" s="11" t="inlineStr"/>
    </row>
    <row r="327">
      <c r="A327" s="11" t="inlineStr">
        <is>
          <t>Brasil Capital 100 B Prev FICFIA RL</t>
        </is>
      </c>
      <c r="B327" s="11" t="inlineStr">
        <is>
          <t>38.015.734/0001-17</t>
        </is>
      </c>
      <c r="C327" s="11" t="inlineStr">
        <is>
          <t>Ações</t>
        </is>
      </c>
      <c r="D327" s="11" t="inlineStr">
        <is>
          <t>BC GESTÃO DE RECURSOS LTDA</t>
        </is>
      </c>
      <c r="E327" s="11" t="inlineStr">
        <is>
          <t>btg</t>
        </is>
      </c>
      <c r="F327" s="19" t="n">
        <v>41997.86</v>
      </c>
      <c r="G327" s="19" t="n">
        <v>3843706.23</v>
      </c>
      <c r="H327" s="23" t="n">
        <v>-3801708.37</v>
      </c>
      <c r="I327" s="19" t="n">
        <v>12310683.27</v>
      </c>
      <c r="J327" s="19" t="n">
        <v>9839807.369999999</v>
      </c>
      <c r="K327" s="21" t="n">
        <v>-30.88</v>
      </c>
      <c r="L327" s="21" t="n">
        <v>13.48</v>
      </c>
      <c r="M327" s="22" t="n">
        <v>59</v>
      </c>
      <c r="N327" s="11" t="inlineStr">
        <is>
          <t>saída persistente</t>
        </is>
      </c>
      <c r="O327" s="11" t="inlineStr"/>
    </row>
    <row r="328">
      <c r="A328" s="11" t="inlineStr">
        <is>
          <t>Dahlia Global 50 Advisory XP Seg Prev FIC FIM</t>
        </is>
      </c>
      <c r="B328" s="11" t="inlineStr">
        <is>
          <t>37.645.515/0001-59</t>
        </is>
      </c>
      <c r="C328" s="11" t="inlineStr">
        <is>
          <t>Multimercados</t>
        </is>
      </c>
      <c r="D328" s="11" t="inlineStr">
        <is>
          <t>DAHLIA CAPITAL GESTÃO DE RECURSOS LTDA.</t>
        </is>
      </c>
      <c r="E328" s="11" t="inlineStr">
        <is>
          <t>xp</t>
        </is>
      </c>
      <c r="F328" s="19" t="n">
        <v>2833959.78</v>
      </c>
      <c r="G328" s="19" t="n">
        <v>6636608.56</v>
      </c>
      <c r="H328" s="23" t="n">
        <v>-3802648.78</v>
      </c>
      <c r="I328" s="19" t="n">
        <v>83406032.84</v>
      </c>
      <c r="J328" s="19" t="n">
        <v>81449940.38</v>
      </c>
      <c r="K328" s="21" t="n">
        <v>-4.56</v>
      </c>
      <c r="L328" s="21" t="n">
        <v>2.25</v>
      </c>
      <c r="M328" s="22" t="n">
        <v>59</v>
      </c>
      <c r="N328" s="11" t="inlineStr">
        <is>
          <t>virou entrada</t>
        </is>
      </c>
      <c r="O328" s="11" t="inlineStr"/>
    </row>
    <row r="329">
      <c r="A329" s="11" t="inlineStr">
        <is>
          <t>Ace Capital Prev Iq Xp Seg Fic Fim</t>
        </is>
      </c>
      <c r="B329" s="11" t="inlineStr">
        <is>
          <t>37.541.379/0001-57</t>
        </is>
      </c>
      <c r="C329" s="11" t="inlineStr">
        <is>
          <t>Multimercados</t>
        </is>
      </c>
      <c r="D329" s="11" t="inlineStr">
        <is>
          <t>ACE CAPITAL GESTORA DE RECURSOS LTDA.</t>
        </is>
      </c>
      <c r="E329" s="11" t="inlineStr">
        <is>
          <t>xp</t>
        </is>
      </c>
      <c r="F329" s="19" t="n">
        <v>1355984.84</v>
      </c>
      <c r="G329" s="19" t="n">
        <v>5233698.09</v>
      </c>
      <c r="H329" s="23" t="n">
        <v>-3877713.25</v>
      </c>
      <c r="I329" s="19" t="n">
        <v>37177059.31</v>
      </c>
      <c r="J329" s="19" t="n">
        <v>34283150.76</v>
      </c>
      <c r="K329" s="21" t="n">
        <v>-10.43</v>
      </c>
      <c r="L329" s="21" t="n">
        <v>2.84</v>
      </c>
      <c r="M329" s="22" t="n">
        <v>59</v>
      </c>
      <c r="N329" s="11" t="inlineStr">
        <is>
          <t>saída persistente</t>
        </is>
      </c>
      <c r="O329" s="11" t="inlineStr"/>
    </row>
    <row r="330">
      <c r="A330" s="11" t="inlineStr">
        <is>
          <t>Franklin Valor e Liquidez Long Bias Prev FIC FIM</t>
        </is>
      </c>
      <c r="B330" s="11" t="inlineStr">
        <is>
          <t>40.781.467/0001-30</t>
        </is>
      </c>
      <c r="C330" s="11" t="inlineStr">
        <is>
          <t>Multimercados</t>
        </is>
      </c>
      <c r="D330" s="11" t="inlineStr">
        <is>
          <t>XP VIDA E PREVIDÊNCIA S.A.</t>
        </is>
      </c>
      <c r="E330" s="11" t="inlineStr">
        <is>
          <t>xp</t>
        </is>
      </c>
      <c r="F330" s="19" t="n">
        <v>554047.46</v>
      </c>
      <c r="G330" s="19" t="n">
        <v>4681986.4</v>
      </c>
      <c r="H330" s="23" t="n">
        <v>-4127938.94</v>
      </c>
      <c r="I330" s="19" t="n">
        <v>69392409</v>
      </c>
      <c r="J330" s="19" t="n">
        <v>67755274.84</v>
      </c>
      <c r="K330" s="21" t="n">
        <v>-5.95</v>
      </c>
      <c r="L330" s="21" t="n">
        <v>3.82</v>
      </c>
      <c r="M330" s="22" t="n">
        <v>59</v>
      </c>
      <c r="N330" s="11" t="inlineStr">
        <is>
          <t>saída persistente</t>
        </is>
      </c>
      <c r="O330" s="11" t="inlineStr"/>
    </row>
    <row r="331">
      <c r="A331" s="11" t="inlineStr">
        <is>
          <t>JGP BP Prev FICFIM CrPr RL</t>
        </is>
      </c>
      <c r="B331" s="11" t="inlineStr">
        <is>
          <t>38.075.290/0001-05</t>
        </is>
      </c>
      <c r="C331" s="11" t="inlineStr">
        <is>
          <t>Multimercados</t>
        </is>
      </c>
      <c r="D331" s="11" t="inlineStr">
        <is>
          <t>JGP GESTÃO DE RECURSOS LTDA</t>
        </is>
      </c>
      <c r="E331" s="11" t="inlineStr">
        <is>
          <t>btg</t>
        </is>
      </c>
      <c r="F331" s="19" t="n">
        <v>507408.37</v>
      </c>
      <c r="G331" s="19" t="n">
        <v>4635648.35</v>
      </c>
      <c r="H331" s="23" t="n">
        <v>-4128239.98</v>
      </c>
      <c r="I331" s="19" t="n">
        <v>21293731.12</v>
      </c>
      <c r="J331" s="19" t="n">
        <v>17329341.18</v>
      </c>
      <c r="K331" s="21" t="n">
        <v>-19.39</v>
      </c>
      <c r="L331" s="21" t="n">
        <v>2.32</v>
      </c>
      <c r="M331" s="22" t="n">
        <v>59</v>
      </c>
      <c r="N331" s="11" t="inlineStr">
        <is>
          <t>saída persistente</t>
        </is>
      </c>
      <c r="O331" s="11" t="inlineStr"/>
    </row>
    <row r="332">
      <c r="A332" s="11" t="inlineStr">
        <is>
          <t>Alaska Black 100 Advisory XP Seg Prev FIC FIM</t>
        </is>
      </c>
      <c r="B332" s="11" t="inlineStr">
        <is>
          <t>35.939.857/0001-56</t>
        </is>
      </c>
      <c r="C332" s="11" t="inlineStr">
        <is>
          <t>Multimercados</t>
        </is>
      </c>
      <c r="D332" s="11" t="inlineStr">
        <is>
          <t>ALASKA INVESTIMENTOS LTDA.</t>
        </is>
      </c>
      <c r="E332" s="11" t="inlineStr">
        <is>
          <t>xp</t>
        </is>
      </c>
      <c r="F332" s="19" t="n">
        <v>821554.64</v>
      </c>
      <c r="G332" s="19" t="n">
        <v>4963180.58</v>
      </c>
      <c r="H332" s="23" t="n">
        <v>-4141625.94</v>
      </c>
      <c r="I332" s="19" t="n">
        <v>40688842.32</v>
      </c>
      <c r="J332" s="19" t="n">
        <v>37503201.69</v>
      </c>
      <c r="K332" s="21" t="n">
        <v>-10.18</v>
      </c>
      <c r="L332" s="21" t="n">
        <v>2.76</v>
      </c>
      <c r="M332" s="22" t="n">
        <v>59</v>
      </c>
      <c r="N332" s="11" t="inlineStr">
        <is>
          <t>saída persistente</t>
        </is>
      </c>
      <c r="O332" s="11" t="inlineStr"/>
    </row>
    <row r="333">
      <c r="A333" s="11" t="inlineStr">
        <is>
          <t>Icatu SEG Global Equity Income 10 FIM Prev RL</t>
        </is>
      </c>
      <c r="B333" s="11" t="inlineStr">
        <is>
          <t>28.557.951/0001-85</t>
        </is>
      </c>
      <c r="C333" s="11" t="inlineStr">
        <is>
          <t>Multimercados</t>
        </is>
      </c>
      <c r="D333" s="11" t="inlineStr">
        <is>
          <t>ICATU VANGUARDA GESTÃO DE RECURSOS LTDA</t>
        </is>
      </c>
      <c r="E333" s="11" t="inlineStr">
        <is>
          <t>btg</t>
        </is>
      </c>
      <c r="F333" s="19" t="n">
        <v>902591.9</v>
      </c>
      <c r="G333" s="19" t="n">
        <v>5159751.68</v>
      </c>
      <c r="H333" s="23" t="n">
        <v>-4257159.78</v>
      </c>
      <c r="I333" s="19" t="n">
        <v>79198195.91</v>
      </c>
      <c r="J333" s="19" t="n">
        <v>77709990.77</v>
      </c>
      <c r="K333" s="21" t="n">
        <v>-5.38</v>
      </c>
      <c r="L333" s="21" t="n">
        <v>3.61</v>
      </c>
      <c r="M333" s="22" t="n">
        <v>59</v>
      </c>
      <c r="N333" s="11" t="inlineStr">
        <is>
          <t>saída persistente</t>
        </is>
      </c>
      <c r="O333" s="11" t="inlineStr"/>
    </row>
    <row r="334">
      <c r="A334" s="11" t="inlineStr">
        <is>
          <t>Vrb Advisory Prev Fundo De Investimento Multimercado</t>
        </is>
      </c>
      <c r="B334" s="11" t="inlineStr">
        <is>
          <t>34.507.447/0001-73</t>
        </is>
      </c>
      <c r="C334" s="11" t="inlineStr">
        <is>
          <t>Multimercados</t>
        </is>
      </c>
      <c r="D334" s="11" t="inlineStr">
        <is>
          <t>XP ADVISORY GESTAO DE RECURSOS LTDA</t>
        </is>
      </c>
      <c r="E334" s="11" t="inlineStr">
        <is>
          <t>xp</t>
        </is>
      </c>
      <c r="F334" s="19" t="n">
        <v>795187.41</v>
      </c>
      <c r="G334" s="19" t="n">
        <v>5207011.66</v>
      </c>
      <c r="H334" s="23" t="n">
        <v>-4411824.25</v>
      </c>
      <c r="I334" s="19" t="n">
        <v>48509815.46</v>
      </c>
      <c r="J334" s="19" t="n">
        <v>45902924.49</v>
      </c>
      <c r="K334" s="21" t="n">
        <v>-9.09</v>
      </c>
      <c r="L334" s="21" t="n">
        <v>4.13</v>
      </c>
      <c r="M334" s="22" t="n">
        <v>58</v>
      </c>
      <c r="N334" s="11" t="inlineStr">
        <is>
          <t>saída persistente</t>
        </is>
      </c>
      <c r="O334" s="11" t="inlineStr"/>
    </row>
    <row r="335">
      <c r="A335" s="11" t="inlineStr">
        <is>
          <t>Vinland Credito P Prev T1 FICFIM CrPr RL</t>
        </is>
      </c>
      <c r="B335" s="11" t="inlineStr">
        <is>
          <t>51.154.059/0001-75</t>
        </is>
      </c>
      <c r="C335" s="11" t="inlineStr">
        <is>
          <t>Multimercados</t>
        </is>
      </c>
      <c r="D335" s="11" t="inlineStr">
        <is>
          <t>VINLAND CAPITAL MANAGEMENT CRÉDITO PRIVADO GESTORA DE RECURSOS LTDA.</t>
        </is>
      </c>
      <c r="E335" s="11" t="inlineStr">
        <is>
          <t>btg</t>
        </is>
      </c>
      <c r="F335" s="19" t="n">
        <v>10278685.62</v>
      </c>
      <c r="G335" s="19" t="n">
        <v>14705947.49</v>
      </c>
      <c r="H335" s="23" t="n">
        <v>-4427261.87</v>
      </c>
      <c r="I335" s="19" t="n">
        <v>171729524.57</v>
      </c>
      <c r="J335" s="19" t="n">
        <v>172143846.52</v>
      </c>
      <c r="K335" s="21" t="n">
        <v>-2.58</v>
      </c>
      <c r="L335" s="21" t="n">
        <v>2.69</v>
      </c>
      <c r="M335" s="22" t="n">
        <v>59</v>
      </c>
      <c r="N335" s="11" t="inlineStr">
        <is>
          <t>virou saída</t>
        </is>
      </c>
      <c r="O335" s="11" t="inlineStr"/>
    </row>
    <row r="336">
      <c r="A336" s="11" t="inlineStr">
        <is>
          <t>Brasil Capital 70 XP Seg Advisory Prev FIM RL</t>
        </is>
      </c>
      <c r="B336" s="11" t="inlineStr">
        <is>
          <t>32.892.517/0001-29</t>
        </is>
      </c>
      <c r="C336" s="11" t="inlineStr">
        <is>
          <t>Multimercados</t>
        </is>
      </c>
      <c r="D336" s="11" t="inlineStr">
        <is>
          <t>BC GESTÃO DE RECURSOS LTDA</t>
        </is>
      </c>
      <c r="E336" s="11" t="inlineStr">
        <is>
          <t>xp</t>
        </is>
      </c>
      <c r="F336" s="19" t="n">
        <v>260879.26</v>
      </c>
      <c r="G336" s="19" t="n">
        <v>4840680.79</v>
      </c>
      <c r="H336" s="23" t="n">
        <v>-4579801.53</v>
      </c>
      <c r="I336" s="19" t="n">
        <v>40690511.42</v>
      </c>
      <c r="J336" s="19" t="n">
        <v>40226539.4</v>
      </c>
      <c r="K336" s="21" t="n">
        <v>-11.26</v>
      </c>
      <c r="L336" s="21" t="n">
        <v>10.79</v>
      </c>
      <c r="M336" s="22" t="n">
        <v>59</v>
      </c>
      <c r="N336" s="11" t="inlineStr">
        <is>
          <t>saída persistente</t>
        </is>
      </c>
      <c r="O336" s="11" t="inlineStr"/>
    </row>
    <row r="337">
      <c r="A337" s="11" t="inlineStr">
        <is>
          <t>Vista Macro Xp Seg Prev Ficfim Cp Rl</t>
        </is>
      </c>
      <c r="B337" s="11" t="inlineStr">
        <is>
          <t>44.748.957/0001-96</t>
        </is>
      </c>
      <c r="C337" s="11" t="inlineStr">
        <is>
          <t>Multimercados</t>
        </is>
      </c>
      <c r="D337" s="11" t="inlineStr">
        <is>
          <t>XP VIDA E PREVIDÊNCIA S.A.</t>
        </is>
      </c>
      <c r="E337" s="11" t="inlineStr">
        <is>
          <t>xp</t>
        </is>
      </c>
      <c r="F337" s="19" t="n">
        <v>256228.69</v>
      </c>
      <c r="G337" s="19" t="n">
        <v>4941538.61</v>
      </c>
      <c r="H337" s="23" t="n">
        <v>-4685309.92</v>
      </c>
      <c r="I337" s="19" t="n">
        <v>17819191.92</v>
      </c>
      <c r="J337" s="19" t="n">
        <v>13107848.65</v>
      </c>
      <c r="K337" s="21" t="n">
        <v>-26.29</v>
      </c>
      <c r="L337" s="21" t="n">
        <v>0.14</v>
      </c>
      <c r="M337" s="22" t="n">
        <v>59</v>
      </c>
      <c r="N337" s="11" t="inlineStr">
        <is>
          <t>saída persistente</t>
        </is>
      </c>
      <c r="O337" s="11" t="inlineStr"/>
    </row>
    <row r="338">
      <c r="A338" s="11" t="inlineStr">
        <is>
          <t>Itaú Optimus RF XP Seg Prev FIC FIM RL</t>
        </is>
      </c>
      <c r="B338" s="11" t="inlineStr">
        <is>
          <t>47.020.776/0001-37</t>
        </is>
      </c>
      <c r="C338" s="11" t="inlineStr">
        <is>
          <t>Renda Fixa</t>
        </is>
      </c>
      <c r="D338" s="11" t="inlineStr">
        <is>
          <t>ITAU UNIBANCO ASSET MANAGEMENT LTDA.</t>
        </is>
      </c>
      <c r="E338" s="11" t="inlineStr">
        <is>
          <t>xp</t>
        </is>
      </c>
      <c r="F338" s="19" t="n">
        <v>5776940.9</v>
      </c>
      <c r="G338" s="19" t="n">
        <v>10491365.93</v>
      </c>
      <c r="H338" s="23" t="n">
        <v>-4714425.03</v>
      </c>
      <c r="I338" s="19" t="n">
        <v>106569429.25</v>
      </c>
      <c r="J338" s="19" t="n">
        <v>104923557.71</v>
      </c>
      <c r="K338" s="21" t="n">
        <v>-4.42</v>
      </c>
      <c r="L338" s="21" t="n">
        <v>2.77</v>
      </c>
      <c r="M338" s="22" t="n">
        <v>59</v>
      </c>
      <c r="N338" s="11" t="inlineStr">
        <is>
          <t>saída persistente</t>
        </is>
      </c>
      <c r="O338" s="11" t="inlineStr"/>
    </row>
    <row r="339">
      <c r="A339" s="11" t="inlineStr">
        <is>
          <t>AZ Quest Altro Prev FICFIM FIE Access CrPr RL</t>
        </is>
      </c>
      <c r="B339" s="11" t="inlineStr">
        <is>
          <t>47.640.749/0001-67</t>
        </is>
      </c>
      <c r="C339" s="11" t="inlineStr">
        <is>
          <t>Multimercados</t>
        </is>
      </c>
      <c r="D339" s="11" t="inlineStr">
        <is>
          <t>BTG PACTUAL GESTÃO E CONSULTORIA DE INVESTIMENTOS LTDA</t>
        </is>
      </c>
      <c r="E339" s="11" t="inlineStr">
        <is>
          <t>btg</t>
        </is>
      </c>
      <c r="F339" s="19" t="n">
        <v>736422.6899999999</v>
      </c>
      <c r="G339" s="19" t="n">
        <v>5503820.21</v>
      </c>
      <c r="H339" s="23" t="n">
        <v>-4767397.52</v>
      </c>
      <c r="I339" s="19" t="n">
        <v>53489907.55</v>
      </c>
      <c r="J339" s="19" t="n">
        <v>50083949.57</v>
      </c>
      <c r="K339" s="21" t="n">
        <v>-8.91</v>
      </c>
      <c r="L339" s="21" t="n">
        <v>2.59</v>
      </c>
      <c r="M339" s="22" t="n">
        <v>59</v>
      </c>
      <c r="N339" s="11" t="inlineStr">
        <is>
          <t>saída persistente</t>
        </is>
      </c>
      <c r="O339" s="11" t="inlineStr"/>
    </row>
    <row r="340">
      <c r="A340" s="11" t="inlineStr">
        <is>
          <t>Trigono Icatu 100 FIA Prev RL</t>
        </is>
      </c>
      <c r="B340" s="11" t="inlineStr">
        <is>
          <t>35.610.342/0001-08</t>
        </is>
      </c>
      <c r="C340" s="11" t="inlineStr">
        <is>
          <t>Ações</t>
        </is>
      </c>
      <c r="D340" s="11" t="inlineStr">
        <is>
          <t>TRÍGONO CAPITAL LTDA</t>
        </is>
      </c>
      <c r="E340" s="11" t="inlineStr">
        <is>
          <t>btg</t>
        </is>
      </c>
      <c r="F340" s="19" t="n">
        <v>528506.16</v>
      </c>
      <c r="G340" s="19" t="n">
        <v>5327794.17</v>
      </c>
      <c r="H340" s="23" t="n">
        <v>-4799288.01</v>
      </c>
      <c r="I340" s="19" t="n">
        <v>86079570.67</v>
      </c>
      <c r="J340" s="19" t="n">
        <v>78270773.52</v>
      </c>
      <c r="K340" s="21" t="n">
        <v>-5.58</v>
      </c>
      <c r="L340" s="21" t="n">
        <v>-3.43</v>
      </c>
      <c r="M340" s="22" t="n">
        <v>59</v>
      </c>
      <c r="N340" s="11" t="inlineStr">
        <is>
          <t>saída persistente</t>
        </is>
      </c>
      <c r="O340" s="11" t="inlineStr"/>
    </row>
    <row r="341">
      <c r="A341" s="11" t="inlineStr">
        <is>
          <t>Trend Pré-Fixado XP Seg Prev FIC FIRF RL</t>
        </is>
      </c>
      <c r="B341" s="11" t="inlineStr">
        <is>
          <t>33.755.733/0001-95</t>
        </is>
      </c>
      <c r="C341" s="11" t="inlineStr">
        <is>
          <t>Renda Fixa</t>
        </is>
      </c>
      <c r="D341" s="11" t="inlineStr">
        <is>
          <t>XP ALLOCATION ASSET MANAGEMENT LTDA</t>
        </is>
      </c>
      <c r="E341" s="11" t="inlineStr">
        <is>
          <t>xp</t>
        </is>
      </c>
      <c r="F341" s="19" t="n">
        <v>15951660.23</v>
      </c>
      <c r="G341" s="19" t="n">
        <v>20766222.2</v>
      </c>
      <c r="H341" s="23" t="n">
        <v>-4814561.97</v>
      </c>
      <c r="I341" s="19" t="n">
        <v>193006249.43</v>
      </c>
      <c r="J341" s="19" t="n">
        <v>196113615.95</v>
      </c>
      <c r="K341" s="21" t="n">
        <v>-2.49</v>
      </c>
      <c r="L341" s="21" t="n">
        <v>3.98</v>
      </c>
      <c r="M341" s="22" t="n">
        <v>59</v>
      </c>
      <c r="N341" s="11" t="inlineStr">
        <is>
          <t>virou entrada</t>
        </is>
      </c>
      <c r="O341" s="11" t="inlineStr"/>
    </row>
    <row r="342">
      <c r="A342" s="11" t="inlineStr">
        <is>
          <t>Alaska Black 70 Advisory XP Seg Prev FIC FIM</t>
        </is>
      </c>
      <c r="B342" s="11" t="inlineStr">
        <is>
          <t>35.939.700/0001-20</t>
        </is>
      </c>
      <c r="C342" s="11" t="inlineStr">
        <is>
          <t>Multimercados</t>
        </is>
      </c>
      <c r="D342" s="11" t="inlineStr">
        <is>
          <t>ALASKA INVESTIMENTOS LTDA.</t>
        </is>
      </c>
      <c r="E342" s="11" t="inlineStr">
        <is>
          <t>xp</t>
        </is>
      </c>
      <c r="F342" s="19" t="n">
        <v>680723.23</v>
      </c>
      <c r="G342" s="19" t="n">
        <v>5570463.58</v>
      </c>
      <c r="H342" s="23" t="n">
        <v>-4889740.35</v>
      </c>
      <c r="I342" s="19" t="n">
        <v>52782982.62</v>
      </c>
      <c r="J342" s="19" t="n">
        <v>49358938.99</v>
      </c>
      <c r="K342" s="21" t="n">
        <v>-9.26</v>
      </c>
      <c r="L342" s="21" t="n">
        <v>3.02</v>
      </c>
      <c r="M342" s="22" t="n">
        <v>59</v>
      </c>
      <c r="N342" s="11" t="inlineStr">
        <is>
          <t>saída persistente</t>
        </is>
      </c>
      <c r="O342" s="11" t="inlineStr"/>
    </row>
    <row r="343">
      <c r="A343" s="11" t="inlineStr">
        <is>
          <t>BTG Pactual Macro HF FIE Prev FICFIM RL</t>
        </is>
      </c>
      <c r="B343" s="11" t="inlineStr">
        <is>
          <t>43.915.616/0001-03</t>
        </is>
      </c>
      <c r="C343" s="11" t="inlineStr">
        <is>
          <t>Multimercados</t>
        </is>
      </c>
      <c r="D343" s="11" t="inlineStr">
        <is>
          <t>BTG PACTUAL ASSET MANAGEMENT S/A DTVM</t>
        </is>
      </c>
      <c r="E343" s="11" t="inlineStr">
        <is>
          <t>btg</t>
        </is>
      </c>
      <c r="F343" s="19" t="n">
        <v>324586.77</v>
      </c>
      <c r="G343" s="19" t="n">
        <v>5399308.56</v>
      </c>
      <c r="H343" s="23" t="n">
        <v>-5074721.79</v>
      </c>
      <c r="I343" s="19" t="n">
        <v>45010733.92</v>
      </c>
      <c r="J343" s="19" t="n">
        <v>41003587.17</v>
      </c>
      <c r="K343" s="21" t="n">
        <v>-11.27</v>
      </c>
      <c r="L343" s="21" t="n">
        <v>2.51</v>
      </c>
      <c r="M343" s="22" t="n">
        <v>59</v>
      </c>
      <c r="N343" s="11" t="inlineStr">
        <is>
          <t>saída persistente</t>
        </is>
      </c>
      <c r="O343" s="11" t="inlineStr"/>
    </row>
    <row r="344">
      <c r="A344" s="11" t="inlineStr">
        <is>
          <t>Absolute Icatu I Prev FICFIM RL</t>
        </is>
      </c>
      <c r="B344" s="11" t="inlineStr">
        <is>
          <t>29.242.441/0001-81</t>
        </is>
      </c>
      <c r="C344" s="11" t="inlineStr">
        <is>
          <t>Multimercados</t>
        </is>
      </c>
      <c r="D344" s="11" t="inlineStr">
        <is>
          <t>ABSOLUTE GESTAO DE INVESTIMENTOS LTDA</t>
        </is>
      </c>
      <c r="E344" s="11" t="inlineStr">
        <is>
          <t>btg</t>
        </is>
      </c>
      <c r="F344" s="19" t="n">
        <v>2000558.5</v>
      </c>
      <c r="G344" s="19" t="n">
        <v>7079357.22</v>
      </c>
      <c r="H344" s="23" t="n">
        <v>-5078798.72</v>
      </c>
      <c r="I344" s="19" t="n">
        <v>81516271.87</v>
      </c>
      <c r="J344" s="19" t="n">
        <v>78236060.83</v>
      </c>
      <c r="K344" s="21" t="n">
        <v>-6.23</v>
      </c>
      <c r="L344" s="21" t="n">
        <v>2.35</v>
      </c>
      <c r="M344" s="22" t="n">
        <v>59</v>
      </c>
      <c r="N344" s="11" t="inlineStr">
        <is>
          <t>saída persistente</t>
        </is>
      </c>
      <c r="O344" s="11" t="inlineStr"/>
    </row>
    <row r="345">
      <c r="A345" s="11" t="inlineStr">
        <is>
          <t>SPX Prev Long Bias BP Prev FICFIM RL</t>
        </is>
      </c>
      <c r="B345" s="11" t="inlineStr">
        <is>
          <t>41.063.234/0001-65</t>
        </is>
      </c>
      <c r="C345" s="11" t="inlineStr">
        <is>
          <t>Multimercados</t>
        </is>
      </c>
      <c r="D345" s="11" t="inlineStr">
        <is>
          <t>BTG PACTUAL GESTÃO E CONSULTORIA DE INVESTIMENTOS LTDA</t>
        </is>
      </c>
      <c r="E345" s="11" t="inlineStr">
        <is>
          <t>btg</t>
        </is>
      </c>
      <c r="F345" s="19" t="n">
        <v>1136764.83</v>
      </c>
      <c r="G345" s="19" t="n">
        <v>6281103.98</v>
      </c>
      <c r="H345" s="23" t="n">
        <v>-5144339.15</v>
      </c>
      <c r="I345" s="19" t="n">
        <v>99523223.59</v>
      </c>
      <c r="J345" s="19" t="n">
        <v>103952860.54</v>
      </c>
      <c r="K345" s="21" t="n">
        <v>-5.17</v>
      </c>
      <c r="L345" s="21" t="n">
        <v>9.56</v>
      </c>
      <c r="M345" s="22" t="n">
        <v>59</v>
      </c>
      <c r="N345" s="11" t="inlineStr">
        <is>
          <t>saída persistente</t>
        </is>
      </c>
      <c r="O345" s="11" t="inlineStr"/>
    </row>
    <row r="346">
      <c r="A346" s="11" t="inlineStr">
        <is>
          <t>Sharp Equity Value 100 XP Seg Prev FIC FIM</t>
        </is>
      </c>
      <c r="B346" s="11" t="inlineStr">
        <is>
          <t>35.957.156/0001-40</t>
        </is>
      </c>
      <c r="C346" s="11" t="inlineStr">
        <is>
          <t>Multimercados</t>
        </is>
      </c>
      <c r="D346" s="11" t="inlineStr">
        <is>
          <t>XP VIDA E PREVIDÊNCIA S.A.</t>
        </is>
      </c>
      <c r="E346" s="11" t="inlineStr">
        <is>
          <t>xp</t>
        </is>
      </c>
      <c r="F346" s="19" t="n">
        <v>327406.08</v>
      </c>
      <c r="G346" s="19" t="n">
        <v>5497626.26</v>
      </c>
      <c r="H346" s="23" t="n">
        <v>-5170220.18</v>
      </c>
      <c r="I346" s="19" t="n">
        <v>29057079.21</v>
      </c>
      <c r="J346" s="19" t="n">
        <v>24896640.6</v>
      </c>
      <c r="K346" s="21" t="n">
        <v>-17.79</v>
      </c>
      <c r="L346" s="21" t="n">
        <v>5.32</v>
      </c>
      <c r="M346" s="22" t="n">
        <v>59</v>
      </c>
      <c r="N346" s="11" t="inlineStr">
        <is>
          <t>saída persistente</t>
        </is>
      </c>
      <c r="O346" s="11" t="inlineStr"/>
    </row>
    <row r="347">
      <c r="A347" s="11" t="inlineStr">
        <is>
          <t>Távola Equity Hedge Prev XP LS FIC FIM RL</t>
        </is>
      </c>
      <c r="B347" s="11" t="inlineStr">
        <is>
          <t>44.409.412/0001-55</t>
        </is>
      </c>
      <c r="C347" s="11" t="inlineStr">
        <is>
          <t>Multimercados</t>
        </is>
      </c>
      <c r="D347" s="11" t="inlineStr">
        <is>
          <t>TÁVOLA CAPITAL GESTÃO DE RECURSOS LTDA.</t>
        </is>
      </c>
      <c r="E347" s="11" t="inlineStr">
        <is>
          <t>xp</t>
        </is>
      </c>
      <c r="F347" s="19" t="n">
        <v>194031.59</v>
      </c>
      <c r="G347" s="19" t="n">
        <v>5496677</v>
      </c>
      <c r="H347" s="23" t="n">
        <v>-5302645.41</v>
      </c>
      <c r="I347" s="19" t="n">
        <v>23041793.33</v>
      </c>
      <c r="J347" s="19" t="n">
        <v>18356623.59</v>
      </c>
      <c r="K347" s="21" t="n">
        <v>-23.01</v>
      </c>
      <c r="L347" s="21" t="n">
        <v>3.2</v>
      </c>
      <c r="M347" s="22" t="n">
        <v>59</v>
      </c>
      <c r="N347" s="11" t="inlineStr">
        <is>
          <t>saída persistente</t>
        </is>
      </c>
      <c r="O347" s="11" t="inlineStr"/>
    </row>
    <row r="348">
      <c r="A348" s="11" t="inlineStr">
        <is>
          <t>Root CAP Cred HG Prev FICFIRF CrPr RL</t>
        </is>
      </c>
      <c r="B348" s="11" t="inlineStr">
        <is>
          <t>46.502.826/0001-50</t>
        </is>
      </c>
      <c r="C348" s="11" t="inlineStr">
        <is>
          <t>Renda Fixa</t>
        </is>
      </c>
      <c r="D348" s="11" t="inlineStr">
        <is>
          <t>ROOT CAPITAL - GESTÃO DE RECURSOS LTDA</t>
        </is>
      </c>
      <c r="E348" s="11" t="inlineStr">
        <is>
          <t>btg</t>
        </is>
      </c>
      <c r="F348" s="19" t="n">
        <v>7138693.26</v>
      </c>
      <c r="G348" s="19" t="n">
        <v>12454512.25</v>
      </c>
      <c r="H348" s="23" t="n">
        <v>-5315818.99</v>
      </c>
      <c r="I348" s="19" t="n">
        <v>174311776.52</v>
      </c>
      <c r="J348" s="19" t="n">
        <v>174376999.35</v>
      </c>
      <c r="K348" s="21" t="n">
        <v>-3.05</v>
      </c>
      <c r="L348" s="21" t="n">
        <v>3.13</v>
      </c>
      <c r="M348" s="22" t="n">
        <v>59</v>
      </c>
      <c r="N348" s="11" t="inlineStr">
        <is>
          <t>saída persistente</t>
        </is>
      </c>
      <c r="O348" s="11" t="inlineStr"/>
    </row>
    <row r="349">
      <c r="A349" s="11" t="inlineStr">
        <is>
          <t>Real Investor 70 Prev FIM RL</t>
        </is>
      </c>
      <c r="B349" s="11" t="inlineStr">
        <is>
          <t>33.588.607/0001-93</t>
        </is>
      </c>
      <c r="C349" s="11" t="inlineStr">
        <is>
          <t>Multimercados</t>
        </is>
      </c>
      <c r="D349" s="11" t="inlineStr">
        <is>
          <t>REAL INVESTOR ASSET MANAGEMENT LTDA</t>
        </is>
      </c>
      <c r="E349" s="11" t="inlineStr">
        <is>
          <t>btg</t>
        </is>
      </c>
      <c r="F349" s="19" t="n">
        <v>28567937.7</v>
      </c>
      <c r="G349" s="19" t="n">
        <v>33996759.5</v>
      </c>
      <c r="H349" s="23" t="n">
        <v>-5428821.8</v>
      </c>
      <c r="I349" s="19" t="n">
        <v>374526529.73</v>
      </c>
      <c r="J349" s="19" t="n">
        <v>385300728.93</v>
      </c>
      <c r="K349" s="21" t="n">
        <v>-1.45</v>
      </c>
      <c r="L349" s="21" t="n">
        <v>4.54</v>
      </c>
      <c r="M349" s="22" t="n">
        <v>59</v>
      </c>
      <c r="N349" s="11" t="inlineStr">
        <is>
          <t>virou entrada</t>
        </is>
      </c>
      <c r="O349" s="11" t="inlineStr"/>
    </row>
    <row r="350">
      <c r="A350" s="11" t="inlineStr">
        <is>
          <t>Whg Rf Dinâmico Xp Seg Prev Ficfim Cp Rl</t>
        </is>
      </c>
      <c r="B350" s="11" t="inlineStr">
        <is>
          <t>43.860.077/0001-44</t>
        </is>
      </c>
      <c r="C350" s="11" t="inlineStr">
        <is>
          <t>Multimercados</t>
        </is>
      </c>
      <c r="D350" s="11" t="inlineStr">
        <is>
          <t>XP VIDA E PREVIDÊNCIA S.A.</t>
        </is>
      </c>
      <c r="E350" s="11" t="inlineStr">
        <is>
          <t>xp</t>
        </is>
      </c>
      <c r="F350" s="19" t="n">
        <v>986.9400000000001</v>
      </c>
      <c r="G350" s="19" t="n">
        <v>5507892.69</v>
      </c>
      <c r="H350" s="23" t="n">
        <v>-5506905.75</v>
      </c>
      <c r="I350" s="19" t="n">
        <v>17954079.36</v>
      </c>
      <c r="J350" s="19" t="n">
        <v>12767101.37</v>
      </c>
      <c r="K350" s="21" t="n">
        <v>-30.67</v>
      </c>
      <c r="L350" s="21" t="n">
        <v>2.2</v>
      </c>
      <c r="M350" s="22" t="n">
        <v>59</v>
      </c>
      <c r="N350" s="11" t="inlineStr">
        <is>
          <t>saída persistente</t>
        </is>
      </c>
      <c r="O350" s="11" t="inlineStr"/>
    </row>
    <row r="351">
      <c r="A351" s="11" t="inlineStr">
        <is>
          <t>Leblon Icatu Prev FIM RL</t>
        </is>
      </c>
      <c r="B351" s="11" t="inlineStr">
        <is>
          <t>11.098.129/0001-09</t>
        </is>
      </c>
      <c r="C351" s="11" t="inlineStr">
        <is>
          <t>Multimercados</t>
        </is>
      </c>
      <c r="D351" s="11" t="inlineStr">
        <is>
          <t>LEBLON EQUITIES GESTAO DE RECURSOS LTDA</t>
        </is>
      </c>
      <c r="E351" s="11" t="inlineStr">
        <is>
          <t>btg</t>
        </is>
      </c>
      <c r="F351" s="19" t="n">
        <v>3370918.88</v>
      </c>
      <c r="G351" s="19" t="n">
        <v>9108283.439999999</v>
      </c>
      <c r="H351" s="23" t="n">
        <v>-5737364.56</v>
      </c>
      <c r="I351" s="19" t="n">
        <v>167580071.67</v>
      </c>
      <c r="J351" s="19" t="n">
        <v>172253275.23</v>
      </c>
      <c r="K351" s="21" t="n">
        <v>-3.42</v>
      </c>
      <c r="L351" s="21" t="n">
        <v>6.21</v>
      </c>
      <c r="M351" s="22" t="n">
        <v>59</v>
      </c>
      <c r="N351" s="11" t="inlineStr">
        <is>
          <t>saída persistente</t>
        </is>
      </c>
      <c r="O351" s="11" t="inlineStr"/>
    </row>
    <row r="352">
      <c r="A352" s="11" t="inlineStr">
        <is>
          <t>Spx Long Bias Xp Seguros Prev Fic Fim Rl</t>
        </is>
      </c>
      <c r="B352" s="11" t="inlineStr">
        <is>
          <t>40.526.764/0001-30</t>
        </is>
      </c>
      <c r="C352" s="11" t="inlineStr">
        <is>
          <t>Multimercados</t>
        </is>
      </c>
      <c r="D352" s="11" t="inlineStr">
        <is>
          <t>XP VIDA E PREVIDÊNCIA S.A.</t>
        </is>
      </c>
      <c r="E352" s="11" t="inlineStr">
        <is>
          <t>xp</t>
        </is>
      </c>
      <c r="F352" s="19" t="n">
        <v>4362441.48</v>
      </c>
      <c r="G352" s="19" t="n">
        <v>10123136.15</v>
      </c>
      <c r="H352" s="23" t="n">
        <v>-5760694.67</v>
      </c>
      <c r="I352" s="19" t="n">
        <v>126839265.9</v>
      </c>
      <c r="J352" s="19" t="n">
        <v>133004757.2</v>
      </c>
      <c r="K352" s="21" t="n">
        <v>-4.54</v>
      </c>
      <c r="L352" s="21" t="n">
        <v>9.529999999999999</v>
      </c>
      <c r="M352" s="22" t="n">
        <v>59</v>
      </c>
      <c r="N352" s="11" t="inlineStr">
        <is>
          <t>saída persistente</t>
        </is>
      </c>
      <c r="O352" s="11" t="inlineStr"/>
    </row>
    <row r="353">
      <c r="A353" s="11" t="inlineStr">
        <is>
          <t>Empiricus FoF Superprevidencia Conservador Icatu FIRF Prev RL</t>
        </is>
      </c>
      <c r="B353" s="11" t="inlineStr">
        <is>
          <t>33.884.185/0001-01</t>
        </is>
      </c>
      <c r="C353" s="11" t="inlineStr">
        <is>
          <t>Renda Fixa</t>
        </is>
      </c>
      <c r="D353" s="11" t="inlineStr">
        <is>
          <t>BTG PACTUAL GESTÃO E CONSULTORIA DE INVESTIMENTOS LTDA</t>
        </is>
      </c>
      <c r="E353" s="11" t="inlineStr">
        <is>
          <t>btg</t>
        </is>
      </c>
      <c r="F353" s="19" t="n">
        <v>1019289.76</v>
      </c>
      <c r="G353" s="19" t="n">
        <v>6922989.5</v>
      </c>
      <c r="H353" s="23" t="n">
        <v>-5903699.74</v>
      </c>
      <c r="I353" s="19" t="n">
        <v>78983812.44</v>
      </c>
      <c r="J353" s="19" t="n">
        <v>75482554.39</v>
      </c>
      <c r="K353" s="21" t="n">
        <v>-7.47</v>
      </c>
      <c r="L353" s="21" t="n">
        <v>3.2</v>
      </c>
      <c r="M353" s="22" t="n">
        <v>59</v>
      </c>
      <c r="N353" s="11" t="inlineStr">
        <is>
          <t>saída persistente</t>
        </is>
      </c>
      <c r="O353" s="11" t="inlineStr"/>
    </row>
    <row r="354">
      <c r="A354" s="11" t="inlineStr">
        <is>
          <t>Verde Am Mundi Multimercado Globais Xp Seguros Fic Fim Rl</t>
        </is>
      </c>
      <c r="B354" s="11" t="inlineStr">
        <is>
          <t>41.802.040/0001-34</t>
        </is>
      </c>
      <c r="C354" s="11" t="inlineStr">
        <is>
          <t>Multimercados</t>
        </is>
      </c>
      <c r="D354" s="11" t="inlineStr">
        <is>
          <t>XP VIDA E PREVIDÊNCIA S.A.</t>
        </is>
      </c>
      <c r="E354" s="11" t="inlineStr">
        <is>
          <t>xp</t>
        </is>
      </c>
      <c r="F354" s="19" t="n">
        <v>291316.24</v>
      </c>
      <c r="G354" s="19" t="n">
        <v>6429952.51</v>
      </c>
      <c r="H354" s="23" t="n">
        <v>-6138636.27</v>
      </c>
      <c r="I354" s="19" t="n">
        <v>47353775.62</v>
      </c>
      <c r="J354" s="19" t="n">
        <v>41420215.67</v>
      </c>
      <c r="K354" s="21" t="n">
        <v>-12.96</v>
      </c>
      <c r="L354" s="21" t="n">
        <v>0.54</v>
      </c>
      <c r="M354" s="22" t="n">
        <v>59</v>
      </c>
      <c r="N354" s="11" t="inlineStr">
        <is>
          <t>saída persistente</t>
        </is>
      </c>
      <c r="O354" s="11" t="inlineStr"/>
    </row>
    <row r="355">
      <c r="A355" s="11" t="inlineStr">
        <is>
          <t>Trigono BP 70 Prev FICFIM RL</t>
        </is>
      </c>
      <c r="B355" s="11" t="inlineStr">
        <is>
          <t>33.146.130/0001-96</t>
        </is>
      </c>
      <c r="C355" s="11" t="inlineStr">
        <is>
          <t>Multimercados</t>
        </is>
      </c>
      <c r="D355" s="11" t="inlineStr">
        <is>
          <t>TRÍGONO CAPITAL LTDA</t>
        </is>
      </c>
      <c r="E355" s="11" t="inlineStr">
        <is>
          <t>btg</t>
        </is>
      </c>
      <c r="F355" s="19" t="n">
        <v>790058.92</v>
      </c>
      <c r="G355" s="19" t="n">
        <v>6930430.63</v>
      </c>
      <c r="H355" s="23" t="n">
        <v>-6140371.71</v>
      </c>
      <c r="I355" s="19" t="n">
        <v>86933463.45999999</v>
      </c>
      <c r="J355" s="19" t="n">
        <v>81747966.61</v>
      </c>
      <c r="K355" s="21" t="n">
        <v>-7.06</v>
      </c>
      <c r="L355" s="21" t="n">
        <v>0.99</v>
      </c>
      <c r="M355" s="22" t="n">
        <v>59</v>
      </c>
      <c r="N355" s="11" t="inlineStr">
        <is>
          <t>saída persistente</t>
        </is>
      </c>
      <c r="O355" s="11" t="inlineStr"/>
    </row>
    <row r="356">
      <c r="A356" s="11" t="inlineStr">
        <is>
          <t>Brasil Capital 100 XP Seg Advisory FIC FIA RL</t>
        </is>
      </c>
      <c r="B356" s="11" t="inlineStr">
        <is>
          <t>34.187.279/0001-86</t>
        </is>
      </c>
      <c r="C356" s="11" t="inlineStr">
        <is>
          <t>Ações</t>
        </is>
      </c>
      <c r="D356" s="11" t="inlineStr">
        <is>
          <t>XP VIDA E PREVIDÊNCIA S.A.</t>
        </is>
      </c>
      <c r="E356" s="11" t="inlineStr">
        <is>
          <t>xp</t>
        </is>
      </c>
      <c r="F356" s="19" t="n">
        <v>146512.38</v>
      </c>
      <c r="G356" s="19" t="n">
        <v>6300620.28</v>
      </c>
      <c r="H356" s="23" t="n">
        <v>-6154107.9</v>
      </c>
      <c r="I356" s="19" t="n">
        <v>37046167.28</v>
      </c>
      <c r="J356" s="19" t="n">
        <v>35584638.92</v>
      </c>
      <c r="K356" s="21" t="n">
        <v>-16.61</v>
      </c>
      <c r="L356" s="21" t="n">
        <v>14.04</v>
      </c>
      <c r="M356" s="22" t="n">
        <v>59</v>
      </c>
      <c r="N356" s="11" t="inlineStr">
        <is>
          <t>saída persistente</t>
        </is>
      </c>
      <c r="O356" s="11" t="inlineStr"/>
    </row>
    <row r="357">
      <c r="A357" s="11" t="inlineStr">
        <is>
          <t>Itaú Optimus Titan XP Seg FIC FIM RL</t>
        </is>
      </c>
      <c r="B357" s="11" t="inlineStr">
        <is>
          <t>45.756.511/0001-76</t>
        </is>
      </c>
      <c r="C357" s="11" t="inlineStr">
        <is>
          <t>Multimercados</t>
        </is>
      </c>
      <c r="D357" s="11" t="inlineStr">
        <is>
          <t>ITAU UNIBANCO ASSET MANAGEMENT LTDA.</t>
        </is>
      </c>
      <c r="E357" s="11" t="inlineStr">
        <is>
          <t>xp</t>
        </is>
      </c>
      <c r="F357" s="19" t="n">
        <v>4142373.33</v>
      </c>
      <c r="G357" s="19" t="n">
        <v>10432743</v>
      </c>
      <c r="H357" s="23" t="n">
        <v>-6290369.67</v>
      </c>
      <c r="I357" s="19" t="n">
        <v>96332327.08</v>
      </c>
      <c r="J357" s="19" t="n">
        <v>92374093.72</v>
      </c>
      <c r="K357" s="21" t="n">
        <v>-6.53</v>
      </c>
      <c r="L357" s="21" t="n">
        <v>3.67</v>
      </c>
      <c r="M357" s="22" t="n">
        <v>59</v>
      </c>
      <c r="N357" s="11" t="inlineStr">
        <is>
          <t>virou entrada</t>
        </is>
      </c>
      <c r="O357" s="11" t="inlineStr"/>
    </row>
    <row r="358">
      <c r="A358" s="11" t="inlineStr">
        <is>
          <t>JGP Multimercado Prev Advisory XP Seg FICFI</t>
        </is>
      </c>
      <c r="B358" s="11" t="inlineStr">
        <is>
          <t>34.474.500/0001-87</t>
        </is>
      </c>
      <c r="C358" s="11" t="inlineStr">
        <is>
          <t>Multimercados</t>
        </is>
      </c>
      <c r="D358" s="11" t="inlineStr">
        <is>
          <t>JGP GESTÃO DE RECURSOS LTDA</t>
        </is>
      </c>
      <c r="E358" s="11" t="inlineStr">
        <is>
          <t>xp</t>
        </is>
      </c>
      <c r="F358" s="19" t="n">
        <v>1660088.78</v>
      </c>
      <c r="G358" s="19" t="n">
        <v>8221806.61</v>
      </c>
      <c r="H358" s="23" t="n">
        <v>-6561717.83</v>
      </c>
      <c r="I358" s="19" t="n">
        <v>69066984.83</v>
      </c>
      <c r="J358" s="19" t="n">
        <v>64062104.53</v>
      </c>
      <c r="K358" s="21" t="n">
        <v>-9.5</v>
      </c>
      <c r="L358" s="21" t="n">
        <v>2.41</v>
      </c>
      <c r="M358" s="22" t="n">
        <v>59</v>
      </c>
      <c r="N358" s="11" t="inlineStr">
        <is>
          <t>saída persistente</t>
        </is>
      </c>
      <c r="O358" s="11" t="inlineStr"/>
    </row>
    <row r="359">
      <c r="A359" s="11" t="inlineStr">
        <is>
          <t>XP Icatu Horizonte Prev FIC FIRF</t>
        </is>
      </c>
      <c r="B359" s="11" t="inlineStr">
        <is>
          <t>18.897.562/0001-45</t>
        </is>
      </c>
      <c r="C359" s="11" t="inlineStr">
        <is>
          <t>Renda Fixa</t>
        </is>
      </c>
      <c r="D359" s="11" t="inlineStr">
        <is>
          <t>XP VISTA ASSET MANAGEMENT LTDA.</t>
        </is>
      </c>
      <c r="E359" s="11" t="inlineStr">
        <is>
          <t>xp</t>
        </is>
      </c>
      <c r="F359" s="19" t="n">
        <v>761929.98</v>
      </c>
      <c r="G359" s="19" t="n">
        <v>7383680.62</v>
      </c>
      <c r="H359" s="23" t="n">
        <v>-6621750.64</v>
      </c>
      <c r="I359" s="19" t="n">
        <v>157924959.18</v>
      </c>
      <c r="J359" s="19" t="n">
        <v>156446241.74</v>
      </c>
      <c r="K359" s="21" t="n">
        <v>-4.19</v>
      </c>
      <c r="L359" s="21" t="n">
        <v>3.29</v>
      </c>
      <c r="M359" s="22" t="n">
        <v>59</v>
      </c>
      <c r="N359" s="11" t="inlineStr">
        <is>
          <t>saída persistente</t>
        </is>
      </c>
      <c r="O359" s="11" t="inlineStr"/>
    </row>
    <row r="360">
      <c r="A360" s="11" t="inlineStr">
        <is>
          <t>XP Macro XP Seg Prev FIC FIM RL</t>
        </is>
      </c>
      <c r="B360" s="11" t="inlineStr">
        <is>
          <t>34.309.549/0001-84</t>
        </is>
      </c>
      <c r="C360" s="11" t="inlineStr">
        <is>
          <t>Multimercados</t>
        </is>
      </c>
      <c r="D360" s="11" t="inlineStr">
        <is>
          <t>XP GESTÃO DE RECURSOS LTDA</t>
        </is>
      </c>
      <c r="E360" s="11" t="inlineStr">
        <is>
          <t>xp</t>
        </is>
      </c>
      <c r="F360" s="19" t="n">
        <v>312072.87</v>
      </c>
      <c r="G360" s="19" t="n">
        <v>6951407.53</v>
      </c>
      <c r="H360" s="23" t="n">
        <v>-6639334.66</v>
      </c>
      <c r="I360" s="19" t="n">
        <v>51057074.46</v>
      </c>
      <c r="J360" s="19" t="n">
        <v>44675297.48</v>
      </c>
      <c r="K360" s="21" t="n">
        <v>-13</v>
      </c>
      <c r="L360" s="21" t="n">
        <v>0.21</v>
      </c>
      <c r="M360" s="22" t="n">
        <v>59</v>
      </c>
      <c r="N360" s="11" t="inlineStr">
        <is>
          <t>saída persistente</t>
        </is>
      </c>
      <c r="O360" s="11" t="inlineStr"/>
    </row>
    <row r="361">
      <c r="A361" s="11" t="inlineStr">
        <is>
          <t>Investo Prev Global FIM RL</t>
        </is>
      </c>
      <c r="B361" s="11" t="inlineStr">
        <is>
          <t>61.928.582/0001-65</t>
        </is>
      </c>
      <c r="C361" s="11" t="inlineStr">
        <is>
          <t>Multimercados</t>
        </is>
      </c>
      <c r="D361" s="11" t="inlineStr">
        <is>
          <t>INVESTO GESTÃO DE RECURSOS LTDA.</t>
        </is>
      </c>
      <c r="E361" s="11" t="inlineStr">
        <is>
          <t>btg</t>
        </is>
      </c>
      <c r="F361" s="19" t="n">
        <v>2435016.48</v>
      </c>
      <c r="G361" s="19" t="n">
        <v>9480345.970000001</v>
      </c>
      <c r="H361" s="23" t="n">
        <v>-7045329.49</v>
      </c>
      <c r="I361" s="19" t="n">
        <v>21916163.23</v>
      </c>
      <c r="J361" s="19" t="n">
        <v>15694105.99</v>
      </c>
      <c r="K361" s="21" t="n">
        <v>-32.15</v>
      </c>
      <c r="L361" s="21" t="n">
        <v>2.49</v>
      </c>
      <c r="M361" s="22" t="n">
        <v>59</v>
      </c>
      <c r="N361" s="11" t="inlineStr">
        <is>
          <t>saída persistente</t>
        </is>
      </c>
      <c r="O361" s="11" t="inlineStr"/>
    </row>
    <row r="362">
      <c r="A362" s="11" t="inlineStr">
        <is>
          <t>Ibiuna ST Prev FICFIM Access CrPr RL</t>
        </is>
      </c>
      <c r="B362" s="11" t="inlineStr">
        <is>
          <t>44.672.717/0001-55</t>
        </is>
      </c>
      <c r="C362" s="11" t="inlineStr">
        <is>
          <t>Multimercados</t>
        </is>
      </c>
      <c r="D362" s="11" t="inlineStr">
        <is>
          <t>BTG PACTUAL GESTÃO E CONSULTORIA DE INVESTIMENTOS LTDA</t>
        </is>
      </c>
      <c r="E362" s="11" t="inlineStr">
        <is>
          <t>btg</t>
        </is>
      </c>
      <c r="F362" s="19" t="n">
        <v>821904.9300000001</v>
      </c>
      <c r="G362" s="19" t="n">
        <v>7901582.96</v>
      </c>
      <c r="H362" s="23" t="n">
        <v>-7079678.03</v>
      </c>
      <c r="I362" s="19" t="n">
        <v>49003545.08</v>
      </c>
      <c r="J362" s="19" t="n">
        <v>42964777.63</v>
      </c>
      <c r="K362" s="21" t="n">
        <v>-14.45</v>
      </c>
      <c r="L362" s="21" t="n">
        <v>2.34</v>
      </c>
      <c r="M362" s="22" t="n">
        <v>59</v>
      </c>
      <c r="N362" s="11" t="inlineStr">
        <is>
          <t>saída persistente</t>
        </is>
      </c>
      <c r="O362" s="11" t="inlineStr"/>
    </row>
    <row r="363">
      <c r="A363" s="11" t="inlineStr">
        <is>
          <t>Kinea Xtr Xp Seg Prev Fic Fim</t>
        </is>
      </c>
      <c r="B363" s="11" t="inlineStr">
        <is>
          <t>32.864.403/0001-75</t>
        </is>
      </c>
      <c r="C363" s="11" t="inlineStr">
        <is>
          <t>Multimercados</t>
        </is>
      </c>
      <c r="D363" s="11" t="inlineStr">
        <is>
          <t>XP VIDA E PREVIDÊNCIA S.A.</t>
        </is>
      </c>
      <c r="E363" s="11" t="inlineStr">
        <is>
          <t>xp</t>
        </is>
      </c>
      <c r="F363" s="19" t="n">
        <v>1481904.92</v>
      </c>
      <c r="G363" s="19" t="n">
        <v>8698651.220000001</v>
      </c>
      <c r="H363" s="23" t="n">
        <v>-7216746.3</v>
      </c>
      <c r="I363" s="19" t="n">
        <v>120985096.41</v>
      </c>
      <c r="J363" s="19" t="n">
        <v>117604455.85</v>
      </c>
      <c r="K363" s="21" t="n">
        <v>-5.96</v>
      </c>
      <c r="L363" s="21" t="n">
        <v>3.29</v>
      </c>
      <c r="M363" s="22" t="n">
        <v>59</v>
      </c>
      <c r="N363" s="11" t="inlineStr">
        <is>
          <t>saída persistente</t>
        </is>
      </c>
      <c r="O363" s="11" t="inlineStr"/>
    </row>
    <row r="364">
      <c r="A364" s="11" t="inlineStr">
        <is>
          <t>Icatu Vanguarda Minha Aposentadoria 2030 FIM Prev RL</t>
        </is>
      </c>
      <c r="B364" s="11" t="inlineStr">
        <is>
          <t>07.190.746/0001-54</t>
        </is>
      </c>
      <c r="C364" s="11" t="inlineStr">
        <is>
          <t>Balanceados</t>
        </is>
      </c>
      <c r="D364" s="11" t="inlineStr">
        <is>
          <t>ICATU VANGUARDA GESTÃO DE RECURSOS LTDA</t>
        </is>
      </c>
      <c r="E364" s="11" t="inlineStr">
        <is>
          <t>btg</t>
        </is>
      </c>
      <c r="F364" s="19" t="n">
        <v>8166049.98</v>
      </c>
      <c r="G364" s="19" t="n">
        <v>15488259.95</v>
      </c>
      <c r="H364" s="23" t="n">
        <v>-7322209.97</v>
      </c>
      <c r="I364" s="19" t="n">
        <v>381301424.56</v>
      </c>
      <c r="J364" s="19" t="n">
        <v>388508881.55</v>
      </c>
      <c r="K364" s="21" t="n">
        <v>-1.92</v>
      </c>
      <c r="L364" s="21" t="n">
        <v>3.31</v>
      </c>
      <c r="M364" s="22" t="n">
        <v>59</v>
      </c>
      <c r="N364" s="11" t="inlineStr">
        <is>
          <t>saída persistente</t>
        </is>
      </c>
      <c r="O364" s="11" t="inlineStr"/>
    </row>
    <row r="365">
      <c r="A365" s="11" t="inlineStr">
        <is>
          <t>Genoa Capital Cruise Prev XP Seg FIC FIM</t>
        </is>
      </c>
      <c r="B365" s="11" t="inlineStr">
        <is>
          <t>42.535.297/0001-30</t>
        </is>
      </c>
      <c r="C365" s="11" t="inlineStr">
        <is>
          <t>Multimercados</t>
        </is>
      </c>
      <c r="D365" s="11" t="inlineStr">
        <is>
          <t>GENOA CAPITAL GESTORA DE RECURSOS LTDA</t>
        </is>
      </c>
      <c r="E365" s="11" t="inlineStr">
        <is>
          <t>xp</t>
        </is>
      </c>
      <c r="F365" s="19" t="n">
        <v>36179331.74</v>
      </c>
      <c r="G365" s="19" t="n">
        <v>43635483.7</v>
      </c>
      <c r="H365" s="23" t="n">
        <v>-7456151.96</v>
      </c>
      <c r="I365" s="19" t="n">
        <v>758974570.0700001</v>
      </c>
      <c r="J365" s="19" t="n">
        <v>781251537.96</v>
      </c>
      <c r="K365" s="21" t="n">
        <v>-0.98</v>
      </c>
      <c r="L365" s="21" t="n">
        <v>4.62</v>
      </c>
      <c r="M365" s="22" t="n">
        <v>59</v>
      </c>
      <c r="N365" s="11" t="inlineStr">
        <is>
          <t>virou entrada</t>
        </is>
      </c>
      <c r="O365" s="11" t="inlineStr"/>
    </row>
    <row r="366">
      <c r="A366" s="11" t="inlineStr">
        <is>
          <t>Icatu SEG Vanguarda FICFIRF Plus Prev RL</t>
        </is>
      </c>
      <c r="B366" s="11" t="inlineStr">
        <is>
          <t>04.223.291/0001-38</t>
        </is>
      </c>
      <c r="C366" s="11" t="inlineStr">
        <is>
          <t>Renda Fixa</t>
        </is>
      </c>
      <c r="D366" s="11" t="inlineStr">
        <is>
          <t>ICATU VANGUARDA GESTÃO DE RECURSOS LTDA</t>
        </is>
      </c>
      <c r="E366" s="11" t="inlineStr">
        <is>
          <t>btg</t>
        </is>
      </c>
      <c r="F366" s="19" t="n">
        <v>24204107.35</v>
      </c>
      <c r="G366" s="19" t="n">
        <v>31730918.05</v>
      </c>
      <c r="H366" s="23" t="n">
        <v>-7526810.7</v>
      </c>
      <c r="I366" s="19" t="n">
        <v>763732673.96</v>
      </c>
      <c r="J366" s="19" t="n">
        <v>777519301.8</v>
      </c>
      <c r="K366" s="21" t="n">
        <v>-0.99</v>
      </c>
      <c r="L366" s="21" t="n">
        <v>2.83</v>
      </c>
      <c r="M366" s="22" t="n">
        <v>59</v>
      </c>
      <c r="N366" s="11" t="inlineStr">
        <is>
          <t>virou entrada</t>
        </is>
      </c>
      <c r="O366" s="11" t="inlineStr"/>
    </row>
    <row r="367">
      <c r="A367" s="11" t="inlineStr">
        <is>
          <t>Franklin Valor e Liquidez 70 XP Seg FIM</t>
        </is>
      </c>
      <c r="B367" s="11" t="inlineStr">
        <is>
          <t>32.319.047/0001-09</t>
        </is>
      </c>
      <c r="C367" s="11" t="inlineStr">
        <is>
          <t>Multimercados</t>
        </is>
      </c>
      <c r="D367" s="11" t="inlineStr">
        <is>
          <t>Franklin Templeton Brasil Ltda.</t>
        </is>
      </c>
      <c r="E367" s="11" t="inlineStr">
        <is>
          <t>xp</t>
        </is>
      </c>
      <c r="F367" s="19" t="n">
        <v>1717063.93</v>
      </c>
      <c r="G367" s="19" t="n">
        <v>9412687.699999999</v>
      </c>
      <c r="H367" s="23" t="n">
        <v>-7695623.77</v>
      </c>
      <c r="I367" s="19" t="n">
        <v>108093036.57</v>
      </c>
      <c r="J367" s="19" t="n">
        <v>105221738.6</v>
      </c>
      <c r="K367" s="21" t="n">
        <v>-7.12</v>
      </c>
      <c r="L367" s="21" t="n">
        <v>4.61</v>
      </c>
      <c r="M367" s="22" t="n">
        <v>59</v>
      </c>
      <c r="N367" s="11" t="inlineStr">
        <is>
          <t>saída persistente</t>
        </is>
      </c>
      <c r="O367" s="11" t="inlineStr"/>
    </row>
    <row r="368">
      <c r="A368" s="11" t="inlineStr">
        <is>
          <t>Arx K2 XP Seg Prev Inflação Curta FIC FIM CP</t>
        </is>
      </c>
      <c r="B368" s="11" t="inlineStr">
        <is>
          <t>40.212.715/0001-22</t>
        </is>
      </c>
      <c r="C368" s="11" t="inlineStr">
        <is>
          <t>Multimercados</t>
        </is>
      </c>
      <c r="D368" s="11" t="inlineStr">
        <is>
          <t>XP VIDA E PREVIDÊNCIA S.A.</t>
        </is>
      </c>
      <c r="E368" s="11" t="inlineStr">
        <is>
          <t>xp</t>
        </is>
      </c>
      <c r="F368" s="19" t="n">
        <v>5078505.81</v>
      </c>
      <c r="G368" s="19" t="n">
        <v>12827211.46</v>
      </c>
      <c r="H368" s="23" t="n">
        <v>-7748705.65</v>
      </c>
      <c r="I368" s="19" t="n">
        <v>128952411.44</v>
      </c>
      <c r="J368" s="19" t="n">
        <v>128143565.8</v>
      </c>
      <c r="K368" s="21" t="n">
        <v>-6.01</v>
      </c>
      <c r="L368" s="21" t="n">
        <v>5.13</v>
      </c>
      <c r="M368" s="22" t="n">
        <v>59</v>
      </c>
      <c r="N368" s="11" t="inlineStr">
        <is>
          <t>saída persistente</t>
        </is>
      </c>
      <c r="O368" s="11" t="inlineStr"/>
    </row>
    <row r="369">
      <c r="A369" s="11" t="inlineStr">
        <is>
          <t>Itaú Global Dinâmico RF Prev XP Advisory Longo Prazo FIC FIM RL</t>
        </is>
      </c>
      <c r="B369" s="11" t="inlineStr">
        <is>
          <t>50.236.261/0001-83</t>
        </is>
      </c>
      <c r="C369" s="11" t="inlineStr">
        <is>
          <t>Renda Fixa</t>
        </is>
      </c>
      <c r="D369" s="11" t="inlineStr">
        <is>
          <t>ITAU UNIBANCO ASSET MANAGEMENT LTDA.</t>
        </is>
      </c>
      <c r="E369" s="11" t="inlineStr">
        <is>
          <t>xp</t>
        </is>
      </c>
      <c r="F369" s="19" t="n">
        <v>1633794.8</v>
      </c>
      <c r="G369" s="19" t="n">
        <v>9456728.859999999</v>
      </c>
      <c r="H369" s="23" t="n">
        <v>-7822934.06</v>
      </c>
      <c r="I369" s="19" t="n">
        <v>52718422.99</v>
      </c>
      <c r="J369" s="19" t="n">
        <v>46145372.87</v>
      </c>
      <c r="K369" s="21" t="n">
        <v>-14.84</v>
      </c>
      <c r="L369" s="21" t="n">
        <v>2.57</v>
      </c>
      <c r="M369" s="22" t="n">
        <v>59</v>
      </c>
      <c r="N369" s="11" t="inlineStr">
        <is>
          <t>saída persistente</t>
        </is>
      </c>
      <c r="O369" s="11" t="inlineStr"/>
    </row>
    <row r="370">
      <c r="A370" s="11" t="inlineStr">
        <is>
          <t>SPX Lancer Plus XXX Prev FICFIM Access RL</t>
        </is>
      </c>
      <c r="B370" s="11" t="inlineStr">
        <is>
          <t>43.164.533/0001-11</t>
        </is>
      </c>
      <c r="C370" s="11" t="inlineStr">
        <is>
          <t>Multimercados</t>
        </is>
      </c>
      <c r="D370" s="11" t="inlineStr">
        <is>
          <t>BTG PACTUAL GESTÃO E CONSULTORIA DE INVESTIMENTOS LTDA</t>
        </is>
      </c>
      <c r="E370" s="11" t="inlineStr">
        <is>
          <t>btg</t>
        </is>
      </c>
      <c r="F370" s="19" t="n">
        <v>1454467.96</v>
      </c>
      <c r="G370" s="19" t="n">
        <v>9487167.93</v>
      </c>
      <c r="H370" s="23" t="n">
        <v>-8032699.97</v>
      </c>
      <c r="I370" s="19" t="n">
        <v>65560915.04</v>
      </c>
      <c r="J370" s="19" t="n">
        <v>58640087.53</v>
      </c>
      <c r="K370" s="21" t="n">
        <v>-12.25</v>
      </c>
      <c r="L370" s="21" t="n">
        <v>1.86</v>
      </c>
      <c r="M370" s="22" t="n">
        <v>59</v>
      </c>
      <c r="N370" s="11" t="inlineStr">
        <is>
          <t>saída persistente</t>
        </is>
      </c>
      <c r="O370" s="11" t="inlineStr"/>
    </row>
    <row r="371">
      <c r="A371" s="11" t="inlineStr">
        <is>
          <t>SPX Lancer Plus XP Seg Prev FIC FIM</t>
        </is>
      </c>
      <c r="B371" s="11" t="inlineStr">
        <is>
          <t>41.802.098/0001-88</t>
        </is>
      </c>
      <c r="C371" s="11" t="inlineStr">
        <is>
          <t>Multimercados</t>
        </is>
      </c>
      <c r="D371" s="11" t="inlineStr">
        <is>
          <t>XP VIDA E PREVIDÊNCIA S.A.</t>
        </is>
      </c>
      <c r="E371" s="11" t="inlineStr">
        <is>
          <t>xp</t>
        </is>
      </c>
      <c r="F371" s="19" t="n">
        <v>1722175.7</v>
      </c>
      <c r="G371" s="19" t="n">
        <v>9822025.789999999</v>
      </c>
      <c r="H371" s="23" t="n">
        <v>-8099850.09</v>
      </c>
      <c r="I371" s="19" t="n">
        <v>84533306.48</v>
      </c>
      <c r="J371" s="19" t="n">
        <v>77875364.04000001</v>
      </c>
      <c r="K371" s="21" t="n">
        <v>-9.58</v>
      </c>
      <c r="L371" s="21" t="n">
        <v>1.85</v>
      </c>
      <c r="M371" s="22" t="n">
        <v>59</v>
      </c>
      <c r="N371" s="11" t="inlineStr">
        <is>
          <t>saída persistente</t>
        </is>
      </c>
      <c r="O371" s="11" t="inlineStr"/>
    </row>
    <row r="372">
      <c r="A372" s="11" t="inlineStr">
        <is>
          <t>Real Investor 100 Icatu Prev Qualificado FICFIA RL</t>
        </is>
      </c>
      <c r="B372" s="11" t="inlineStr">
        <is>
          <t>40.213.012/0001-19</t>
        </is>
      </c>
      <c r="C372" s="11" t="inlineStr">
        <is>
          <t>Ações</t>
        </is>
      </c>
      <c r="D372" s="11" t="inlineStr">
        <is>
          <t>REAL INVESTOR ASSET MANAGEMENT LTDA</t>
        </is>
      </c>
      <c r="E372" s="11" t="inlineStr">
        <is>
          <t>btg</t>
        </is>
      </c>
      <c r="F372" s="19" t="n">
        <v>4866251.73</v>
      </c>
      <c r="G372" s="19" t="n">
        <v>13039676.35</v>
      </c>
      <c r="H372" s="23" t="n">
        <v>-8173424.62</v>
      </c>
      <c r="I372" s="19" t="n">
        <v>136929905.22</v>
      </c>
      <c r="J372" s="19" t="n">
        <v>136267179.21</v>
      </c>
      <c r="K372" s="21" t="n">
        <v>-5.97</v>
      </c>
      <c r="L372" s="21" t="n">
        <v>5.56</v>
      </c>
      <c r="M372" s="22" t="n">
        <v>59</v>
      </c>
      <c r="N372" s="11" t="inlineStr">
        <is>
          <t>saída persistente</t>
        </is>
      </c>
      <c r="O372" s="11" t="inlineStr"/>
    </row>
    <row r="373">
      <c r="A373" s="11" t="inlineStr">
        <is>
          <t>Kapitalo Kappa Prev Xp Seg Ficfim Rl</t>
        </is>
      </c>
      <c r="B373" s="11" t="inlineStr">
        <is>
          <t>42.847.502/0001-00</t>
        </is>
      </c>
      <c r="C373" s="11" t="inlineStr">
        <is>
          <t>Multimercados</t>
        </is>
      </c>
      <c r="D373" s="11" t="inlineStr">
        <is>
          <t>XP VIDA E PREVIDÊNCIA S.A.</t>
        </is>
      </c>
      <c r="E373" s="11" t="inlineStr">
        <is>
          <t>xp</t>
        </is>
      </c>
      <c r="F373" s="19" t="n">
        <v>1177549.08</v>
      </c>
      <c r="G373" s="19" t="n">
        <v>9783582.23</v>
      </c>
      <c r="H373" s="23" t="n">
        <v>-8606033.15</v>
      </c>
      <c r="I373" s="19" t="n">
        <v>85521165.56</v>
      </c>
      <c r="J373" s="19" t="n">
        <v>81135957.52</v>
      </c>
      <c r="K373" s="21" t="n">
        <v>-10.06</v>
      </c>
      <c r="L373" s="21" t="n">
        <v>5.24</v>
      </c>
      <c r="M373" s="22" t="n">
        <v>57</v>
      </c>
      <c r="N373" s="11" t="inlineStr">
        <is>
          <t>saída persistente</t>
        </is>
      </c>
      <c r="O373" s="11" t="inlineStr"/>
    </row>
    <row r="374">
      <c r="A374" s="11" t="inlineStr">
        <is>
          <t>BTG Pactual Yield Prev FICFIM CrPr RL</t>
        </is>
      </c>
      <c r="B374" s="11" t="inlineStr">
        <is>
          <t>20.997.959/0001-50</t>
        </is>
      </c>
      <c r="C374" s="11" t="inlineStr">
        <is>
          <t>Multimercados</t>
        </is>
      </c>
      <c r="D374" s="11" t="inlineStr">
        <is>
          <t>BTG PACTUAL ASSET MANAGEMENT S/A DTVM</t>
        </is>
      </c>
      <c r="E374" s="11" t="inlineStr">
        <is>
          <t>btg</t>
        </is>
      </c>
      <c r="F374" s="19" t="n">
        <v>44977488.51</v>
      </c>
      <c r="G374" s="19" t="n">
        <v>54471580.67</v>
      </c>
      <c r="H374" s="23" t="n">
        <v>-9494092.16</v>
      </c>
      <c r="I374" s="19" t="n">
        <v>1313686007.2</v>
      </c>
      <c r="J374" s="19" t="n">
        <v>1344085232.83</v>
      </c>
      <c r="K374" s="21" t="n">
        <v>-0.72</v>
      </c>
      <c r="L374" s="21" t="n">
        <v>3.05</v>
      </c>
      <c r="M374" s="22" t="n">
        <v>59</v>
      </c>
      <c r="N374" s="11" t="inlineStr">
        <is>
          <t>virou entrada</t>
        </is>
      </c>
      <c r="O374" s="11" t="inlineStr"/>
    </row>
    <row r="375">
      <c r="A375" s="11" t="inlineStr">
        <is>
          <t>Spx Lancer Xp Seg Prev I Fic Fim Rl</t>
        </is>
      </c>
      <c r="B375" s="11" t="inlineStr">
        <is>
          <t>31.569.954/0001-43</t>
        </is>
      </c>
      <c r="C375" s="11" t="inlineStr">
        <is>
          <t>Multimercados</t>
        </is>
      </c>
      <c r="D375" s="11" t="inlineStr">
        <is>
          <t>XP VIDA E PREVIDÊNCIA S.A.</t>
        </is>
      </c>
      <c r="E375" s="11" t="inlineStr">
        <is>
          <t>xp</t>
        </is>
      </c>
      <c r="F375" s="19" t="n">
        <v>806595.49</v>
      </c>
      <c r="G375" s="19" t="n">
        <v>10417579.54</v>
      </c>
      <c r="H375" s="23" t="n">
        <v>-9610984.050000001</v>
      </c>
      <c r="I375" s="19" t="n">
        <v>102070954.73</v>
      </c>
      <c r="J375" s="19" t="n">
        <v>94276967.05</v>
      </c>
      <c r="K375" s="21" t="n">
        <v>-9.42</v>
      </c>
      <c r="L375" s="21" t="n">
        <v>1.91</v>
      </c>
      <c r="M375" s="22" t="n">
        <v>59</v>
      </c>
      <c r="N375" s="11" t="inlineStr">
        <is>
          <t>saída persistente</t>
        </is>
      </c>
      <c r="O375" s="11" t="inlineStr"/>
    </row>
    <row r="376">
      <c r="A376" s="11" t="inlineStr">
        <is>
          <t>Sulamérica Prestige Strategie Prev XP Seg FICFIRF CP RL</t>
        </is>
      </c>
      <c r="B376" s="11" t="inlineStr">
        <is>
          <t>45.299.196/0001-03</t>
        </is>
      </c>
      <c r="C376" s="11" t="inlineStr">
        <is>
          <t>Multimercados</t>
        </is>
      </c>
      <c r="D376" s="11" t="inlineStr">
        <is>
          <t>XP VIDA E PREVIDÊNCIA S.A.</t>
        </is>
      </c>
      <c r="E376" s="11" t="inlineStr">
        <is>
          <t>xp</t>
        </is>
      </c>
      <c r="F376" s="19" t="n">
        <v>12341469.64</v>
      </c>
      <c r="G376" s="19" t="n">
        <v>22348573.83</v>
      </c>
      <c r="H376" s="23" t="n">
        <v>-10007104.19</v>
      </c>
      <c r="I376" s="19" t="n">
        <v>311213907.69</v>
      </c>
      <c r="J376" s="19" t="n">
        <v>310395268</v>
      </c>
      <c r="K376" s="21" t="n">
        <v>-3.22</v>
      </c>
      <c r="L376" s="21" t="n">
        <v>2.97</v>
      </c>
      <c r="M376" s="22" t="n">
        <v>59</v>
      </c>
      <c r="N376" s="11" t="inlineStr">
        <is>
          <t>saída persistente</t>
        </is>
      </c>
      <c r="O376" s="11" t="inlineStr"/>
    </row>
    <row r="377">
      <c r="A377" s="11" t="inlineStr">
        <is>
          <t>BTG Alocacao Global Cred Prev FIM CrPr RL</t>
        </is>
      </c>
      <c r="B377" s="11" t="inlineStr">
        <is>
          <t>52.279.451/0001-03</t>
        </is>
      </c>
      <c r="C377" s="11" t="inlineStr">
        <is>
          <t>Multimercados</t>
        </is>
      </c>
      <c r="D377" s="11" t="inlineStr">
        <is>
          <t>BTG PACTUAL ASSET MANAGEMENT S/A DTVM</t>
        </is>
      </c>
      <c r="E377" s="11" t="inlineStr">
        <is>
          <t>btg</t>
        </is>
      </c>
      <c r="F377" s="19" t="n">
        <v>2809501.6</v>
      </c>
      <c r="G377" s="19" t="n">
        <v>12891549.75</v>
      </c>
      <c r="H377" s="23" t="n">
        <v>-10082048.15</v>
      </c>
      <c r="I377" s="19" t="n">
        <v>70917577.87</v>
      </c>
      <c r="J377" s="19" t="n">
        <v>63866238.06</v>
      </c>
      <c r="K377" s="21" t="n">
        <v>-14.22</v>
      </c>
      <c r="L377" s="21" t="n">
        <v>3.36</v>
      </c>
      <c r="M377" s="22" t="n">
        <v>59</v>
      </c>
      <c r="N377" s="11" t="inlineStr">
        <is>
          <t>virou entrada</t>
        </is>
      </c>
      <c r="O377" s="11" t="inlineStr"/>
    </row>
    <row r="378">
      <c r="A378" s="11" t="inlineStr">
        <is>
          <t>A1 Renda Fixa Ativa Xp Seguros Firf</t>
        </is>
      </c>
      <c r="B378" s="11" t="inlineStr">
        <is>
          <t>52.955.280/0001-95</t>
        </is>
      </c>
      <c r="C378" s="11" t="inlineStr">
        <is>
          <t>Multimercados</t>
        </is>
      </c>
      <c r="D378" s="11" t="inlineStr">
        <is>
          <t>ASSET1 INVESTIMENTOS S/A</t>
        </is>
      </c>
      <c r="E378" s="11" t="inlineStr">
        <is>
          <t>xp</t>
        </is>
      </c>
      <c r="F378" s="19" t="n">
        <v>265613.23</v>
      </c>
      <c r="G378" s="19" t="n">
        <v>10489648.42</v>
      </c>
      <c r="H378" s="23" t="n">
        <v>-10224035.19</v>
      </c>
      <c r="I378" s="19" t="n">
        <v>60068345.88</v>
      </c>
      <c r="J378" s="19" t="n">
        <v>51466837.63</v>
      </c>
      <c r="K378" s="21" t="n">
        <v>-17.02</v>
      </c>
      <c r="L378" s="21" t="n">
        <v>3.05</v>
      </c>
      <c r="M378" s="22" t="n">
        <v>59</v>
      </c>
      <c r="N378" s="11" t="inlineStr">
        <is>
          <t>saída persistente</t>
        </is>
      </c>
      <c r="O378" s="11" t="inlineStr"/>
    </row>
    <row r="379">
      <c r="A379" s="11" t="inlineStr">
        <is>
          <t>Real Investor 100 Xp Seg Ad Ficfia</t>
        </is>
      </c>
      <c r="B379" s="11" t="inlineStr">
        <is>
          <t>41.035.989/0001-56</t>
        </is>
      </c>
      <c r="C379" s="11" t="inlineStr">
        <is>
          <t>Ações</t>
        </is>
      </c>
      <c r="D379" s="11" t="inlineStr">
        <is>
          <t>XP VIDA E PREVIDÊNCIA S.A.</t>
        </is>
      </c>
      <c r="E379" s="11" t="inlineStr">
        <is>
          <t>xp</t>
        </is>
      </c>
      <c r="F379" s="19" t="n">
        <v>16260951.04</v>
      </c>
      <c r="G379" s="19" t="n">
        <v>26487814.74</v>
      </c>
      <c r="H379" s="23" t="n">
        <v>-10226863.7</v>
      </c>
      <c r="I379" s="19" t="n">
        <v>380904424.12</v>
      </c>
      <c r="J379" s="19" t="n">
        <v>393964285.85</v>
      </c>
      <c r="K379" s="21" t="n">
        <v>-2.68</v>
      </c>
      <c r="L379" s="21" t="n">
        <v>5.62</v>
      </c>
      <c r="M379" s="22" t="n">
        <v>59</v>
      </c>
      <c r="N379" s="11" t="inlineStr">
        <is>
          <t>saída persistente</t>
        </is>
      </c>
      <c r="O379" s="11" t="inlineStr"/>
    </row>
    <row r="380">
      <c r="A380" s="11" t="inlineStr">
        <is>
          <t>Real Investor Xp Seg Prev Fif Multimercado Rl</t>
        </is>
      </c>
      <c r="B380" s="11" t="inlineStr">
        <is>
          <t>57.446.923/0001-99</t>
        </is>
      </c>
      <c r="C380" s="11" t="inlineStr">
        <is>
          <t>Multimercados</t>
        </is>
      </c>
      <c r="D380" s="11" t="inlineStr">
        <is>
          <t>REAL INVESTOR ASSET MANAGEMENT LTDA</t>
        </is>
      </c>
      <c r="E380" s="11" t="inlineStr">
        <is>
          <t>xp</t>
        </is>
      </c>
      <c r="F380" s="19" t="n">
        <v>1401200.36</v>
      </c>
      <c r="G380" s="19" t="n">
        <v>12067339.31</v>
      </c>
      <c r="H380" s="23" t="n">
        <v>-10666138.95</v>
      </c>
      <c r="I380" s="19" t="n">
        <v>99755023.81</v>
      </c>
      <c r="J380" s="19" t="n">
        <v>89767721.84999999</v>
      </c>
      <c r="K380" s="21" t="n">
        <v>-10.69</v>
      </c>
      <c r="L380" s="21" t="n">
        <v>0.79</v>
      </c>
      <c r="M380" s="22" t="n">
        <v>59</v>
      </c>
      <c r="N380" s="11" t="inlineStr">
        <is>
          <t>saída persistente</t>
        </is>
      </c>
      <c r="O380" s="11" t="inlineStr"/>
    </row>
    <row r="381">
      <c r="A381" s="11" t="inlineStr">
        <is>
          <t>Empiricus FoF Nova Superprevidencia Prev FIM RL</t>
        </is>
      </c>
      <c r="B381" s="11" t="inlineStr">
        <is>
          <t>44.027.199/0001-17</t>
        </is>
      </c>
      <c r="C381" s="11" t="inlineStr">
        <is>
          <t>Multimercados</t>
        </is>
      </c>
      <c r="D381" s="11" t="inlineStr">
        <is>
          <t>BTG PACTUAL GESTÃO E CONSULTORIA DE INVESTIMENTOS LTDA</t>
        </is>
      </c>
      <c r="E381" s="11" t="inlineStr">
        <is>
          <t>btg</t>
        </is>
      </c>
      <c r="F381" s="19" t="n">
        <v>1703745.24</v>
      </c>
      <c r="G381" s="19" t="n">
        <v>13355695.48</v>
      </c>
      <c r="H381" s="23" t="n">
        <v>-11651950.24</v>
      </c>
      <c r="I381" s="19" t="n">
        <v>113149386.56</v>
      </c>
      <c r="J381" s="19" t="n">
        <v>105840051.62</v>
      </c>
      <c r="K381" s="21" t="n">
        <v>-10.3</v>
      </c>
      <c r="L381" s="21" t="n">
        <v>4.01</v>
      </c>
      <c r="M381" s="22" t="n">
        <v>59</v>
      </c>
      <c r="N381" s="11" t="inlineStr">
        <is>
          <t>saída persistente</t>
        </is>
      </c>
      <c r="O381" s="11" t="inlineStr"/>
    </row>
    <row r="382">
      <c r="A382" s="11" t="inlineStr">
        <is>
          <t>Brasil Plural Cred Corp Icatu Prev FICFIRF CrPr RL</t>
        </is>
      </c>
      <c r="B382" s="11" t="inlineStr">
        <is>
          <t>23.263.359/0001-57</t>
        </is>
      </c>
      <c r="C382" s="11" t="inlineStr">
        <is>
          <t>Renda Fixa</t>
        </is>
      </c>
      <c r="D382" s="11" t="inlineStr">
        <is>
          <t>PLURAL GESTÃO DE RECURSOS LTDA</t>
        </is>
      </c>
      <c r="E382" s="11" t="inlineStr">
        <is>
          <t>btg</t>
        </is>
      </c>
      <c r="F382" s="19" t="n">
        <v>6831184.35</v>
      </c>
      <c r="G382" s="19" t="n">
        <v>18881696.27</v>
      </c>
      <c r="H382" s="23" t="n">
        <v>-12050511.92</v>
      </c>
      <c r="I382" s="19" t="n">
        <v>180750303.71</v>
      </c>
      <c r="J382" s="19" t="n">
        <v>173741512.87</v>
      </c>
      <c r="K382" s="21" t="n">
        <v>-6.67</v>
      </c>
      <c r="L382" s="21" t="n">
        <v>3.02</v>
      </c>
      <c r="M382" s="22" t="n">
        <v>59</v>
      </c>
      <c r="N382" s="11" t="inlineStr">
        <is>
          <t>virou entrada</t>
        </is>
      </c>
      <c r="O382" s="11" t="inlineStr"/>
    </row>
    <row r="383">
      <c r="A383" s="11" t="inlineStr">
        <is>
          <t>Icatu Vanguarda Absoluto II Xp Seg Fundo De Investimento Renda Fixa Crédito Priv</t>
        </is>
      </c>
      <c r="B383" s="11" t="inlineStr">
        <is>
          <t>52.986.251/0001-90</t>
        </is>
      </c>
      <c r="C383" s="11" t="inlineStr">
        <is>
          <t>Renda Fixa</t>
        </is>
      </c>
      <c r="D383" s="11" t="inlineStr">
        <is>
          <t>ICATU VANGUARDA GESTÃO DE RECURSOS LTDA</t>
        </is>
      </c>
      <c r="E383" s="11" t="inlineStr">
        <is>
          <t>xp</t>
        </is>
      </c>
      <c r="F383" s="19" t="n">
        <v>8944225.93</v>
      </c>
      <c r="G383" s="19" t="n">
        <v>21242128.25</v>
      </c>
      <c r="H383" s="23" t="n">
        <v>-12297902.32</v>
      </c>
      <c r="I383" s="19" t="n">
        <v>352199122.65</v>
      </c>
      <c r="J383" s="19" t="n">
        <v>349319002.51</v>
      </c>
      <c r="K383" s="21" t="n">
        <v>-3.49</v>
      </c>
      <c r="L383" s="21" t="n">
        <v>2.75</v>
      </c>
      <c r="M383" s="22" t="n">
        <v>59</v>
      </c>
      <c r="N383" s="11" t="inlineStr">
        <is>
          <t>saída persistente</t>
        </is>
      </c>
      <c r="O383" s="11" t="inlineStr"/>
    </row>
    <row r="384">
      <c r="A384" s="11" t="inlineStr">
        <is>
          <t>Kinea Prev Atlas XP Seg FIC FIM</t>
        </is>
      </c>
      <c r="B384" s="11" t="inlineStr">
        <is>
          <t>37.728.799/0001-47</t>
        </is>
      </c>
      <c r="C384" s="11" t="inlineStr">
        <is>
          <t>Multimercados</t>
        </is>
      </c>
      <c r="D384" s="11" t="inlineStr">
        <is>
          <t>XP VIDA E PREVIDÊNCIA S.A.</t>
        </is>
      </c>
      <c r="E384" s="11" t="inlineStr">
        <is>
          <t>xp</t>
        </is>
      </c>
      <c r="F384" s="19" t="n">
        <v>8614908.32</v>
      </c>
      <c r="G384" s="19" t="n">
        <v>20937048.71</v>
      </c>
      <c r="H384" s="23" t="n">
        <v>-12322140.39</v>
      </c>
      <c r="I384" s="19" t="n">
        <v>241797971.72</v>
      </c>
      <c r="J384" s="19" t="n">
        <v>238761284.27</v>
      </c>
      <c r="K384" s="21" t="n">
        <v>-5.1</v>
      </c>
      <c r="L384" s="21" t="n">
        <v>3.98</v>
      </c>
      <c r="M384" s="22" t="n">
        <v>59</v>
      </c>
      <c r="N384" s="11" t="inlineStr">
        <is>
          <t>saída persistente</t>
        </is>
      </c>
      <c r="O384" s="11" t="inlineStr"/>
    </row>
    <row r="385">
      <c r="A385" s="11" t="inlineStr">
        <is>
          <t>Vinland Macro Advisory XP Seg Prev FIC FIM</t>
        </is>
      </c>
      <c r="B385" s="11" t="inlineStr">
        <is>
          <t>31.846.723/0001-30</t>
        </is>
      </c>
      <c r="C385" s="11" t="inlineStr">
        <is>
          <t>Multimercados</t>
        </is>
      </c>
      <c r="D385" s="11" t="inlineStr">
        <is>
          <t>XP VIDA E PREVIDÊNCIA S.A.</t>
        </is>
      </c>
      <c r="E385" s="11" t="inlineStr">
        <is>
          <t>xp</t>
        </is>
      </c>
      <c r="F385" s="19" t="n">
        <v>251507.38</v>
      </c>
      <c r="G385" s="19" t="n">
        <v>12664768.72</v>
      </c>
      <c r="H385" s="23" t="n">
        <v>-12413261.34</v>
      </c>
      <c r="I385" s="19" t="n">
        <v>119103049.13</v>
      </c>
      <c r="J385" s="19" t="n">
        <v>109414604.26</v>
      </c>
      <c r="K385" s="21" t="n">
        <v>-10.42</v>
      </c>
      <c r="L385" s="21" t="n">
        <v>2.41</v>
      </c>
      <c r="M385" s="22" t="n">
        <v>59</v>
      </c>
      <c r="N385" s="11" t="inlineStr">
        <is>
          <t>saída persistente</t>
        </is>
      </c>
      <c r="O385" s="11" t="inlineStr"/>
    </row>
    <row r="386">
      <c r="A386" s="11" t="inlineStr">
        <is>
          <t>BTG Icatu Vanguarda Absoluto II FIRF Prev CrPr RL</t>
        </is>
      </c>
      <c r="B386" s="11" t="inlineStr">
        <is>
          <t>46.700.364/0001-85</t>
        </is>
      </c>
      <c r="C386" s="11" t="inlineStr">
        <is>
          <t>Renda Fixa</t>
        </is>
      </c>
      <c r="D386" s="11" t="inlineStr">
        <is>
          <t>ICATU VANGUARDA GESTÃO DE RECURSOS LTDA</t>
        </is>
      </c>
      <c r="E386" s="11" t="inlineStr">
        <is>
          <t>btg</t>
        </is>
      </c>
      <c r="F386" s="19" t="n">
        <v>34583447.2</v>
      </c>
      <c r="G386" s="19" t="n">
        <v>47172472.52</v>
      </c>
      <c r="H386" s="23" t="n">
        <v>-12589025.32</v>
      </c>
      <c r="I386" s="19" t="n">
        <v>460683323.66</v>
      </c>
      <c r="J386" s="19" t="n">
        <v>460557745.72</v>
      </c>
      <c r="K386" s="21" t="n">
        <v>-2.73</v>
      </c>
      <c r="L386" s="21" t="n">
        <v>2.78</v>
      </c>
      <c r="M386" s="22" t="n">
        <v>59</v>
      </c>
      <c r="N386" s="11" t="inlineStr">
        <is>
          <t>saída persistente</t>
        </is>
      </c>
      <c r="O386" s="11" t="inlineStr"/>
    </row>
    <row r="387">
      <c r="A387" s="11" t="inlineStr">
        <is>
          <t>Icatu SEG Duration FIRF RL</t>
        </is>
      </c>
      <c r="B387" s="11" t="inlineStr">
        <is>
          <t>04.511.286/0001-20</t>
        </is>
      </c>
      <c r="C387" s="11" t="inlineStr">
        <is>
          <t>Renda Fixa</t>
        </is>
      </c>
      <c r="D387" s="11" t="inlineStr">
        <is>
          <t>ICATU VANGUARDA GESTÃO DE RECURSOS LTDA</t>
        </is>
      </c>
      <c r="E387" s="11" t="inlineStr">
        <is>
          <t>btg</t>
        </is>
      </c>
      <c r="F387" s="19" t="n">
        <v>3986954.43</v>
      </c>
      <c r="G387" s="19" t="n">
        <v>17319964.68</v>
      </c>
      <c r="H387" s="23" t="n">
        <v>-13333010.25</v>
      </c>
      <c r="I387" s="19" t="n">
        <v>297102160.56</v>
      </c>
      <c r="J387" s="19" t="n">
        <v>294619166.37</v>
      </c>
      <c r="K387" s="21" t="n">
        <v>-4.49</v>
      </c>
      <c r="L387" s="21" t="n">
        <v>3.55</v>
      </c>
      <c r="M387" s="22" t="n">
        <v>59</v>
      </c>
      <c r="N387" s="11" t="inlineStr">
        <is>
          <t>saída persistente</t>
        </is>
      </c>
      <c r="O387" s="11" t="inlineStr"/>
    </row>
    <row r="388">
      <c r="A388" s="11" t="inlineStr">
        <is>
          <t>Itau Sinfonia Prev FICFIM Access CrPr RL</t>
        </is>
      </c>
      <c r="B388" s="11" t="inlineStr">
        <is>
          <t>54.304.929/0001-33</t>
        </is>
      </c>
      <c r="C388" s="11" t="inlineStr">
        <is>
          <t>Multimercados</t>
        </is>
      </c>
      <c r="D388" s="11" t="inlineStr">
        <is>
          <t>BTG PACTUAL GESTÃO E CONSULTORIA DE INVESTIMENTOS LTDA</t>
        </is>
      </c>
      <c r="E388" s="11" t="inlineStr">
        <is>
          <t>btg</t>
        </is>
      </c>
      <c r="F388" s="19" t="n">
        <v>15596653.65</v>
      </c>
      <c r="G388" s="19" t="n">
        <v>29231055.87</v>
      </c>
      <c r="H388" s="23" t="n">
        <v>-13634402.22</v>
      </c>
      <c r="I388" s="19" t="n">
        <v>399965281.89</v>
      </c>
      <c r="J388" s="19" t="n">
        <v>399023467.79</v>
      </c>
      <c r="K388" s="21" t="n">
        <v>-3.41</v>
      </c>
      <c r="L388" s="21" t="n">
        <v>3.08</v>
      </c>
      <c r="M388" s="22" t="n">
        <v>59</v>
      </c>
      <c r="N388" s="11" t="inlineStr">
        <is>
          <t>saída persistente</t>
        </is>
      </c>
      <c r="O388" s="11" t="inlineStr"/>
    </row>
    <row r="389">
      <c r="A389" s="11" t="inlineStr">
        <is>
          <t>Gavea Macro Xp Seg Prev Ficfim Cp Rl</t>
        </is>
      </c>
      <c r="B389" s="11" t="inlineStr">
        <is>
          <t>40.635.018/0001-84</t>
        </is>
      </c>
      <c r="C389" s="11" t="inlineStr">
        <is>
          <t>Multimercados</t>
        </is>
      </c>
      <c r="D389" s="11" t="inlineStr">
        <is>
          <t>XP VIDA E PREVIDÊNCIA S.A.</t>
        </is>
      </c>
      <c r="E389" s="11" t="inlineStr">
        <is>
          <t>xp</t>
        </is>
      </c>
      <c r="F389" s="19" t="n">
        <v>1016430.15</v>
      </c>
      <c r="G389" s="19" t="n">
        <v>14840314.39</v>
      </c>
      <c r="H389" s="23" t="n">
        <v>-13823884.24</v>
      </c>
      <c r="I389" s="19" t="n">
        <v>41496770.66</v>
      </c>
      <c r="J389" s="19" t="n">
        <v>28500562.59</v>
      </c>
      <c r="K389" s="21" t="n">
        <v>-33.31</v>
      </c>
      <c r="L389" s="21" t="n">
        <v>2.42</v>
      </c>
      <c r="M389" s="22" t="n">
        <v>58</v>
      </c>
      <c r="N389" s="11" t="inlineStr">
        <is>
          <t>saída persistente</t>
        </is>
      </c>
      <c r="O389" s="11" t="inlineStr"/>
    </row>
    <row r="390">
      <c r="A390" s="11" t="inlineStr">
        <is>
          <t>ARX K2 Prev FICFIM CrPr RL</t>
        </is>
      </c>
      <c r="B390" s="11" t="inlineStr">
        <is>
          <t>33.165.244/0001-83</t>
        </is>
      </c>
      <c r="C390" s="11" t="inlineStr">
        <is>
          <t>Multimercados</t>
        </is>
      </c>
      <c r="D390" s="11" t="inlineStr">
        <is>
          <t>ARX INVESTIMENTOS LTDA</t>
        </is>
      </c>
      <c r="E390" s="11" t="inlineStr">
        <is>
          <t>btg</t>
        </is>
      </c>
      <c r="F390" s="19" t="n">
        <v>1801689.04</v>
      </c>
      <c r="G390" s="19" t="n">
        <v>16207896.24</v>
      </c>
      <c r="H390" s="23" t="n">
        <v>-14406207.2</v>
      </c>
      <c r="I390" s="19" t="n">
        <v>133825905.76</v>
      </c>
      <c r="J390" s="19" t="n">
        <v>127629035.4</v>
      </c>
      <c r="K390" s="21" t="n">
        <v>-10.76</v>
      </c>
      <c r="L390" s="21" t="n">
        <v>4.4</v>
      </c>
      <c r="M390" s="22" t="n">
        <v>59</v>
      </c>
      <c r="N390" s="11" t="inlineStr">
        <is>
          <t>saída persistente</t>
        </is>
      </c>
      <c r="O390" s="11" t="inlineStr"/>
    </row>
    <row r="391">
      <c r="A391" s="11" t="inlineStr">
        <is>
          <t>Quantitas Capri Xp Seg Prev Ficfim</t>
        </is>
      </c>
      <c r="B391" s="11" t="inlineStr">
        <is>
          <t>46.948.233/0001-11</t>
        </is>
      </c>
      <c r="C391" s="11" t="inlineStr">
        <is>
          <t>Multimercados</t>
        </is>
      </c>
      <c r="D391" s="11" t="inlineStr">
        <is>
          <t>XP VIDA E PREVIDÊNCIA S.A.</t>
        </is>
      </c>
      <c r="E391" s="11" t="inlineStr">
        <is>
          <t>xp</t>
        </is>
      </c>
      <c r="F391" s="19" t="n">
        <v>481897.91</v>
      </c>
      <c r="G391" s="19" t="n">
        <v>15173866.51</v>
      </c>
      <c r="H391" s="23" t="n">
        <v>-14691968.6</v>
      </c>
      <c r="I391" s="19" t="n">
        <v>92546251.09999999</v>
      </c>
      <c r="J391" s="19" t="n">
        <v>82677874.98</v>
      </c>
      <c r="K391" s="21" t="n">
        <v>-15.88</v>
      </c>
      <c r="L391" s="21" t="n">
        <v>4.95</v>
      </c>
      <c r="M391" s="22" t="n">
        <v>59</v>
      </c>
      <c r="N391" s="11" t="inlineStr">
        <is>
          <t>saída persistente</t>
        </is>
      </c>
      <c r="O391" s="11" t="inlineStr"/>
    </row>
    <row r="392">
      <c r="A392" s="11" t="inlineStr">
        <is>
          <t>BTG Pactual Hedge Sigma Prev FIE FICFIM RL</t>
        </is>
      </c>
      <c r="B392" s="11" t="inlineStr">
        <is>
          <t>44.025.612/0001-04</t>
        </is>
      </c>
      <c r="C392" s="11" t="inlineStr">
        <is>
          <t>Multimercados</t>
        </is>
      </c>
      <c r="D392" s="11" t="inlineStr">
        <is>
          <t>BTG PACTUAL ASSET MANAGEMENT S/A DTVM</t>
        </is>
      </c>
      <c r="E392" s="11" t="inlineStr">
        <is>
          <t>btg</t>
        </is>
      </c>
      <c r="F392" s="19" t="n">
        <v>1088963.33</v>
      </c>
      <c r="G392" s="19" t="n">
        <v>15950611.2</v>
      </c>
      <c r="H392" s="23" t="n">
        <v>-14861647.87</v>
      </c>
      <c r="I392" s="19" t="n">
        <v>128645573.97</v>
      </c>
      <c r="J392" s="19" t="n">
        <v>117878811.68</v>
      </c>
      <c r="K392" s="21" t="n">
        <v>-11.55</v>
      </c>
      <c r="L392" s="21" t="n">
        <v>2.85</v>
      </c>
      <c r="M392" s="22" t="n">
        <v>59</v>
      </c>
      <c r="N392" s="11" t="inlineStr">
        <is>
          <t>saída persistente</t>
        </is>
      </c>
      <c r="O392" s="11" t="inlineStr"/>
    </row>
    <row r="393">
      <c r="A393" s="11" t="inlineStr">
        <is>
          <t>Itaú Sinfonia XP Seg Prev FIC FIM CP RL</t>
        </is>
      </c>
      <c r="B393" s="11" t="inlineStr">
        <is>
          <t>47.020.727/0001-02</t>
        </is>
      </c>
      <c r="C393" s="11" t="inlineStr">
        <is>
          <t>Multimercados</t>
        </is>
      </c>
      <c r="D393" s="11" t="inlineStr">
        <is>
          <t>ITAU UNIBANCO ASSET MANAGEMENT LTDA.</t>
        </is>
      </c>
      <c r="E393" s="11" t="inlineStr">
        <is>
          <t>xp</t>
        </is>
      </c>
      <c r="F393" s="19" t="n">
        <v>42713078.76</v>
      </c>
      <c r="G393" s="19" t="n">
        <v>58307083.33</v>
      </c>
      <c r="H393" s="23" t="n">
        <v>-15594004.57</v>
      </c>
      <c r="I393" s="19" t="n">
        <v>721613402.12</v>
      </c>
      <c r="J393" s="19" t="n">
        <v>723152567.39</v>
      </c>
      <c r="K393" s="21" t="n">
        <v>-2.16</v>
      </c>
      <c r="L393" s="21" t="n">
        <v>3.08</v>
      </c>
      <c r="M393" s="22" t="n">
        <v>59</v>
      </c>
      <c r="N393" s="11" t="inlineStr">
        <is>
          <t>virou entrada</t>
        </is>
      </c>
      <c r="O393" s="11" t="inlineStr"/>
    </row>
    <row r="394">
      <c r="A394" s="11" t="inlineStr">
        <is>
          <t>Spx Seahawk Plus XP Seg Prev FIC FIM CP</t>
        </is>
      </c>
      <c r="B394" s="11" t="inlineStr">
        <is>
          <t>43.636.185/0001-38</t>
        </is>
      </c>
      <c r="C394" s="11" t="inlineStr">
        <is>
          <t>Multimercados</t>
        </is>
      </c>
      <c r="D394" s="11" t="inlineStr">
        <is>
          <t>XP VIDA E PREVIDÊNCIA S.A.</t>
        </is>
      </c>
      <c r="E394" s="11" t="inlineStr">
        <is>
          <t>xp</t>
        </is>
      </c>
      <c r="F394" s="19" t="n">
        <v>13729296.88</v>
      </c>
      <c r="G394" s="19" t="n">
        <v>29344499.75</v>
      </c>
      <c r="H394" s="23" t="n">
        <v>-15615202.87</v>
      </c>
      <c r="I394" s="19" t="n">
        <v>356597737.88</v>
      </c>
      <c r="J394" s="19" t="n">
        <v>350909750.79</v>
      </c>
      <c r="K394" s="21" t="n">
        <v>-4.38</v>
      </c>
      <c r="L394" s="21" t="n">
        <v>3.11</v>
      </c>
      <c r="M394" s="22" t="n">
        <v>59</v>
      </c>
      <c r="N394" s="11" t="inlineStr">
        <is>
          <t>saída persistente</t>
        </is>
      </c>
      <c r="O394" s="11" t="inlineStr"/>
    </row>
    <row r="395">
      <c r="A395" s="11" t="inlineStr">
        <is>
          <t>Vinland Macro P V Prev FICFIM RL</t>
        </is>
      </c>
      <c r="B395" s="11" t="inlineStr">
        <is>
          <t>43.794.322/0001-62</t>
        </is>
      </c>
      <c r="C395" s="11" t="inlineStr">
        <is>
          <t>Multimercados</t>
        </is>
      </c>
      <c r="D395" s="11" t="inlineStr">
        <is>
          <t>VINLAND CAPITAL MANAGEMENT GESTORA DE RECURSOS LTDA.</t>
        </is>
      </c>
      <c r="E395" s="11" t="inlineStr">
        <is>
          <t>btg</t>
        </is>
      </c>
      <c r="F395" s="19" t="n">
        <v>409891.53</v>
      </c>
      <c r="G395" s="19" t="n">
        <v>16237088.08</v>
      </c>
      <c r="H395" s="23" t="n">
        <v>-15827196.55</v>
      </c>
      <c r="I395" s="19" t="n">
        <v>66671978.65</v>
      </c>
      <c r="J395" s="19" t="n">
        <v>52130758.69</v>
      </c>
      <c r="K395" s="21" t="n">
        <v>-23.74</v>
      </c>
      <c r="L395" s="21" t="n">
        <v>2.13</v>
      </c>
      <c r="M395" s="22" t="n">
        <v>59</v>
      </c>
      <c r="N395" s="11" t="inlineStr">
        <is>
          <t>saída persistente</t>
        </is>
      </c>
      <c r="O395" s="11" t="inlineStr"/>
    </row>
    <row r="396">
      <c r="A396" s="11" t="inlineStr">
        <is>
          <t>Legacy Capital Prev Advisory Ii Xp Seg Ficfim</t>
        </is>
      </c>
      <c r="B396" s="11" t="inlineStr">
        <is>
          <t>45.645.166/0001-01</t>
        </is>
      </c>
      <c r="C396" s="11" t="inlineStr">
        <is>
          <t>Multimercados</t>
        </is>
      </c>
      <c r="D396" s="11" t="inlineStr">
        <is>
          <t>XP VIDA E PREVIDÊNCIA S.A.</t>
        </is>
      </c>
      <c r="E396" s="11" t="inlineStr">
        <is>
          <t>xp</t>
        </is>
      </c>
      <c r="F396" s="19" t="n">
        <v>2227571.14</v>
      </c>
      <c r="G396" s="19" t="n">
        <v>18569667.64</v>
      </c>
      <c r="H396" s="23" t="n">
        <v>-16342096.5</v>
      </c>
      <c r="I396" s="19" t="n">
        <v>162397603.6</v>
      </c>
      <c r="J396" s="19" t="n">
        <v>149226142.6</v>
      </c>
      <c r="K396" s="21" t="n">
        <v>-10.06</v>
      </c>
      <c r="L396" s="21" t="n">
        <v>2.01</v>
      </c>
      <c r="M396" s="22" t="n">
        <v>59</v>
      </c>
      <c r="N396" s="11" t="inlineStr">
        <is>
          <t>saída persistente</t>
        </is>
      </c>
      <c r="O396" s="11" t="inlineStr"/>
    </row>
    <row r="397">
      <c r="A397" s="11" t="inlineStr">
        <is>
          <t>Verde Am Scena Advisory Xp Seg Fic Fim Rl</t>
        </is>
      </c>
      <c r="B397" s="11" t="inlineStr">
        <is>
          <t>30.994.931/0001-13</t>
        </is>
      </c>
      <c r="C397" s="11" t="inlineStr">
        <is>
          <t>Multimercados</t>
        </is>
      </c>
      <c r="D397" s="11" t="inlineStr">
        <is>
          <t>XP VIDA E PREVIDÊNCIA S.A.</t>
        </is>
      </c>
      <c r="E397" s="11" t="inlineStr">
        <is>
          <t>xp</t>
        </is>
      </c>
      <c r="F397" s="19" t="n">
        <v>2077339.08</v>
      </c>
      <c r="G397" s="19" t="n">
        <v>18561808.76</v>
      </c>
      <c r="H397" s="23" t="n">
        <v>-16484469.68</v>
      </c>
      <c r="I397" s="19" t="n">
        <v>268875605.02</v>
      </c>
      <c r="J397" s="19" t="n">
        <v>260266037.94</v>
      </c>
      <c r="K397" s="21" t="n">
        <v>-6.13</v>
      </c>
      <c r="L397" s="21" t="n">
        <v>2.93</v>
      </c>
      <c r="M397" s="22" t="n">
        <v>59</v>
      </c>
      <c r="N397" s="11" t="inlineStr">
        <is>
          <t>saída persistente</t>
        </is>
      </c>
      <c r="O397" s="11" t="inlineStr"/>
    </row>
    <row r="398">
      <c r="A398" s="11" t="inlineStr">
        <is>
          <t>Genoa Capital Cruise Prev BTG FICFIM RL</t>
        </is>
      </c>
      <c r="B398" s="11" t="inlineStr">
        <is>
          <t>42.535.251/0001-10</t>
        </is>
      </c>
      <c r="C398" s="11" t="inlineStr">
        <is>
          <t>Multimercados</t>
        </is>
      </c>
      <c r="D398" s="11" t="inlineStr">
        <is>
          <t>GENOA CAPITAL GESTORA DE RECURSOS LTDA</t>
        </is>
      </c>
      <c r="E398" s="11" t="inlineStr">
        <is>
          <t>btg</t>
        </is>
      </c>
      <c r="F398" s="19" t="n">
        <v>16861903.65</v>
      </c>
      <c r="G398" s="19" t="n">
        <v>33476815.98</v>
      </c>
      <c r="H398" s="23" t="n">
        <v>-16614912.33</v>
      </c>
      <c r="I398" s="19" t="n">
        <v>381887520.95</v>
      </c>
      <c r="J398" s="19" t="n">
        <v>378624236.52</v>
      </c>
      <c r="K398" s="21" t="n">
        <v>-4.35</v>
      </c>
      <c r="L398" s="21" t="n">
        <v>4.64</v>
      </c>
      <c r="M398" s="22" t="n">
        <v>59</v>
      </c>
      <c r="N398" s="11" t="inlineStr">
        <is>
          <t>virou entrada</t>
        </is>
      </c>
      <c r="O398" s="11" t="inlineStr"/>
    </row>
    <row r="399">
      <c r="A399" s="11" t="inlineStr">
        <is>
          <t>Legacy Capital BS Prev FICFIM RL</t>
        </is>
      </c>
      <c r="B399" s="11" t="inlineStr">
        <is>
          <t>37.829.233/0001-01</t>
        </is>
      </c>
      <c r="C399" s="11" t="inlineStr">
        <is>
          <t>Multimercados</t>
        </is>
      </c>
      <c r="D399" s="11" t="inlineStr">
        <is>
          <t>LEGACY CAPITAL GESTORA DE RECURSOS LTDA.</t>
        </is>
      </c>
      <c r="E399" s="11" t="inlineStr">
        <is>
          <t>btg</t>
        </is>
      </c>
      <c r="F399" s="19" t="n">
        <v>1446599.29</v>
      </c>
      <c r="G399" s="19" t="n">
        <v>18496350.87</v>
      </c>
      <c r="H399" s="23" t="n">
        <v>-17049751.58</v>
      </c>
      <c r="I399" s="19" t="n">
        <v>127484775.79</v>
      </c>
      <c r="J399" s="19" t="n">
        <v>113011544.14</v>
      </c>
      <c r="K399" s="21" t="n">
        <v>-13.37</v>
      </c>
      <c r="L399" s="21" t="n">
        <v>2.2</v>
      </c>
      <c r="M399" s="22" t="n">
        <v>59</v>
      </c>
      <c r="N399" s="11" t="inlineStr">
        <is>
          <t>saída persistente</t>
        </is>
      </c>
      <c r="O399" s="11" t="inlineStr"/>
    </row>
    <row r="400">
      <c r="A400" s="11" t="inlineStr">
        <is>
          <t>Vinland Macro Advisory 2 Xp Seg Prev Fic Fim Rl</t>
        </is>
      </c>
      <c r="B400" s="11" t="inlineStr">
        <is>
          <t>42.718.410/0001-12</t>
        </is>
      </c>
      <c r="C400" s="11" t="inlineStr">
        <is>
          <t>Multimercados</t>
        </is>
      </c>
      <c r="D400" s="11" t="inlineStr">
        <is>
          <t>XP VIDA E PREVIDÊNCIA S.A.</t>
        </is>
      </c>
      <c r="E400" s="11" t="inlineStr">
        <is>
          <t>xp</t>
        </is>
      </c>
      <c r="F400" s="19" t="n">
        <v>641979.4300000001</v>
      </c>
      <c r="G400" s="19" t="n">
        <v>17835506.37</v>
      </c>
      <c r="H400" s="23" t="n">
        <v>-17193526.94</v>
      </c>
      <c r="I400" s="19" t="n">
        <v>121825332.86</v>
      </c>
      <c r="J400" s="19" t="n">
        <v>106937356.41</v>
      </c>
      <c r="K400" s="21" t="n">
        <v>-14.11</v>
      </c>
      <c r="L400" s="21" t="n">
        <v>2.08</v>
      </c>
      <c r="M400" s="22" t="n">
        <v>59</v>
      </c>
      <c r="N400" s="11" t="inlineStr">
        <is>
          <t>saída persistente</t>
        </is>
      </c>
      <c r="O400" s="11" t="inlineStr"/>
    </row>
    <row r="401">
      <c r="A401" s="11" t="inlineStr">
        <is>
          <t>Iridium Apollo Advisory Xp Seg Fic Firf Cp Rl</t>
        </is>
      </c>
      <c r="B401" s="11" t="inlineStr">
        <is>
          <t>32.849.785/0001-68</t>
        </is>
      </c>
      <c r="C401" s="11" t="inlineStr">
        <is>
          <t>Renda Fixa</t>
        </is>
      </c>
      <c r="D401" s="11" t="inlineStr">
        <is>
          <t>XP VIDA E PREVIDÊNCIA S.A.</t>
        </is>
      </c>
      <c r="E401" s="11" t="inlineStr">
        <is>
          <t>xp</t>
        </is>
      </c>
      <c r="F401" s="19" t="n">
        <v>11711578.47</v>
      </c>
      <c r="G401" s="19" t="n">
        <v>29188714.89</v>
      </c>
      <c r="H401" s="23" t="n">
        <v>-17477136.42</v>
      </c>
      <c r="I401" s="19" t="n">
        <v>529325998.86</v>
      </c>
      <c r="J401" s="19" t="n">
        <v>528302111.57</v>
      </c>
      <c r="K401" s="21" t="n">
        <v>-3.3</v>
      </c>
      <c r="L401" s="21" t="n">
        <v>3.09</v>
      </c>
      <c r="M401" s="22" t="n">
        <v>59</v>
      </c>
      <c r="N401" s="11" t="inlineStr">
        <is>
          <t>saída persistente</t>
        </is>
      </c>
      <c r="O401" s="11" t="inlineStr"/>
    </row>
    <row r="402">
      <c r="A402" s="11" t="inlineStr">
        <is>
          <t>Kadima Xp Seg Prev Fie Fic Fim Rl</t>
        </is>
      </c>
      <c r="B402" s="11" t="inlineStr">
        <is>
          <t>30.898.110/0001-83</t>
        </is>
      </c>
      <c r="C402" s="11" t="inlineStr">
        <is>
          <t>Multimercados</t>
        </is>
      </c>
      <c r="D402" s="11" t="inlineStr">
        <is>
          <t>XP VIDA E PREVIDÊNCIA S.A.</t>
        </is>
      </c>
      <c r="E402" s="11" t="inlineStr">
        <is>
          <t>xp</t>
        </is>
      </c>
      <c r="F402" s="19" t="n">
        <v>388744.92</v>
      </c>
      <c r="G402" s="19" t="n">
        <v>17964431.12</v>
      </c>
      <c r="H402" s="23" t="n">
        <v>-17575686.2</v>
      </c>
      <c r="I402" s="19" t="n">
        <v>100167001.66</v>
      </c>
      <c r="J402" s="19" t="n">
        <v>85796156.58</v>
      </c>
      <c r="K402" s="21" t="n">
        <v>-17.55</v>
      </c>
      <c r="L402" s="21" t="n">
        <v>3.48</v>
      </c>
      <c r="M402" s="22" t="n">
        <v>59</v>
      </c>
      <c r="N402" s="11" t="inlineStr">
        <is>
          <t>saída persistente</t>
        </is>
      </c>
      <c r="O402" s="11" t="inlineStr"/>
    </row>
    <row r="403">
      <c r="A403" s="11" t="inlineStr">
        <is>
          <t>BTG Pactual Synergy Equity Hedge Prev FIE FIM RL</t>
        </is>
      </c>
      <c r="B403" s="11" t="inlineStr">
        <is>
          <t>57.997.804/0001-24</t>
        </is>
      </c>
      <c r="C403" s="11" t="inlineStr">
        <is>
          <t>Multimercados</t>
        </is>
      </c>
      <c r="D403" s="11" t="inlineStr">
        <is>
          <t>BTG PACTUAL ASSET MANAGEMENT S/A DTVM</t>
        </is>
      </c>
      <c r="E403" s="11" t="inlineStr">
        <is>
          <t>btg</t>
        </is>
      </c>
      <c r="F403" s="19" t="n">
        <v>2258401.08</v>
      </c>
      <c r="G403" s="19" t="n">
        <v>21198794.98</v>
      </c>
      <c r="H403" s="23" t="n">
        <v>-18940393.9</v>
      </c>
      <c r="I403" s="19" t="n">
        <v>170069970.51</v>
      </c>
      <c r="J403" s="19" t="n">
        <v>151153752.1</v>
      </c>
      <c r="K403" s="21" t="n">
        <v>-11.14</v>
      </c>
      <c r="L403" s="21" t="n">
        <v>0.23</v>
      </c>
      <c r="M403" s="22" t="n">
        <v>59</v>
      </c>
      <c r="N403" s="11" t="inlineStr">
        <is>
          <t>saída persistente</t>
        </is>
      </c>
      <c r="O403" s="11" t="inlineStr"/>
    </row>
    <row r="404">
      <c r="A404" s="11" t="inlineStr">
        <is>
          <t>Btgp Multigestor Total Return Prev FICFIM CrPr RL</t>
        </is>
      </c>
      <c r="B404" s="11" t="inlineStr">
        <is>
          <t>41.884.249/0001-94</t>
        </is>
      </c>
      <c r="C404" s="11" t="inlineStr">
        <is>
          <t>Multimercados</t>
        </is>
      </c>
      <c r="D404" s="11" t="inlineStr">
        <is>
          <t>BTG PACTUAL GESTÃO E CONSULTORIA DE INVESTIMENTOS LTDA</t>
        </is>
      </c>
      <c r="E404" s="11" t="inlineStr">
        <is>
          <t>btg</t>
        </is>
      </c>
      <c r="F404" s="19" t="n">
        <v>1085903.1</v>
      </c>
      <c r="G404" s="19" t="n">
        <v>20776776.41</v>
      </c>
      <c r="H404" s="23" t="n">
        <v>-19690873.31</v>
      </c>
      <c r="I404" s="19" t="n">
        <v>68028619.77</v>
      </c>
      <c r="J404" s="19" t="n">
        <v>51410079</v>
      </c>
      <c r="K404" s="21" t="n">
        <v>-28.94</v>
      </c>
      <c r="L404" s="21" t="n">
        <v>3.67</v>
      </c>
      <c r="M404" s="22" t="n">
        <v>59</v>
      </c>
      <c r="N404" s="11" t="inlineStr">
        <is>
          <t>saída persistente</t>
        </is>
      </c>
      <c r="O404" s="11" t="inlineStr"/>
    </row>
    <row r="405">
      <c r="A405" s="11" t="inlineStr">
        <is>
          <t>Solis Antares XP Seg Prev FIC FIRF CP</t>
        </is>
      </c>
      <c r="B405" s="11" t="inlineStr">
        <is>
          <t>41.866.372/0001-82</t>
        </is>
      </c>
      <c r="C405" s="11" t="inlineStr">
        <is>
          <t>Renda Fixa</t>
        </is>
      </c>
      <c r="D405" s="11" t="inlineStr">
        <is>
          <t>XP VIDA E PREVIDÊNCIA S.A.</t>
        </is>
      </c>
      <c r="E405" s="11" t="inlineStr">
        <is>
          <t>xp</t>
        </is>
      </c>
      <c r="F405" s="19" t="n">
        <v>1845874.05</v>
      </c>
      <c r="G405" s="19" t="n">
        <v>23068533.23</v>
      </c>
      <c r="H405" s="23" t="n">
        <v>-21222659.18</v>
      </c>
      <c r="I405" s="19" t="n">
        <v>530215967.09</v>
      </c>
      <c r="J405" s="19" t="n">
        <v>526161112.86</v>
      </c>
      <c r="K405" s="21" t="n">
        <v>-4</v>
      </c>
      <c r="L405" s="21" t="n">
        <v>3.24</v>
      </c>
      <c r="M405" s="22" t="n">
        <v>59</v>
      </c>
      <c r="N405" s="11" t="inlineStr">
        <is>
          <t>saída persistente</t>
        </is>
      </c>
      <c r="O405" s="11" t="inlineStr"/>
    </row>
    <row r="406">
      <c r="A406" s="11" t="inlineStr">
        <is>
          <t>Icatu Vanguarda FICFIRF Inflacao Longa Prev RL</t>
        </is>
      </c>
      <c r="B406" s="11" t="inlineStr">
        <is>
          <t>04.228.716/0001-00</t>
        </is>
      </c>
      <c r="C406" s="11" t="inlineStr">
        <is>
          <t>Renda Fixa</t>
        </is>
      </c>
      <c r="D406" s="11" t="inlineStr">
        <is>
          <t>ICATU VANGUARDA GESTÃO DE RECURSOS LTDA</t>
        </is>
      </c>
      <c r="E406" s="11" t="inlineStr">
        <is>
          <t>btg</t>
        </is>
      </c>
      <c r="F406" s="19" t="n">
        <v>9568538.449999999</v>
      </c>
      <c r="G406" s="19" t="n">
        <v>31162644.26</v>
      </c>
      <c r="H406" s="23" t="n">
        <v>-21594105.81</v>
      </c>
      <c r="I406" s="19" t="n">
        <v>318804881.04</v>
      </c>
      <c r="J406" s="19" t="n">
        <v>313728606.56</v>
      </c>
      <c r="K406" s="21" t="n">
        <v>-6.77</v>
      </c>
      <c r="L406" s="21" t="n">
        <v>5.35</v>
      </c>
      <c r="M406" s="22" t="n">
        <v>59</v>
      </c>
      <c r="N406" s="11" t="inlineStr">
        <is>
          <t>saída persistente</t>
        </is>
      </c>
      <c r="O406" s="11" t="inlineStr"/>
    </row>
    <row r="407">
      <c r="A407" s="11" t="inlineStr">
        <is>
          <t>Porto CP Prev XP Seg FICFIM RL</t>
        </is>
      </c>
      <c r="B407" s="11" t="inlineStr">
        <is>
          <t>45.089.750/0001-10</t>
        </is>
      </c>
      <c r="C407" s="11" t="inlineStr">
        <is>
          <t>Multimercados</t>
        </is>
      </c>
      <c r="D407" s="11" t="inlineStr">
        <is>
          <t>XP VIDA E PREVIDÊNCIA S.A.</t>
        </is>
      </c>
      <c r="E407" s="11" t="inlineStr">
        <is>
          <t>xp</t>
        </is>
      </c>
      <c r="F407" s="19" t="n">
        <v>1873959.16</v>
      </c>
      <c r="G407" s="19" t="n">
        <v>25174421.8</v>
      </c>
      <c r="H407" s="23" t="n">
        <v>-23300462.64</v>
      </c>
      <c r="I407" s="19" t="n">
        <v>378232178.33</v>
      </c>
      <c r="J407" s="19" t="n">
        <v>365917972.52</v>
      </c>
      <c r="K407" s="21" t="n">
        <v>-6.16</v>
      </c>
      <c r="L407" s="21" t="n">
        <v>2.95</v>
      </c>
      <c r="M407" s="22" t="n">
        <v>58</v>
      </c>
      <c r="N407" s="11" t="inlineStr">
        <is>
          <t>saída persistente</t>
        </is>
      </c>
      <c r="O407" s="11" t="inlineStr"/>
    </row>
    <row r="408">
      <c r="A408" s="11" t="inlineStr">
        <is>
          <t>XP Income FIE Seg FIE FIC FIRF RL</t>
        </is>
      </c>
      <c r="B408" s="11" t="inlineStr">
        <is>
          <t>34.461.635/0001-08</t>
        </is>
      </c>
      <c r="C408" s="11" t="inlineStr">
        <is>
          <t>Renda Fixa</t>
        </is>
      </c>
      <c r="D408" s="11" t="inlineStr">
        <is>
          <t>XP GESTÃO DE RECURSOS LTDA</t>
        </is>
      </c>
      <c r="E408" s="11" t="inlineStr">
        <is>
          <t>xp</t>
        </is>
      </c>
      <c r="F408" s="19" t="n">
        <v>730083.78</v>
      </c>
      <c r="G408" s="19" t="n">
        <v>24044642.71</v>
      </c>
      <c r="H408" s="23" t="n">
        <v>-23314558.93</v>
      </c>
      <c r="I408" s="19" t="n">
        <v>143415907.26</v>
      </c>
      <c r="J408" s="19" t="n">
        <v>123720982.61</v>
      </c>
      <c r="K408" s="21" t="n">
        <v>-16.26</v>
      </c>
      <c r="L408" s="21" t="n">
        <v>2.76</v>
      </c>
      <c r="M408" s="22" t="n">
        <v>59</v>
      </c>
      <c r="N408" s="11" t="inlineStr">
        <is>
          <t>saída persistente</t>
        </is>
      </c>
      <c r="O408" s="11" t="inlineStr"/>
    </row>
    <row r="409">
      <c r="A409" s="11" t="inlineStr">
        <is>
          <t>SPX Seahawk Plus Prev FICFIM Access CrPr RL</t>
        </is>
      </c>
      <c r="B409" s="11" t="inlineStr">
        <is>
          <t>43.985.398/0001-75</t>
        </is>
      </c>
      <c r="C409" s="11" t="inlineStr">
        <is>
          <t>Multimercados</t>
        </is>
      </c>
      <c r="D409" s="11" t="inlineStr">
        <is>
          <t>BTG PACTUAL GESTÃO E CONSULTORIA DE INVESTIMENTOS LTDA</t>
        </is>
      </c>
      <c r="E409" s="11" t="inlineStr">
        <is>
          <t>btg</t>
        </is>
      </c>
      <c r="F409" s="19" t="n">
        <v>4453826.17</v>
      </c>
      <c r="G409" s="19" t="n">
        <v>28320352.72</v>
      </c>
      <c r="H409" s="23" t="n">
        <v>-23866526.55</v>
      </c>
      <c r="I409" s="19" t="n">
        <v>261004389.59</v>
      </c>
      <c r="J409" s="19" t="n">
        <v>244757966.19</v>
      </c>
      <c r="K409" s="21" t="n">
        <v>-9.140000000000001</v>
      </c>
      <c r="L409" s="21" t="n">
        <v>3.11</v>
      </c>
      <c r="M409" s="22" t="n">
        <v>59</v>
      </c>
      <c r="N409" s="11" t="inlineStr">
        <is>
          <t>saída persistente</t>
        </is>
      </c>
      <c r="O409" s="11" t="inlineStr"/>
    </row>
    <row r="410">
      <c r="A410" s="11" t="inlineStr">
        <is>
          <t>Itau Vertice Janeiro Prev FIF FIC FIRF Access</t>
        </is>
      </c>
      <c r="B410" s="11" t="inlineStr">
        <is>
          <t>54.254.287/0001-05</t>
        </is>
      </c>
      <c r="C410" s="11" t="inlineStr">
        <is>
          <t>Renda Fixa</t>
        </is>
      </c>
      <c r="D410" s="11" t="inlineStr">
        <is>
          <t>BTG PACTUAL GESTÃO E CONSULTORIA DE INVESTIMENTOS LTDA</t>
        </is>
      </c>
      <c r="E410" s="11" t="inlineStr">
        <is>
          <t>btg</t>
        </is>
      </c>
      <c r="F410" s="19" t="n">
        <v>273964.67</v>
      </c>
      <c r="G410" s="19" t="n">
        <v>24160981.09</v>
      </c>
      <c r="H410" s="23" t="n">
        <v>-23887016.42</v>
      </c>
      <c r="I410" s="19" t="n">
        <v>137131876.18</v>
      </c>
      <c r="J410" s="19" t="n">
        <v>116238050.72</v>
      </c>
      <c r="K410" s="21" t="n">
        <v>-17.42</v>
      </c>
      <c r="L410" s="21" t="n">
        <v>2.4</v>
      </c>
      <c r="M410" s="22" t="n">
        <v>59</v>
      </c>
      <c r="N410" s="11" t="inlineStr">
        <is>
          <t>saída persistente</t>
        </is>
      </c>
      <c r="O410" s="11" t="inlineStr"/>
    </row>
    <row r="411">
      <c r="A411" s="11" t="inlineStr">
        <is>
          <t>Vinland Renda Fixa Ativo Xp Seg Prev Ficfi</t>
        </is>
      </c>
      <c r="B411" s="11" t="inlineStr">
        <is>
          <t>41.866.348/0001-43</t>
        </is>
      </c>
      <c r="C411" s="11" t="inlineStr">
        <is>
          <t>Renda Fixa</t>
        </is>
      </c>
      <c r="D411" s="11" t="inlineStr">
        <is>
          <t>XP VIDA E PREVIDÊNCIA S.A.</t>
        </is>
      </c>
      <c r="E411" s="11" t="inlineStr">
        <is>
          <t>xp</t>
        </is>
      </c>
      <c r="F411" s="19" t="n">
        <v>6144296.04</v>
      </c>
      <c r="G411" s="19" t="n">
        <v>30372339.65</v>
      </c>
      <c r="H411" s="23" t="n">
        <v>-24228043.61</v>
      </c>
      <c r="I411" s="19" t="n">
        <v>290225988</v>
      </c>
      <c r="J411" s="19" t="n">
        <v>274401716.47</v>
      </c>
      <c r="K411" s="21" t="n">
        <v>-8.35</v>
      </c>
      <c r="L411" s="21" t="n">
        <v>2.76</v>
      </c>
      <c r="M411" s="22" t="n">
        <v>59</v>
      </c>
      <c r="N411" s="11" t="inlineStr">
        <is>
          <t>saída persistente</t>
        </is>
      </c>
      <c r="O411" s="11" t="inlineStr"/>
    </row>
    <row r="412">
      <c r="A412" s="11" t="inlineStr">
        <is>
          <t>Capitania Prev BP FIRF CrPr RL</t>
        </is>
      </c>
      <c r="B412" s="11" t="inlineStr">
        <is>
          <t>34.270.943/0001-56</t>
        </is>
      </c>
      <c r="C412" s="11" t="inlineStr">
        <is>
          <t>Renda Fixa</t>
        </is>
      </c>
      <c r="D412" s="11" t="inlineStr">
        <is>
          <t>CAPITANIA PREV S.A.</t>
        </is>
      </c>
      <c r="E412" s="11" t="inlineStr">
        <is>
          <t>btg</t>
        </is>
      </c>
      <c r="F412" s="19" t="n">
        <v>1847637.03</v>
      </c>
      <c r="G412" s="19" t="n">
        <v>26585242.19</v>
      </c>
      <c r="H412" s="23" t="n">
        <v>-24737605.16</v>
      </c>
      <c r="I412" s="19" t="n">
        <v>102279467.21</v>
      </c>
      <c r="J412" s="19" t="n">
        <v>78867847.95</v>
      </c>
      <c r="K412" s="21" t="n">
        <v>-24.19</v>
      </c>
      <c r="L412" s="21" t="n">
        <v>1.52</v>
      </c>
      <c r="M412" s="22" t="n">
        <v>59</v>
      </c>
      <c r="N412" s="11" t="inlineStr">
        <is>
          <t>saída persistente</t>
        </is>
      </c>
      <c r="O412" s="11" t="inlineStr"/>
    </row>
    <row r="413">
      <c r="A413" s="11" t="inlineStr">
        <is>
          <t>Ibiuna ST XP Seg Prev FIC FIM CP</t>
        </is>
      </c>
      <c r="B413" s="11" t="inlineStr">
        <is>
          <t>44.409.430/0001-37</t>
        </is>
      </c>
      <c r="C413" s="11" t="inlineStr">
        <is>
          <t>Multimercados</t>
        </is>
      </c>
      <c r="D413" s="11" t="inlineStr">
        <is>
          <t>XP VIDA E PREVIDÊNCIA S.A.</t>
        </is>
      </c>
      <c r="E413" s="11" t="inlineStr">
        <is>
          <t>xp</t>
        </is>
      </c>
      <c r="F413" s="19" t="n">
        <v>1845051.44</v>
      </c>
      <c r="G413" s="19" t="n">
        <v>28793215.19</v>
      </c>
      <c r="H413" s="23" t="n">
        <v>-26948163.75</v>
      </c>
      <c r="I413" s="19" t="n">
        <v>154701105.99</v>
      </c>
      <c r="J413" s="19" t="n">
        <v>131289065.54</v>
      </c>
      <c r="K413" s="21" t="n">
        <v>-17.42</v>
      </c>
      <c r="L413" s="21" t="n">
        <v>2.25</v>
      </c>
      <c r="M413" s="22" t="n">
        <v>59</v>
      </c>
      <c r="N413" s="11" t="inlineStr">
        <is>
          <t>saída persistente</t>
        </is>
      </c>
      <c r="O413" s="11" t="inlineStr"/>
    </row>
    <row r="414">
      <c r="A414" s="11" t="inlineStr">
        <is>
          <t>Itaú High Yield II FIC FIM CP RL</t>
        </is>
      </c>
      <c r="B414" s="11" t="inlineStr">
        <is>
          <t>49.227.982/0001-48</t>
        </is>
      </c>
      <c r="C414" s="11" t="inlineStr">
        <is>
          <t>Multimercados</t>
        </is>
      </c>
      <c r="D414" s="11" t="inlineStr">
        <is>
          <t>ITAU UNIBANCO ASSET MANAGEMENT LTDA.</t>
        </is>
      </c>
      <c r="E414" s="11" t="inlineStr">
        <is>
          <t>xp</t>
        </is>
      </c>
      <c r="F414" s="19" t="n">
        <v>87149367.66</v>
      </c>
      <c r="G414" s="19" t="n">
        <v>115149914.08</v>
      </c>
      <c r="H414" s="23" t="n">
        <v>-28000546.42</v>
      </c>
      <c r="I414" s="19" t="n">
        <v>1719027309.14</v>
      </c>
      <c r="J414" s="19" t="n">
        <v>1739597608.21</v>
      </c>
      <c r="K414" s="21" t="n">
        <v>-1.63</v>
      </c>
      <c r="L414" s="21" t="n">
        <v>3.03</v>
      </c>
      <c r="M414" s="22" t="n">
        <v>59</v>
      </c>
      <c r="N414" s="11" t="inlineStr">
        <is>
          <t>saída persistente</t>
        </is>
      </c>
      <c r="O414" s="11" t="inlineStr"/>
    </row>
    <row r="415">
      <c r="A415" s="11" t="inlineStr">
        <is>
          <t>Sparta Prev B FICFIRF CrPr RL</t>
        </is>
      </c>
      <c r="B415" s="11" t="inlineStr">
        <is>
          <t>31.392.530/0001-56</t>
        </is>
      </c>
      <c r="C415" s="11" t="inlineStr">
        <is>
          <t>Renda Fixa</t>
        </is>
      </c>
      <c r="D415" s="11" t="inlineStr">
        <is>
          <t>SPARTA ADMINISTRADORA DE RECURSOS LTDA</t>
        </is>
      </c>
      <c r="E415" s="11" t="inlineStr">
        <is>
          <t>btg</t>
        </is>
      </c>
      <c r="F415" s="19" t="n">
        <v>39413593.07</v>
      </c>
      <c r="G415" s="19" t="n">
        <v>69129144.05</v>
      </c>
      <c r="H415" s="23" t="n">
        <v>-29715550.98</v>
      </c>
      <c r="I415" s="19" t="n">
        <v>1034083276.44</v>
      </c>
      <c r="J415" s="19" t="n">
        <v>1034188164.13</v>
      </c>
      <c r="K415" s="21" t="n">
        <v>-2.87</v>
      </c>
      <c r="L415" s="21" t="n">
        <v>2.94</v>
      </c>
      <c r="M415" s="22" t="n">
        <v>59</v>
      </c>
      <c r="N415" s="11" t="inlineStr">
        <is>
          <t>saída persistente</t>
        </is>
      </c>
      <c r="O415" s="11" t="inlineStr"/>
    </row>
    <row r="416">
      <c r="A416" s="11" t="inlineStr">
        <is>
          <t>Icatu Vanguarda Absoluto Plus Qualificado FIRF Prev CrPr RL</t>
        </is>
      </c>
      <c r="B416" s="11" t="inlineStr">
        <is>
          <t>45.444.101/0001-90</t>
        </is>
      </c>
      <c r="C416" s="11" t="inlineStr">
        <is>
          <t>Renda Fixa</t>
        </is>
      </c>
      <c r="D416" s="11" t="inlineStr">
        <is>
          <t>ICATU VANGUARDA GESTÃO DE RECURSOS LTDA</t>
        </is>
      </c>
      <c r="E416" s="11" t="inlineStr">
        <is>
          <t>btg</t>
        </is>
      </c>
      <c r="F416" s="19" t="n">
        <v>30252272.55</v>
      </c>
      <c r="G416" s="19" t="n">
        <v>64680040.05</v>
      </c>
      <c r="H416" s="23" t="n">
        <v>-34427767.5</v>
      </c>
      <c r="I416" s="19" t="n">
        <v>622679808.37</v>
      </c>
      <c r="J416" s="19" t="n">
        <v>605670492.14</v>
      </c>
      <c r="K416" s="21" t="n">
        <v>-5.53</v>
      </c>
      <c r="L416" s="21" t="n">
        <v>2.77</v>
      </c>
      <c r="M416" s="22" t="n">
        <v>59</v>
      </c>
      <c r="N416" s="11" t="inlineStr">
        <is>
          <t>virou entrada</t>
        </is>
      </c>
      <c r="O416" s="11" t="inlineStr"/>
    </row>
    <row r="417">
      <c r="A417" s="11" t="inlineStr">
        <is>
          <t>Xp Crédito Estruturado High Yield Xp Seg Prev Fic Fim Cp</t>
        </is>
      </c>
      <c r="B417" s="11" t="inlineStr">
        <is>
          <t>41.035.946/0001-70</t>
        </is>
      </c>
      <c r="C417" s="11" t="inlineStr">
        <is>
          <t>Multimercados</t>
        </is>
      </c>
      <c r="D417" s="11" t="inlineStr">
        <is>
          <t>XP VISTA ASSET MANAGEMENT LTDA.</t>
        </is>
      </c>
      <c r="E417" s="11" t="inlineStr">
        <is>
          <t>xp</t>
        </is>
      </c>
      <c r="F417" s="19" t="n">
        <v>40940862.51</v>
      </c>
      <c r="G417" s="19" t="n">
        <v>75422842.52</v>
      </c>
      <c r="H417" s="23" t="n">
        <v>-34481980.01</v>
      </c>
      <c r="I417" s="19" t="n">
        <v>1722789578.29</v>
      </c>
      <c r="J417" s="19" t="n">
        <v>1734134075.37</v>
      </c>
      <c r="K417" s="21" t="n">
        <v>-2</v>
      </c>
      <c r="L417" s="21" t="n">
        <v>2.79</v>
      </c>
      <c r="M417" s="22" t="n">
        <v>54</v>
      </c>
      <c r="N417" s="11" t="inlineStr">
        <is>
          <t>saída persistente</t>
        </is>
      </c>
      <c r="O417" s="11" t="inlineStr"/>
    </row>
    <row r="418">
      <c r="A418" s="11" t="inlineStr">
        <is>
          <t>Kinea Prev XP Seg IPCA Dinâmico FICFI RF</t>
        </is>
      </c>
      <c r="B418" s="11" t="inlineStr">
        <is>
          <t>37.053.502/0001-90</t>
        </is>
      </c>
      <c r="C418" s="11" t="inlineStr">
        <is>
          <t>Renda Fixa</t>
        </is>
      </c>
      <c r="D418" s="11" t="inlineStr">
        <is>
          <t>XP VIDA E PREVIDÊNCIA S.A.</t>
        </is>
      </c>
      <c r="E418" s="11" t="inlineStr">
        <is>
          <t>xp</t>
        </is>
      </c>
      <c r="F418" s="19" t="n">
        <v>28742691.63</v>
      </c>
      <c r="G418" s="19" t="n">
        <v>65307813.16</v>
      </c>
      <c r="H418" s="23" t="n">
        <v>-36565121.53</v>
      </c>
      <c r="I418" s="19" t="n">
        <v>929219754.4299999</v>
      </c>
      <c r="J418" s="19" t="n">
        <v>933186927.96</v>
      </c>
      <c r="K418" s="21" t="n">
        <v>-3.94</v>
      </c>
      <c r="L418" s="21" t="n">
        <v>4.2</v>
      </c>
      <c r="M418" s="22" t="n">
        <v>59</v>
      </c>
      <c r="N418" s="11" t="inlineStr">
        <is>
          <t>saída persistente</t>
        </is>
      </c>
      <c r="O418" s="11" t="inlineStr"/>
    </row>
    <row r="419">
      <c r="A419" s="11" t="inlineStr">
        <is>
          <t>Verde AM Icatu Prev FICFIM RL</t>
        </is>
      </c>
      <c r="B419" s="11" t="inlineStr">
        <is>
          <t>23.339.936/0001-47</t>
        </is>
      </c>
      <c r="C419" s="11" t="inlineStr">
        <is>
          <t>Multimercados</t>
        </is>
      </c>
      <c r="D419" s="11" t="inlineStr">
        <is>
          <t>VERDE ASSET MANAGEMENT S.A.</t>
        </is>
      </c>
      <c r="E419" s="11" t="inlineStr">
        <is>
          <t>btg</t>
        </is>
      </c>
      <c r="F419" s="19" t="n">
        <v>10821593.61</v>
      </c>
      <c r="G419" s="19" t="n">
        <v>51053282.93</v>
      </c>
      <c r="H419" s="23" t="n">
        <v>-40231689.32</v>
      </c>
      <c r="I419" s="19" t="n">
        <v>823693032.54</v>
      </c>
      <c r="J419" s="19" t="n">
        <v>808173552.2</v>
      </c>
      <c r="K419" s="21" t="n">
        <v>-4.88</v>
      </c>
      <c r="L419" s="21" t="n">
        <v>3.18</v>
      </c>
      <c r="M419" s="22" t="n">
        <v>59</v>
      </c>
      <c r="N419" s="11" t="inlineStr">
        <is>
          <t>saída persistente</t>
        </is>
      </c>
      <c r="O419" s="11" t="inlineStr"/>
    </row>
    <row r="420">
      <c r="A420" s="11" t="inlineStr">
        <is>
          <t>XP Horizonte XP Seg FIC FIRF Prev RL</t>
        </is>
      </c>
      <c r="B420" s="11" t="inlineStr">
        <is>
          <t>32.064.950/0001-76</t>
        </is>
      </c>
      <c r="C420" s="11" t="inlineStr">
        <is>
          <t>Renda Fixa</t>
        </is>
      </c>
      <c r="D420" s="11" t="inlineStr">
        <is>
          <t>XP VISTA ASSET MANAGEMENT LTDA.</t>
        </is>
      </c>
      <c r="E420" s="11" t="inlineStr">
        <is>
          <t>xp</t>
        </is>
      </c>
      <c r="F420" s="19" t="n">
        <v>9610016.92</v>
      </c>
      <c r="G420" s="19" t="n">
        <v>51285631.62</v>
      </c>
      <c r="H420" s="23" t="n">
        <v>-41675614.7</v>
      </c>
      <c r="I420" s="19" t="n">
        <v>887255046.92</v>
      </c>
      <c r="J420" s="19" t="n">
        <v>874839443.75</v>
      </c>
      <c r="K420" s="21" t="n">
        <v>-4.7</v>
      </c>
      <c r="L420" s="21" t="n">
        <v>3.32</v>
      </c>
      <c r="M420" s="22" t="n">
        <v>59</v>
      </c>
      <c r="N420" s="11" t="inlineStr">
        <is>
          <t>saída persistente</t>
        </is>
      </c>
      <c r="O420" s="11" t="inlineStr"/>
    </row>
    <row r="421">
      <c r="A421" s="11" t="inlineStr">
        <is>
          <t>Itau Flex Prev Vertice Janeiro FICFIM de FI MM Access RL</t>
        </is>
      </c>
      <c r="B421" s="11" t="inlineStr">
        <is>
          <t>51.102.626/0001-40</t>
        </is>
      </c>
      <c r="C421" s="11" t="inlineStr">
        <is>
          <t>Multimercados</t>
        </is>
      </c>
      <c r="D421" s="11" t="inlineStr">
        <is>
          <t>BTG PACTUAL GESTÃO E CONSULTORIA DE INVESTIMENTOS LTDA</t>
        </is>
      </c>
      <c r="E421" s="11" t="inlineStr">
        <is>
          <t>btg</t>
        </is>
      </c>
      <c r="F421" s="19" t="n">
        <v>387041.65</v>
      </c>
      <c r="G421" s="19" t="n">
        <v>42335135.88</v>
      </c>
      <c r="H421" s="23" t="n">
        <v>-41948094.23</v>
      </c>
      <c r="I421" s="19" t="n">
        <v>198751592.12</v>
      </c>
      <c r="J421" s="19" t="n">
        <v>161235616.32</v>
      </c>
      <c r="K421" s="21" t="n">
        <v>-21.11</v>
      </c>
      <c r="L421" s="21" t="n">
        <v>2.39</v>
      </c>
      <c r="M421" s="22" t="n">
        <v>59</v>
      </c>
      <c r="N421" s="11" t="inlineStr">
        <is>
          <t>saída persistente</t>
        </is>
      </c>
      <c r="O421" s="11" t="inlineStr"/>
    </row>
    <row r="422">
      <c r="A422" s="11" t="inlineStr">
        <is>
          <t>Kinea Alpes Prev BTG Prev FICFIRF CrPr RL</t>
        </is>
      </c>
      <c r="B422" s="11" t="inlineStr">
        <is>
          <t>55.019.754/0001-85</t>
        </is>
      </c>
      <c r="C422" s="11" t="inlineStr">
        <is>
          <t>Renda Fixa</t>
        </is>
      </c>
      <c r="D422" s="11" t="inlineStr">
        <is>
          <t>BTG PACTUAL GESTÃO E CONSULTORIA DE INVESTIMENTOS LTDA</t>
        </is>
      </c>
      <c r="E422" s="11" t="inlineStr">
        <is>
          <t>btg</t>
        </is>
      </c>
      <c r="F422" s="19" t="n">
        <v>21532653.85</v>
      </c>
      <c r="G422" s="19" t="n">
        <v>64154833.38</v>
      </c>
      <c r="H422" s="23" t="n">
        <v>-42622179.53</v>
      </c>
      <c r="I422" s="19" t="n">
        <v>451940956.37</v>
      </c>
      <c r="J422" s="19" t="n">
        <v>425164968.71</v>
      </c>
      <c r="K422" s="21" t="n">
        <v>-9.43</v>
      </c>
      <c r="L422" s="21" t="n">
        <v>3.18</v>
      </c>
      <c r="M422" s="22" t="n">
        <v>59</v>
      </c>
      <c r="N422" s="11" t="inlineStr">
        <is>
          <t>saída persistente</t>
        </is>
      </c>
      <c r="O422" s="11" t="inlineStr"/>
    </row>
    <row r="423">
      <c r="A423" s="11" t="inlineStr">
        <is>
          <t>Trend B26 Prev XP Seg FIC FIRF RL</t>
        </is>
      </c>
      <c r="B423" s="11" t="inlineStr">
        <is>
          <t>24.714.864/0001-33</t>
        </is>
      </c>
      <c r="C423" s="11" t="inlineStr">
        <is>
          <t>Renda Fixa</t>
        </is>
      </c>
      <c r="D423" s="11" t="inlineStr">
        <is>
          <t>XP VIDA E PREVIDÊNCIA S.A.</t>
        </is>
      </c>
      <c r="E423" s="11" t="inlineStr">
        <is>
          <t>xp</t>
        </is>
      </c>
      <c r="F423" s="19" t="n">
        <v>276213.97</v>
      </c>
      <c r="G423" s="19" t="n">
        <v>44069615.02</v>
      </c>
      <c r="H423" s="23" t="n">
        <v>-43793401.05</v>
      </c>
      <c r="I423" s="19" t="n">
        <v>58474055.41</v>
      </c>
      <c r="J423" s="19" t="n">
        <v>15421757.2</v>
      </c>
      <c r="K423" s="21" t="n">
        <v>-74.89</v>
      </c>
      <c r="L423" s="21" t="n">
        <v>2.7</v>
      </c>
      <c r="M423" s="22" t="n">
        <v>59</v>
      </c>
      <c r="N423" s="11" t="inlineStr">
        <is>
          <t>saída persistente</t>
        </is>
      </c>
      <c r="O423" s="11" t="inlineStr">
        <is>
          <t>sim</t>
        </is>
      </c>
    </row>
    <row r="424">
      <c r="A424" s="11" t="inlineStr">
        <is>
          <t>Riza Evi Prev Xp Seg Ficfim Cp Rl</t>
        </is>
      </c>
      <c r="B424" s="11" t="inlineStr">
        <is>
          <t>43.121.014/0001-76</t>
        </is>
      </c>
      <c r="C424" s="11" t="inlineStr">
        <is>
          <t>Multimercados</t>
        </is>
      </c>
      <c r="D424" s="11" t="inlineStr">
        <is>
          <t>XP VIDA E PREVIDÊNCIA S.A.</t>
        </is>
      </c>
      <c r="E424" s="11" t="inlineStr">
        <is>
          <t>xp</t>
        </is>
      </c>
      <c r="F424" s="19" t="n">
        <v>1602472.76</v>
      </c>
      <c r="G424" s="19" t="n">
        <v>45495108.87</v>
      </c>
      <c r="H424" s="23" t="n">
        <v>-43892636.11</v>
      </c>
      <c r="I424" s="19" t="n">
        <v>361039657.48</v>
      </c>
      <c r="J424" s="19" t="n">
        <v>335929178.39</v>
      </c>
      <c r="K424" s="21" t="n">
        <v>-12.16</v>
      </c>
      <c r="L424" s="21" t="n">
        <v>5.57</v>
      </c>
      <c r="M424" s="22" t="n">
        <v>59</v>
      </c>
      <c r="N424" s="11" t="inlineStr">
        <is>
          <t>saída persistente</t>
        </is>
      </c>
      <c r="O424" s="11" t="inlineStr"/>
    </row>
    <row r="425">
      <c r="A425" s="11" t="inlineStr">
        <is>
          <t>Icatu Vanguarda POS Fixado FIRF Prev RL</t>
        </is>
      </c>
      <c r="B425" s="11" t="inlineStr">
        <is>
          <t>33.520.901/0001-63</t>
        </is>
      </c>
      <c r="C425" s="11" t="inlineStr">
        <is>
          <t>Renda Fixa</t>
        </is>
      </c>
      <c r="D425" s="11" t="inlineStr">
        <is>
          <t>ICATU VANGUARDA GESTÃO DE RECURSOS LTDA</t>
        </is>
      </c>
      <c r="E425" s="11" t="inlineStr">
        <is>
          <t>btg</t>
        </is>
      </c>
      <c r="F425" s="19" t="n">
        <v>92355607.63</v>
      </c>
      <c r="G425" s="19" t="n">
        <v>138108235.69</v>
      </c>
      <c r="H425" s="23" t="n">
        <v>-45752628.06</v>
      </c>
      <c r="I425" s="19" t="n">
        <v>1920806444.2</v>
      </c>
      <c r="J425" s="19" t="n">
        <v>1929325831.28</v>
      </c>
      <c r="K425" s="21" t="n">
        <v>-2.38</v>
      </c>
      <c r="L425" s="21" t="n">
        <v>2.96</v>
      </c>
      <c r="M425" s="22" t="n">
        <v>59</v>
      </c>
      <c r="N425" s="11" t="inlineStr">
        <is>
          <t>saída persistente</t>
        </is>
      </c>
      <c r="O425" s="11" t="inlineStr"/>
    </row>
    <row r="426">
      <c r="A426" s="11" t="inlineStr">
        <is>
          <t>Root Capital Crédito HG PREV XP SEG FIC FIRF CP</t>
        </is>
      </c>
      <c r="B426" s="11" t="inlineStr">
        <is>
          <t>48.940.997/0001-96</t>
        </is>
      </c>
      <c r="C426" s="11" t="inlineStr">
        <is>
          <t>Renda Fixa</t>
        </is>
      </c>
      <c r="D426" s="11" t="inlineStr">
        <is>
          <t>ROOT CAPITAL - GESTÃO DE RECURSOS LTDA</t>
        </is>
      </c>
      <c r="E426" s="11" t="inlineStr">
        <is>
          <t>xp</t>
        </is>
      </c>
      <c r="F426" s="19" t="n">
        <v>428505.84</v>
      </c>
      <c r="G426" s="19" t="n">
        <v>47515125.93</v>
      </c>
      <c r="H426" s="23" t="n">
        <v>-47086620.09</v>
      </c>
      <c r="I426" s="19" t="n">
        <v>715466595.79</v>
      </c>
      <c r="J426" s="19" t="n">
        <v>690058393.83</v>
      </c>
      <c r="K426" s="21" t="n">
        <v>-6.58</v>
      </c>
      <c r="L426" s="21" t="n">
        <v>3.13</v>
      </c>
      <c r="M426" s="22" t="n">
        <v>59</v>
      </c>
      <c r="N426" s="11" t="inlineStr">
        <is>
          <t>saída persistente</t>
        </is>
      </c>
      <c r="O426" s="11" t="inlineStr"/>
    </row>
    <row r="427">
      <c r="A427" s="11" t="inlineStr">
        <is>
          <t>Absolute Vertex Prev FIM Access RL</t>
        </is>
      </c>
      <c r="B427" s="11" t="inlineStr">
        <is>
          <t>43.509.130/0001-67</t>
        </is>
      </c>
      <c r="C427" s="11" t="inlineStr">
        <is>
          <t>Multimercados</t>
        </is>
      </c>
      <c r="D427" s="11" t="inlineStr">
        <is>
          <t>BTG PACTUAL GESTÃO E CONSULTORIA DE INVESTIMENTOS LTDA</t>
        </is>
      </c>
      <c r="E427" s="11" t="inlineStr">
        <is>
          <t>btg</t>
        </is>
      </c>
      <c r="F427" s="19" t="n">
        <v>3180673.32</v>
      </c>
      <c r="G427" s="19" t="n">
        <v>50904024.87</v>
      </c>
      <c r="H427" s="23" t="n">
        <v>-47723351.55</v>
      </c>
      <c r="I427" s="19" t="n">
        <v>279887783.21</v>
      </c>
      <c r="J427" s="19" t="n">
        <v>238218022.88</v>
      </c>
      <c r="K427" s="21" t="n">
        <v>-17.05</v>
      </c>
      <c r="L427" s="21" t="n">
        <v>2.21</v>
      </c>
      <c r="M427" s="22" t="n">
        <v>59</v>
      </c>
      <c r="N427" s="11" t="inlineStr">
        <is>
          <t>saída persistente</t>
        </is>
      </c>
      <c r="O427" s="11" t="inlineStr"/>
    </row>
    <row r="428">
      <c r="A428" s="11" t="inlineStr">
        <is>
          <t>Itau Global Dinamico Prev BP Dist. Fundo RL</t>
        </is>
      </c>
      <c r="B428" s="11" t="inlineStr">
        <is>
          <t>50.235.964/0001-97</t>
        </is>
      </c>
      <c r="C428" s="11" t="inlineStr">
        <is>
          <t>Renda Fixa</t>
        </is>
      </c>
      <c r="D428" s="11" t="inlineStr">
        <is>
          <t>ITAU UNIBANCO ASSET MANAGEMENT LTDA.</t>
        </is>
      </c>
      <c r="E428" s="11" t="inlineStr">
        <is>
          <t>btg</t>
        </is>
      </c>
      <c r="F428" s="19" t="n">
        <v>28855329.94</v>
      </c>
      <c r="G428" s="19" t="n">
        <v>76915182.72</v>
      </c>
      <c r="H428" s="23" t="n">
        <v>-48059852.78</v>
      </c>
      <c r="I428" s="19" t="n">
        <v>360777259.78</v>
      </c>
      <c r="J428" s="19" t="n">
        <v>321321534.69</v>
      </c>
      <c r="K428" s="21" t="n">
        <v>-13.32</v>
      </c>
      <c r="L428" s="21" t="n">
        <v>2.57</v>
      </c>
      <c r="M428" s="22" t="n">
        <v>59</v>
      </c>
      <c r="N428" s="11" t="inlineStr">
        <is>
          <t>saída persistente</t>
        </is>
      </c>
      <c r="O428" s="11" t="inlineStr"/>
    </row>
    <row r="429">
      <c r="A429" s="11" t="inlineStr">
        <is>
          <t>Valora BP Prev FICFIRF CrPr RL</t>
        </is>
      </c>
      <c r="B429" s="11" t="inlineStr">
        <is>
          <t>49.627.172/0001-89</t>
        </is>
      </c>
      <c r="C429" s="11" t="inlineStr">
        <is>
          <t>Renda Fixa</t>
        </is>
      </c>
      <c r="D429" s="11" t="inlineStr">
        <is>
          <t>VALORA RENDA FIXA LTDA.</t>
        </is>
      </c>
      <c r="E429" s="11" t="inlineStr">
        <is>
          <t>btg</t>
        </is>
      </c>
      <c r="F429" s="19" t="n">
        <v>6920779.56</v>
      </c>
      <c r="G429" s="19" t="n">
        <v>55343600.93</v>
      </c>
      <c r="H429" s="23" t="n">
        <v>-48422821.37</v>
      </c>
      <c r="I429" s="19" t="n">
        <v>228532277.22</v>
      </c>
      <c r="J429" s="19" t="n">
        <v>185101018.57</v>
      </c>
      <c r="K429" s="21" t="n">
        <v>-21.19</v>
      </c>
      <c r="L429" s="21" t="n">
        <v>2.54</v>
      </c>
      <c r="M429" s="22" t="n">
        <v>59</v>
      </c>
      <c r="N429" s="11" t="inlineStr">
        <is>
          <t>saída persistente</t>
        </is>
      </c>
      <c r="O429" s="11" t="inlineStr"/>
    </row>
    <row r="430">
      <c r="A430" s="11" t="inlineStr">
        <is>
          <t>SUL America Prev FICFIRF CrPr RL</t>
        </is>
      </c>
      <c r="B430" s="11" t="inlineStr">
        <is>
          <t>33.701.820/0001-60</t>
        </is>
      </c>
      <c r="C430" s="11" t="inlineStr">
        <is>
          <t>Renda Fixa</t>
        </is>
      </c>
      <c r="D430" s="11" t="inlineStr">
        <is>
          <t>SUL AMÉRICA INVESTIMENTOS GESTORA DE RECURSOS S.A.</t>
        </is>
      </c>
      <c r="E430" s="11" t="inlineStr">
        <is>
          <t>btg</t>
        </is>
      </c>
      <c r="F430" s="19" t="n">
        <v>2097426.73</v>
      </c>
      <c r="G430" s="19" t="n">
        <v>53820653.09</v>
      </c>
      <c r="H430" s="23" t="n">
        <v>-51723226.36</v>
      </c>
      <c r="I430" s="19" t="n">
        <v>486705120.17</v>
      </c>
      <c r="J430" s="19" t="n">
        <v>449860781.15</v>
      </c>
      <c r="K430" s="21" t="n">
        <v>-10.63</v>
      </c>
      <c r="L430" s="21" t="n">
        <v>3.11</v>
      </c>
      <c r="M430" s="22" t="n">
        <v>59</v>
      </c>
      <c r="N430" s="11" t="inlineStr">
        <is>
          <t>saída persistente</t>
        </is>
      </c>
      <c r="O430" s="11" t="inlineStr"/>
    </row>
    <row r="431">
      <c r="A431" s="11" t="inlineStr">
        <is>
          <t>AZ Quest Prev Icatu Luce FICFIRF CrPr RL</t>
        </is>
      </c>
      <c r="B431" s="11" t="inlineStr">
        <is>
          <t>23.883.385/0001-88</t>
        </is>
      </c>
      <c r="C431" s="11" t="inlineStr">
        <is>
          <t>Renda Fixa</t>
        </is>
      </c>
      <c r="D431" s="11" t="inlineStr">
        <is>
          <t>AZ Quest Prev Ltda.</t>
        </is>
      </c>
      <c r="E431" s="11" t="inlineStr">
        <is>
          <t>btg</t>
        </is>
      </c>
      <c r="F431" s="19" t="n">
        <v>11528863.95</v>
      </c>
      <c r="G431" s="19" t="n">
        <v>66240621.07</v>
      </c>
      <c r="H431" s="23" t="n">
        <v>-54711757.12</v>
      </c>
      <c r="I431" s="19" t="n">
        <v>770391426</v>
      </c>
      <c r="J431" s="19" t="n">
        <v>738352755.54</v>
      </c>
      <c r="K431" s="21" t="n">
        <v>-7.1</v>
      </c>
      <c r="L431" s="21" t="n">
        <v>2.98</v>
      </c>
      <c r="M431" s="22" t="n">
        <v>59</v>
      </c>
      <c r="N431" s="11" t="inlineStr">
        <is>
          <t>saída persistente</t>
        </is>
      </c>
      <c r="O431" s="11" t="inlineStr"/>
    </row>
    <row r="432">
      <c r="A432" s="11" t="inlineStr">
        <is>
          <t>Absolute Vertex XP Seg Prev FIC FIM</t>
        </is>
      </c>
      <c r="B432" s="11" t="inlineStr">
        <is>
          <t>40.882.496/0001-99</t>
        </is>
      </c>
      <c r="C432" s="11" t="inlineStr">
        <is>
          <t>Multimercados</t>
        </is>
      </c>
      <c r="D432" s="11" t="inlineStr">
        <is>
          <t>XP VIDA E PREVIDÊNCIA S.A.</t>
        </is>
      </c>
      <c r="E432" s="11" t="inlineStr">
        <is>
          <t>xp</t>
        </is>
      </c>
      <c r="F432" s="19" t="n">
        <v>8117140.24</v>
      </c>
      <c r="G432" s="19" t="n">
        <v>74372830.68000001</v>
      </c>
      <c r="H432" s="23" t="n">
        <v>-66255690.44</v>
      </c>
      <c r="I432" s="19" t="n">
        <v>577329988.98</v>
      </c>
      <c r="J432" s="19" t="n">
        <v>523826105.12</v>
      </c>
      <c r="K432" s="21" t="n">
        <v>-11.48</v>
      </c>
      <c r="L432" s="21" t="n">
        <v>2.23</v>
      </c>
      <c r="M432" s="22" t="n">
        <v>59</v>
      </c>
      <c r="N432" s="11" t="inlineStr">
        <is>
          <t>saída persistente</t>
        </is>
      </c>
      <c r="O432" s="11" t="inlineStr"/>
    </row>
    <row r="433">
      <c r="A433" s="11" t="inlineStr">
        <is>
          <t>Sparta Prev Advisory Xp Seg Fic Rf Cp Rl</t>
        </is>
      </c>
      <c r="B433" s="11" t="inlineStr">
        <is>
          <t>32.239.012/0001-60</t>
        </is>
      </c>
      <c r="C433" s="11" t="inlineStr">
        <is>
          <t>Renda Fixa</t>
        </is>
      </c>
      <c r="D433" s="11" t="inlineStr">
        <is>
          <t>XP VIDA E PREVIDÊNCIA S.A.</t>
        </is>
      </c>
      <c r="E433" s="11" t="inlineStr">
        <is>
          <t>xp</t>
        </is>
      </c>
      <c r="F433" s="19" t="n">
        <v>38534956.92</v>
      </c>
      <c r="G433" s="19" t="n">
        <v>105878900.83</v>
      </c>
      <c r="H433" s="23" t="n">
        <v>-67343943.91</v>
      </c>
      <c r="I433" s="19" t="n">
        <v>2044151504.95</v>
      </c>
      <c r="J433" s="19" t="n">
        <v>2036765607.12</v>
      </c>
      <c r="K433" s="21" t="n">
        <v>-3.29</v>
      </c>
      <c r="L433" s="21" t="n">
        <v>2.92</v>
      </c>
      <c r="M433" s="22" t="n">
        <v>59</v>
      </c>
      <c r="N433" s="11" t="inlineStr">
        <is>
          <t>saída persistente</t>
        </is>
      </c>
      <c r="O433" s="11" t="inlineStr"/>
    </row>
    <row r="434">
      <c r="A434" s="11" t="inlineStr">
        <is>
          <t>V8 Vanquish Termo Xp Seg Prev Fic Fim Cp</t>
        </is>
      </c>
      <c r="B434" s="11" t="inlineStr">
        <is>
          <t>47.032.970/0001-32</t>
        </is>
      </c>
      <c r="C434" s="11" t="inlineStr">
        <is>
          <t>Multimercados</t>
        </is>
      </c>
      <c r="D434" s="11" t="inlineStr">
        <is>
          <t>V8 CAPITAL GESTÃO DE INVESTIMENTOS LTDA.</t>
        </is>
      </c>
      <c r="E434" s="11" t="inlineStr">
        <is>
          <t>xp</t>
        </is>
      </c>
      <c r="F434" s="19" t="n">
        <v>15051515.68</v>
      </c>
      <c r="G434" s="19" t="n">
        <v>100451227.56</v>
      </c>
      <c r="H434" s="23" t="n">
        <v>-85399711.88</v>
      </c>
      <c r="I434" s="19" t="n">
        <v>1086073348.31</v>
      </c>
      <c r="J434" s="19" t="n">
        <v>1032723908.15</v>
      </c>
      <c r="K434" s="21" t="n">
        <v>-7.86</v>
      </c>
      <c r="L434" s="21" t="n">
        <v>2.94</v>
      </c>
      <c r="M434" s="22" t="n">
        <v>59</v>
      </c>
      <c r="N434" s="11" t="inlineStr">
        <is>
          <t>saída persistente</t>
        </is>
      </c>
      <c r="O434" s="11" t="inlineStr"/>
    </row>
    <row r="435">
      <c r="A435" s="11" t="inlineStr">
        <is>
          <t>Xp Corporate Light Cp Xp Seg Fic Rf Rl</t>
        </is>
      </c>
      <c r="B435" s="11" t="inlineStr">
        <is>
          <t>30.910.166/0001-06</t>
        </is>
      </c>
      <c r="C435" s="11" t="inlineStr">
        <is>
          <t>Renda Fixa</t>
        </is>
      </c>
      <c r="D435" s="11" t="inlineStr">
        <is>
          <t>XP VISTA ASSET MANAGEMENT LTDA.</t>
        </is>
      </c>
      <c r="E435" s="11" t="inlineStr">
        <is>
          <t>xp</t>
        </is>
      </c>
      <c r="F435" s="19" t="n">
        <v>62902305.22</v>
      </c>
      <c r="G435" s="19" t="n">
        <v>167094043.11</v>
      </c>
      <c r="H435" s="23" t="n">
        <v>-104191737.89</v>
      </c>
      <c r="I435" s="19" t="n">
        <v>3197460484.04</v>
      </c>
      <c r="J435" s="19" t="n">
        <v>3191076695.35</v>
      </c>
      <c r="K435" s="21" t="n">
        <v>-3.26</v>
      </c>
      <c r="L435" s="21" t="n">
        <v>3.09</v>
      </c>
      <c r="M435" s="22" t="n">
        <v>59</v>
      </c>
      <c r="N435" s="11" t="inlineStr">
        <is>
          <t>saída persistente</t>
        </is>
      </c>
      <c r="O435" s="11" t="inlineStr"/>
    </row>
    <row r="436">
      <c r="A436" s="11" t="inlineStr">
        <is>
          <t>XP Corporate Top CP XP Seg Prev FIC FIM RL</t>
        </is>
      </c>
      <c r="B436" s="11" t="inlineStr">
        <is>
          <t>43.636.010/0001-20</t>
        </is>
      </c>
      <c r="C436" s="11" t="inlineStr">
        <is>
          <t>Multimercados</t>
        </is>
      </c>
      <c r="D436" s="11" t="inlineStr">
        <is>
          <t>XP VISTA ASSET MANAGEMENT LTDA.</t>
        </is>
      </c>
      <c r="E436" s="11" t="inlineStr">
        <is>
          <t>xp</t>
        </is>
      </c>
      <c r="F436" s="19" t="n">
        <v>57661614.16</v>
      </c>
      <c r="G436" s="19" t="n">
        <v>169699424.4</v>
      </c>
      <c r="H436" s="23" t="n">
        <v>-112037810.24</v>
      </c>
      <c r="I436" s="19" t="n">
        <v>2492283046.55</v>
      </c>
      <c r="J436" s="19" t="n">
        <v>2455386970.8</v>
      </c>
      <c r="K436" s="21" t="n">
        <v>-4.5</v>
      </c>
      <c r="L436" s="21" t="n">
        <v>3.05</v>
      </c>
      <c r="M436" s="22" t="n">
        <v>59</v>
      </c>
      <c r="N436" s="11" t="inlineStr">
        <is>
          <t>saída persistente</t>
        </is>
      </c>
      <c r="O436" s="11" t="inlineStr"/>
    </row>
    <row r="437">
      <c r="A437" s="11" t="inlineStr">
        <is>
          <t>Itau High Yield Prev P Dist. BP Prev Fundo CrPr RL</t>
        </is>
      </c>
      <c r="B437" s="11" t="inlineStr">
        <is>
          <t>42.827.330/0001-03</t>
        </is>
      </c>
      <c r="C437" s="11" t="inlineStr">
        <is>
          <t>Renda Fixa</t>
        </is>
      </c>
      <c r="D437" s="11" t="inlineStr">
        <is>
          <t>ITAU UNIBANCO ASSET MANAGEMENT LTDA.</t>
        </is>
      </c>
      <c r="E437" s="11" t="inlineStr">
        <is>
          <t>btg</t>
        </is>
      </c>
      <c r="F437" s="19" t="n">
        <v>32213190.91</v>
      </c>
      <c r="G437" s="19" t="n">
        <v>168388207.4</v>
      </c>
      <c r="H437" s="23" t="n">
        <v>-136175016.49</v>
      </c>
      <c r="I437" s="19" t="n">
        <v>1685158534.33</v>
      </c>
      <c r="J437" s="19" t="n">
        <v>1598281296.46</v>
      </c>
      <c r="K437" s="21" t="n">
        <v>-8.08</v>
      </c>
      <c r="L437" s="21" t="n">
        <v>3</v>
      </c>
      <c r="M437" s="22" t="n">
        <v>59</v>
      </c>
      <c r="N437" s="11" t="inlineStr">
        <is>
          <t>saída persistente</t>
        </is>
      </c>
      <c r="O437" s="11" t="inlineStr"/>
    </row>
    <row r="438">
      <c r="A438" s="11" t="inlineStr">
        <is>
          <t>Capitânia Prev Advisory Xp Seg Ficfirf Cp Rl</t>
        </is>
      </c>
      <c r="B438" s="11" t="inlineStr">
        <is>
          <t>32.319.658/0001-57</t>
        </is>
      </c>
      <c r="C438" s="11" t="inlineStr">
        <is>
          <t>Renda Fixa</t>
        </is>
      </c>
      <c r="D438" s="11" t="inlineStr">
        <is>
          <t>XP VIDA E PREVIDÊNCIA S.A.</t>
        </is>
      </c>
      <c r="E438" s="11" t="inlineStr">
        <is>
          <t>xp</t>
        </is>
      </c>
      <c r="F438" s="19" t="n">
        <v>3183645.56</v>
      </c>
      <c r="G438" s="19" t="n">
        <v>158967429.36</v>
      </c>
      <c r="H438" s="23" t="n">
        <v>-155783783.8</v>
      </c>
      <c r="I438" s="19" t="n">
        <v>649732968.83</v>
      </c>
      <c r="J438" s="19" t="n">
        <v>498749394.47</v>
      </c>
      <c r="K438" s="21" t="n">
        <v>-23.98</v>
      </c>
      <c r="L438" s="21" t="n">
        <v>0.72</v>
      </c>
      <c r="M438" s="22" t="n">
        <v>59</v>
      </c>
      <c r="N438" s="11" t="inlineStr">
        <is>
          <t>saída persistente</t>
        </is>
      </c>
      <c r="O438" s="11" t="inlineStr"/>
    </row>
    <row r="439">
      <c r="A439" s="11" t="inlineStr">
        <is>
          <t>Az Quest Altro Prev XP Seg FIC FIM CP</t>
        </is>
      </c>
      <c r="B439" s="11" t="inlineStr">
        <is>
          <t>45.298.150/0001-61</t>
        </is>
      </c>
      <c r="C439" s="11" t="inlineStr">
        <is>
          <t>Multimercados</t>
        </is>
      </c>
      <c r="D439" s="11" t="inlineStr">
        <is>
          <t>XP VIDA E PREVIDÊNCIA S.A.</t>
        </is>
      </c>
      <c r="E439" s="11" t="inlineStr">
        <is>
          <t>xp</t>
        </is>
      </c>
      <c r="F439" s="19" t="n">
        <v>8081106.46</v>
      </c>
      <c r="G439" s="19" t="n">
        <v>171875901.29</v>
      </c>
      <c r="H439" s="23" t="n">
        <v>-163794794.83</v>
      </c>
      <c r="I439" s="19" t="n">
        <v>1217442039.05</v>
      </c>
      <c r="J439" s="19" t="n">
        <v>1085521783.46</v>
      </c>
      <c r="K439" s="21" t="n">
        <v>-13.45</v>
      </c>
      <c r="L439" s="21" t="n">
        <v>2.65</v>
      </c>
      <c r="M439" s="22" t="n">
        <v>59</v>
      </c>
      <c r="N439" s="11" t="inlineStr">
        <is>
          <t>saída persistente</t>
        </is>
      </c>
      <c r="O439" s="11" t="inlineStr"/>
    </row>
    <row r="440">
      <c r="A440" s="11" t="inlineStr">
        <is>
          <t>Sulamérica Crédito Esg Xp Seg Prev Fic Rf Cp Is Rl</t>
        </is>
      </c>
      <c r="B440" s="11" t="inlineStr">
        <is>
          <t>61.038.314/0001-78</t>
        </is>
      </c>
      <c r="C440" s="11" t="inlineStr">
        <is>
          <t>Renda Fixa</t>
        </is>
      </c>
      <c r="D440" s="11" t="inlineStr">
        <is>
          <t>Sul América Gestão de Investimentos S.A.</t>
        </is>
      </c>
      <c r="E440" s="11" t="inlineStr">
        <is>
          <t>xp</t>
        </is>
      </c>
      <c r="F440" s="19" t="n">
        <v>152282674.97</v>
      </c>
      <c r="G440" s="19" t="n">
        <v>339286488.58</v>
      </c>
      <c r="H440" s="23" t="n">
        <v>-187003813.61</v>
      </c>
      <c r="I440" s="19" t="n">
        <v>4139861363.78</v>
      </c>
      <c r="J440" s="19" t="n">
        <v>4081873767.77</v>
      </c>
      <c r="K440" s="21" t="n">
        <v>-4.52</v>
      </c>
      <c r="L440" s="21" t="n">
        <v>3.1</v>
      </c>
      <c r="M440" s="22" t="n">
        <v>59</v>
      </c>
      <c r="N440" s="11" t="inlineStr">
        <is>
          <t>saída persistente</t>
        </is>
      </c>
      <c r="O440" s="11" t="inlineStr"/>
    </row>
    <row r="441">
      <c r="A441" s="11" t="inlineStr">
        <is>
          <t>Valora Prev Xp Seg Ficfi Rf Cp</t>
        </is>
      </c>
      <c r="B441" s="11" t="inlineStr">
        <is>
          <t>40.781.137/0001-45</t>
        </is>
      </c>
      <c r="C441" s="11" t="inlineStr">
        <is>
          <t>Renda Fixa</t>
        </is>
      </c>
      <c r="D441" s="11" t="inlineStr">
        <is>
          <t>XP VIDA E PREVIDÊNCIA S.A.</t>
        </is>
      </c>
      <c r="E441" s="11" t="inlineStr">
        <is>
          <t>xp</t>
        </is>
      </c>
      <c r="F441" s="19" t="n">
        <v>8585115.74</v>
      </c>
      <c r="G441" s="19" t="n">
        <v>216754854.44</v>
      </c>
      <c r="H441" s="23" t="n">
        <v>-208169738.7</v>
      </c>
      <c r="I441" s="19" t="n">
        <v>1551220297.43</v>
      </c>
      <c r="J441" s="19" t="n">
        <v>1380745730.61</v>
      </c>
      <c r="K441" s="21" t="n">
        <v>-13.42</v>
      </c>
      <c r="L441" s="21" t="n">
        <v>2.55</v>
      </c>
      <c r="M441" s="22" t="n">
        <v>59</v>
      </c>
      <c r="N441" s="11" t="inlineStr">
        <is>
          <t>saída persistente</t>
        </is>
      </c>
      <c r="O441" s="11" t="inlineStr"/>
    </row>
    <row r="442">
      <c r="A442" s="11" t="inlineStr">
        <is>
          <t>Kapitalo K10 Global BP Prev FICFIM CrPr RL</t>
        </is>
      </c>
      <c r="B442" s="11" t="inlineStr">
        <is>
          <t>41.498.482/0001-39</t>
        </is>
      </c>
      <c r="C442" s="11" t="inlineStr">
        <is>
          <t>Multimercados</t>
        </is>
      </c>
      <c r="D442" s="11" t="inlineStr">
        <is>
          <t>BTG PACTUAL GESTÃO E CONSULTORIA DE INVESTIMENTOS LTDA</t>
        </is>
      </c>
      <c r="E442" s="11" t="inlineStr">
        <is>
          <t>btg</t>
        </is>
      </c>
      <c r="F442" s="19" t="n">
        <v>30306983.69</v>
      </c>
      <c r="G442" s="19" t="n">
        <v>247102801.76</v>
      </c>
      <c r="H442" s="23" t="n">
        <v>-216795818.07</v>
      </c>
      <c r="I442" s="19" t="n">
        <v>1293019950.16</v>
      </c>
      <c r="J442" s="19" t="n">
        <v>1162738396.52</v>
      </c>
      <c r="K442" s="21" t="n">
        <v>-16.77</v>
      </c>
      <c r="L442" s="21" t="n">
        <v>7.47</v>
      </c>
      <c r="M442" s="22" t="n">
        <v>59</v>
      </c>
      <c r="N442" s="11" t="inlineStr">
        <is>
          <t>saída persistente</t>
        </is>
      </c>
      <c r="O442" s="11" t="inlineStr"/>
    </row>
    <row r="443">
      <c r="A443" s="11" t="inlineStr">
        <is>
          <t>Kapitalo K10 Global Prev Xp Seg Advisory Fic Fim Rl</t>
        </is>
      </c>
      <c r="B443" s="11" t="inlineStr">
        <is>
          <t>40.679.129/0001-92</t>
        </is>
      </c>
      <c r="C443" s="11" t="inlineStr">
        <is>
          <t>Multimercados</t>
        </is>
      </c>
      <c r="D443" s="11" t="inlineStr">
        <is>
          <t>XP VIDA E PREVIDÊNCIA S.A.</t>
        </is>
      </c>
      <c r="E443" s="11" t="inlineStr">
        <is>
          <t>xp</t>
        </is>
      </c>
      <c r="F443" s="19" t="n">
        <v>52000640.8</v>
      </c>
      <c r="G443" s="19" t="n">
        <v>311518038.96</v>
      </c>
      <c r="H443" s="23" t="n">
        <v>-259517398.16</v>
      </c>
      <c r="I443" s="19" t="n">
        <v>2495650542.55</v>
      </c>
      <c r="J443" s="19" t="n">
        <v>2427301313.63</v>
      </c>
      <c r="K443" s="21" t="n">
        <v>-10.4</v>
      </c>
      <c r="L443" s="21" t="n">
        <v>8.119999999999999</v>
      </c>
      <c r="M443" s="22" t="n">
        <v>58</v>
      </c>
      <c r="N443" s="11" t="inlineStr">
        <is>
          <t>saída persistente</t>
        </is>
      </c>
      <c r="O443" s="11" t="inlineStr"/>
    </row>
    <row r="444">
      <c r="A444" s="11" t="inlineStr">
        <is>
          <t>AZ Quest Luce Advisory Prev XP Seg FICFIRF CP</t>
        </is>
      </c>
      <c r="B444" s="11" t="inlineStr">
        <is>
          <t>32.847.001/0001-62</t>
        </is>
      </c>
      <c r="C444" s="11" t="inlineStr">
        <is>
          <t>Renda Fixa</t>
        </is>
      </c>
      <c r="D444" s="11" t="inlineStr">
        <is>
          <t>XP VIDA E PREVIDÊNCIA S.A.</t>
        </is>
      </c>
      <c r="E444" s="11" t="inlineStr">
        <is>
          <t>xp</t>
        </is>
      </c>
      <c r="F444" s="19" t="n">
        <v>69660129.98</v>
      </c>
      <c r="G444" s="19" t="n">
        <v>451634101.24</v>
      </c>
      <c r="H444" s="23" t="n">
        <v>-381973971.26</v>
      </c>
      <c r="I444" s="19" t="n">
        <v>5230986233.66</v>
      </c>
      <c r="J444" s="19" t="n">
        <v>5005131069.44</v>
      </c>
      <c r="K444" s="21" t="n">
        <v>-7.3</v>
      </c>
      <c r="L444" s="21" t="n">
        <v>2.93</v>
      </c>
      <c r="M444" s="22" t="n">
        <v>59</v>
      </c>
      <c r="N444" s="11" t="inlineStr">
        <is>
          <t>saída persistente</t>
        </is>
      </c>
      <c r="O444" s="11" t="inlineStr"/>
    </row>
    <row r="445">
      <c r="A445" s="11" t="inlineStr">
        <is>
          <t>Absolute Atenas Prev FIM Access CrPr RL</t>
        </is>
      </c>
      <c r="B445" s="11" t="inlineStr">
        <is>
          <t>47.564.734/0001-67</t>
        </is>
      </c>
      <c r="C445" s="11" t="inlineStr">
        <is>
          <t>Multimercados</t>
        </is>
      </c>
      <c r="D445" s="11" t="inlineStr">
        <is>
          <t>BTG PACTUAL GESTÃO E CONSULTORIA DE INVESTIMENTOS LTDA</t>
        </is>
      </c>
      <c r="E445" s="11" t="inlineStr">
        <is>
          <t>btg</t>
        </is>
      </c>
      <c r="F445" s="19" t="n">
        <v>58870922.4</v>
      </c>
      <c r="G445" s="19" t="n">
        <v>454743228.25</v>
      </c>
      <c r="H445" s="23" t="n">
        <v>-395872305.85</v>
      </c>
      <c r="I445" s="19" t="n">
        <v>4537233675.25</v>
      </c>
      <c r="J445" s="19" t="n">
        <v>4277919298.25</v>
      </c>
      <c r="K445" s="21" t="n">
        <v>-8.720000000000001</v>
      </c>
      <c r="L445" s="21" t="n">
        <v>3.07</v>
      </c>
      <c r="M445" s="22" t="n">
        <v>59</v>
      </c>
      <c r="N445" s="11" t="inlineStr">
        <is>
          <t>saída persistente</t>
        </is>
      </c>
      <c r="O445" s="11" t="inlineStr"/>
    </row>
    <row r="446">
      <c r="A446" s="11" t="inlineStr">
        <is>
          <t>Kinea Alpes Prev Xp Seg Mm Cp Ficfi</t>
        </is>
      </c>
      <c r="B446" s="11" t="inlineStr">
        <is>
          <t>43.636.203/0001-81</t>
        </is>
      </c>
      <c r="C446" s="11" t="inlineStr">
        <is>
          <t>Multimercados</t>
        </is>
      </c>
      <c r="D446" s="11" t="inlineStr">
        <is>
          <t>XP VIDA E PREVIDÊNCIA S.A.</t>
        </is>
      </c>
      <c r="E446" s="11" t="inlineStr">
        <is>
          <t>xp</t>
        </is>
      </c>
      <c r="F446" s="19" t="n">
        <v>105374558.5</v>
      </c>
      <c r="G446" s="19" t="n">
        <v>526547277.16</v>
      </c>
      <c r="H446" s="23" t="n">
        <v>-421172718.66</v>
      </c>
      <c r="I446" s="19" t="n">
        <v>6525232917.12</v>
      </c>
      <c r="J446" s="19" t="n">
        <v>6311665953.64</v>
      </c>
      <c r="K446" s="21" t="n">
        <v>-6.45</v>
      </c>
      <c r="L446" s="21" t="n">
        <v>3.15</v>
      </c>
      <c r="M446" s="22" t="n">
        <v>59</v>
      </c>
      <c r="N446" s="11" t="inlineStr">
        <is>
          <t>saída persistente</t>
        </is>
      </c>
      <c r="O446" s="11" t="inlineStr"/>
    </row>
    <row r="448">
      <c r="A448" s="10" t="inlineStr">
        <is>
          <t>Legenda da coluna Tendência</t>
        </is>
      </c>
    </row>
    <row r="449">
      <c r="A449" s="11" t="inlineStr">
        <is>
          <t>acelerando</t>
        </is>
      </c>
      <c r="B449" s="2" t="inlineStr">
        <is>
          <t>captando mais por dia que nos meses anteriores</t>
        </is>
      </c>
    </row>
    <row r="450">
      <c r="A450" s="11" t="inlineStr">
        <is>
          <t>desacelerando</t>
        </is>
      </c>
      <c r="B450" s="2" t="inlineStr">
        <is>
          <t>ainda captando, mas menos por dia que antes</t>
        </is>
      </c>
    </row>
    <row r="451">
      <c r="A451" s="11" t="inlineStr">
        <is>
          <t>virou entrada</t>
        </is>
      </c>
      <c r="B451" s="2" t="inlineStr">
        <is>
          <t>estava perdendo dinheiro e passou a captar</t>
        </is>
      </c>
    </row>
    <row r="452">
      <c r="A452" s="11" t="inlineStr">
        <is>
          <t>virou saída</t>
        </is>
      </c>
      <c r="B452" s="2" t="inlineStr">
        <is>
          <t>estava captando e passou a perder dinheiro</t>
        </is>
      </c>
    </row>
    <row r="453">
      <c r="A453" s="11" t="inlineStr">
        <is>
          <t>saída persistente</t>
        </is>
      </c>
      <c r="B453" s="2" t="inlineStr">
        <is>
          <t>perdendo dinheiro no último mês e na média anterior</t>
        </is>
      </c>
    </row>
    <row r="454">
      <c r="A454" s="11" t="inlineStr">
        <is>
          <t>estável</t>
        </is>
      </c>
      <c r="B454" s="2" t="inlineStr">
        <is>
          <t>sem mudança material no ritmo</t>
        </is>
      </c>
    </row>
    <row r="455">
      <c r="A455" s="11" t="inlineStr">
        <is>
          <t>sem série</t>
        </is>
      </c>
      <c r="B455" s="2" t="inlineStr">
        <is>
          <t>competências de menos para falar em tendência</t>
        </is>
      </c>
    </row>
  </sheetData>
  <autoFilter ref="A7:O446"/>
  <hyperlinks>
    <hyperlink xmlns:r="http://schemas.openxmlformats.org/officeDocument/2006/relationships" ref="C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Tendência de captação</t>
        </is>
      </c>
    </row>
    <row r="2">
      <c r="A2" s="2" t="inlineStr">
        <is>
          <t>Média diária de captação líquida por competência. A média diária existe porque o mês corrente tem menos pregões que os fechados - comparar totais brutos seria comparar calendários.</t>
        </is>
      </c>
    </row>
    <row r="4">
      <c r="A4" s="10" t="inlineStr">
        <is>
          <t>Por vitrine</t>
        </is>
      </c>
    </row>
    <row r="5">
      <c r="A5" s="24" t="inlineStr">
        <is>
          <t>Casa</t>
        </is>
      </c>
      <c r="B5" s="24" t="inlineStr">
        <is>
          <t>07/2026</t>
        </is>
      </c>
      <c r="C5" s="24" t="inlineStr">
        <is>
          <t>08/2026</t>
        </is>
      </c>
      <c r="D5" s="24" t="inlineStr">
        <is>
          <t>09/2026</t>
        </is>
      </c>
      <c r="E5" s="24" t="inlineStr">
        <is>
          <t>Dias observados</t>
        </is>
      </c>
    </row>
    <row r="6">
      <c r="A6" s="11" t="inlineStr">
        <is>
          <t>BTG Pactual</t>
        </is>
      </c>
      <c r="B6" s="20" t="n">
        <v>14862702.52</v>
      </c>
      <c r="C6" s="20" t="n">
        <v>13243775.34</v>
      </c>
      <c r="D6" s="20" t="n">
        <v>24570924.29</v>
      </c>
      <c r="E6" s="2" t="inlineStr">
        <is>
          <t>23, 21, 15</t>
        </is>
      </c>
    </row>
    <row r="7">
      <c r="A7" s="11" t="inlineStr">
        <is>
          <t>XP Investimentos</t>
        </is>
      </c>
      <c r="B7" s="20" t="n">
        <v>3464331.47</v>
      </c>
      <c r="C7" s="23" t="n">
        <v>-3439963.03</v>
      </c>
      <c r="D7" s="23" t="n">
        <v>-2576676.2</v>
      </c>
      <c r="E7" s="2" t="inlineStr">
        <is>
          <t>23, 21, 15</t>
        </is>
      </c>
    </row>
    <row r="10">
      <c r="A10" s="10" t="inlineStr">
        <is>
          <t>Fundos por tendência</t>
        </is>
      </c>
    </row>
    <row r="11">
      <c r="A11" s="11" t="inlineStr">
        <is>
          <t>saída persistente</t>
        </is>
      </c>
      <c r="B11" s="11" t="n">
        <v>194</v>
      </c>
      <c r="C11" s="2" t="inlineStr">
        <is>
          <t>perdendo dinheiro no último mês e na média anterior</t>
        </is>
      </c>
    </row>
    <row r="12">
      <c r="A12" s="11" t="inlineStr">
        <is>
          <t>virou entrada</t>
        </is>
      </c>
      <c r="B12" s="11" t="n">
        <v>64</v>
      </c>
      <c r="C12" s="2" t="inlineStr">
        <is>
          <t>estava perdendo dinheiro e passou a captar</t>
        </is>
      </c>
    </row>
    <row r="13">
      <c r="A13" s="11" t="inlineStr">
        <is>
          <t>acelerando</t>
        </is>
      </c>
      <c r="B13" s="11" t="n">
        <v>61</v>
      </c>
      <c r="C13" s="2" t="inlineStr">
        <is>
          <t>captando mais por dia que nos meses anteriores</t>
        </is>
      </c>
    </row>
    <row r="14">
      <c r="A14" s="11" t="inlineStr">
        <is>
          <t>desacelerando</t>
        </is>
      </c>
      <c r="B14" s="11" t="n">
        <v>50</v>
      </c>
      <c r="C14" s="2" t="inlineStr">
        <is>
          <t>ainda captando, mas menos por dia que antes</t>
        </is>
      </c>
    </row>
    <row r="15">
      <c r="A15" s="11" t="inlineStr">
        <is>
          <t>virou saída</t>
        </is>
      </c>
      <c r="B15" s="11" t="n">
        <v>32</v>
      </c>
      <c r="C15" s="2" t="inlineStr">
        <is>
          <t>estava captando e passou a perder dinheiro</t>
        </is>
      </c>
    </row>
    <row r="16">
      <c r="A16" s="11" t="inlineStr">
        <is>
          <t>estável</t>
        </is>
      </c>
      <c r="B16" s="11" t="n">
        <v>27</v>
      </c>
      <c r="C16" s="2" t="inlineStr">
        <is>
          <t>sem mudança material no ritmo</t>
        </is>
      </c>
    </row>
    <row r="17">
      <c r="A17" s="11" t="inlineStr">
        <is>
          <t>sem série</t>
        </is>
      </c>
      <c r="B17" s="11" t="n">
        <v>3</v>
      </c>
      <c r="C17" s="2" t="inlineStr">
        <is>
          <t>competências de menos para falar em tendência</t>
        </is>
      </c>
    </row>
    <row r="20">
      <c r="A20" s="10" t="inlineStr">
        <is>
          <t>Acelerando - captando mais por dia que antes</t>
        </is>
      </c>
    </row>
    <row r="21">
      <c r="A21" s="24" t="inlineStr">
        <is>
          <t>Fundo</t>
        </is>
      </c>
      <c r="B21" s="24" t="inlineStr">
        <is>
          <t>Vitrines</t>
        </is>
      </c>
      <c r="C21" s="24" t="inlineStr">
        <is>
          <t>07/2026</t>
        </is>
      </c>
      <c r="D21" s="24" t="inlineStr">
        <is>
          <t>08/2026</t>
        </is>
      </c>
      <c r="E21" s="24" t="inlineStr">
        <is>
          <t>09/2026</t>
        </is>
      </c>
      <c r="F21" s="24" t="inlineStr">
        <is>
          <t>Total (R$)</t>
        </is>
      </c>
    </row>
    <row r="22">
      <c r="A22" s="11" t="inlineStr">
        <is>
          <t>BTG Pactual Tesouro Selic Prev FIRF Ref. DI RL</t>
        </is>
      </c>
      <c r="B22" s="11" t="inlineStr">
        <is>
          <t>btg</t>
        </is>
      </c>
      <c r="C22" s="19" t="n">
        <v>1859890.63</v>
      </c>
      <c r="D22" s="19" t="n">
        <v>7928117.89</v>
      </c>
      <c r="E22" s="19" t="n">
        <v>12532510.76</v>
      </c>
      <c r="F22" s="19" t="n">
        <v>397255621.34</v>
      </c>
    </row>
    <row r="23">
      <c r="A23" s="11" t="inlineStr">
        <is>
          <t>Bradesco Ultra Xp Seg Prev Ficfirf</t>
        </is>
      </c>
      <c r="B23" s="11" t="inlineStr">
        <is>
          <t>xp</t>
        </is>
      </c>
      <c r="C23" s="19" t="n">
        <v>1403204.71</v>
      </c>
      <c r="D23" s="19" t="n">
        <v>2231404.12</v>
      </c>
      <c r="E23" s="19" t="n">
        <v>2331702.33</v>
      </c>
      <c r="F23" s="19" t="n">
        <v>114108729.77</v>
      </c>
    </row>
    <row r="24">
      <c r="A24" s="11" t="inlineStr">
        <is>
          <t>Augme Prev Ficfim Cp</t>
        </is>
      </c>
      <c r="B24" s="11" t="inlineStr">
        <is>
          <t>xp</t>
        </is>
      </c>
      <c r="C24" s="19" t="n">
        <v>935962.38</v>
      </c>
      <c r="D24" s="19" t="n">
        <v>1340740.78</v>
      </c>
      <c r="E24" s="19" t="n">
        <v>1850613.98</v>
      </c>
      <c r="F24" s="19" t="n">
        <v>77441900.84</v>
      </c>
    </row>
    <row r="25">
      <c r="A25" s="11" t="inlineStr">
        <is>
          <t>Vinci Crédito Prev Advisory Firf Cp Rl</t>
        </is>
      </c>
      <c r="B25" s="11" t="inlineStr">
        <is>
          <t>xp</t>
        </is>
      </c>
      <c r="C25" s="19" t="n">
        <v>460249.49</v>
      </c>
      <c r="D25" s="19" t="n">
        <v>1289806.74</v>
      </c>
      <c r="E25" s="19" t="n">
        <v>2295274.96</v>
      </c>
      <c r="F25" s="19" t="n">
        <v>72100804.36</v>
      </c>
    </row>
    <row r="26">
      <c r="A26" s="11" t="inlineStr">
        <is>
          <t>Capitânia Previdence Xp Seg Fif Rf Cp Rl</t>
        </is>
      </c>
      <c r="B26" s="11" t="inlineStr">
        <is>
          <t>xp</t>
        </is>
      </c>
      <c r="C26" s="19" t="n">
        <v>1160001</v>
      </c>
      <c r="D26" s="19" t="n">
        <v>526739.73</v>
      </c>
      <c r="E26" s="19" t="n">
        <v>1785424.53</v>
      </c>
      <c r="F26" s="19" t="n">
        <v>64522925.28</v>
      </c>
    </row>
    <row r="27">
      <c r="A27" s="11" t="inlineStr">
        <is>
          <t>Bradesco Ultra Prev Access FICFIRF CrPr RL</t>
        </is>
      </c>
      <c r="B27" s="11" t="inlineStr">
        <is>
          <t>btg</t>
        </is>
      </c>
      <c r="C27" s="19" t="n">
        <v>116871.82</v>
      </c>
      <c r="D27" s="19" t="n">
        <v>1459377.47</v>
      </c>
      <c r="E27" s="19" t="n">
        <v>1793165.24</v>
      </c>
      <c r="F27" s="19" t="n">
        <v>60232457.17</v>
      </c>
    </row>
    <row r="28">
      <c r="A28" s="11" t="inlineStr">
        <is>
          <t>Trend B35 Prev XP Seg FIC FIRF RL</t>
        </is>
      </c>
      <c r="B28" s="11" t="inlineStr">
        <is>
          <t>xp</t>
        </is>
      </c>
      <c r="C28" s="19" t="n">
        <v>1034780.79</v>
      </c>
      <c r="D28" s="19" t="n">
        <v>545644.62</v>
      </c>
      <c r="E28" s="19" t="n">
        <v>1081855.23</v>
      </c>
      <c r="F28" s="19" t="n">
        <v>50404468.33</v>
      </c>
    </row>
    <row r="29">
      <c r="A29" s="11" t="inlineStr">
        <is>
          <t>Brave Prev XP Seguros FIC FIRF CP RL</t>
        </is>
      </c>
      <c r="B29" s="11" t="inlineStr">
        <is>
          <t>xp</t>
        </is>
      </c>
      <c r="C29" s="19" t="n">
        <v>829718.11</v>
      </c>
      <c r="D29" s="19" t="n">
        <v>620283.38</v>
      </c>
      <c r="E29" s="19" t="n">
        <v>1161782.69</v>
      </c>
      <c r="F29" s="19" t="n">
        <v>47212642.49</v>
      </c>
    </row>
    <row r="30">
      <c r="A30" s="11" t="inlineStr">
        <is>
          <t>Occam BP Prev FIRF CrPr RL</t>
        </is>
      </c>
      <c r="B30" s="11" t="inlineStr">
        <is>
          <t>btg</t>
        </is>
      </c>
      <c r="C30" s="19" t="n">
        <v>661665.36</v>
      </c>
      <c r="D30" s="19" t="n">
        <v>549179.96</v>
      </c>
      <c r="E30" s="19" t="n">
        <v>886354.5699999999</v>
      </c>
      <c r="F30" s="19" t="n">
        <v>40046400.98</v>
      </c>
    </row>
    <row r="31">
      <c r="A31" s="11" t="inlineStr">
        <is>
          <t>Jive Soul 45 Xp Seg Prev Fic Multimercado Cp Rl</t>
        </is>
      </c>
      <c r="B31" s="11" t="inlineStr">
        <is>
          <t>xp</t>
        </is>
      </c>
      <c r="C31" s="19" t="n">
        <v>724475.52</v>
      </c>
      <c r="D31" s="19" t="n">
        <v>412213.99</v>
      </c>
      <c r="E31" s="19" t="n">
        <v>960534.61</v>
      </c>
      <c r="F31" s="19" t="n">
        <v>38766915.25</v>
      </c>
    </row>
    <row r="32">
      <c r="A32" s="11" t="inlineStr">
        <is>
          <t>Mapfre Confianza XP Seg FIC FIF RF RL</t>
        </is>
      </c>
      <c r="B32" s="11" t="inlineStr">
        <is>
          <t>xp</t>
        </is>
      </c>
      <c r="C32" s="19" t="n">
        <v>268967.22</v>
      </c>
      <c r="D32" s="19" t="n">
        <v>905036.6</v>
      </c>
      <c r="E32" s="19" t="n">
        <v>738356.5600000001</v>
      </c>
      <c r="F32" s="19" t="n">
        <v>36267362.99</v>
      </c>
    </row>
    <row r="33">
      <c r="A33" s="11" t="inlineStr">
        <is>
          <t>BTG Pactual NTN B 2035 Yield Prev FIRF RL</t>
        </is>
      </c>
      <c r="B33" s="11" t="inlineStr">
        <is>
          <t>btg</t>
        </is>
      </c>
      <c r="C33" s="19" t="n">
        <v>916872.85</v>
      </c>
      <c r="D33" s="19" t="n">
        <v>195816.26</v>
      </c>
      <c r="E33" s="19" t="n">
        <v>719001.7</v>
      </c>
      <c r="F33" s="19" t="n">
        <v>35985242.58</v>
      </c>
    </row>
    <row r="36">
      <c r="A36" s="10" t="inlineStr">
        <is>
          <t>Viraram saída - captavam e passaram a perder</t>
        </is>
      </c>
    </row>
    <row r="37">
      <c r="A37" s="24" t="inlineStr">
        <is>
          <t>Fundo</t>
        </is>
      </c>
      <c r="B37" s="24" t="inlineStr">
        <is>
          <t>Vitrines</t>
        </is>
      </c>
      <c r="C37" s="24" t="inlineStr">
        <is>
          <t>07/2026</t>
        </is>
      </c>
      <c r="D37" s="24" t="inlineStr">
        <is>
          <t>08/2026</t>
        </is>
      </c>
      <c r="E37" s="24" t="inlineStr">
        <is>
          <t>09/2026</t>
        </is>
      </c>
      <c r="F37" s="24" t="inlineStr">
        <is>
          <t>Total (R$)</t>
        </is>
      </c>
    </row>
    <row r="38">
      <c r="A38" s="11" t="inlineStr">
        <is>
          <t>Vinland Credito P Prev T1 FICFIM CrPr RL</t>
        </is>
      </c>
      <c r="B38" s="11" t="inlineStr">
        <is>
          <t>btg</t>
        </is>
      </c>
      <c r="C38" s="19" t="n">
        <v>1476.46</v>
      </c>
      <c r="D38" s="19" t="n">
        <v>106416.79</v>
      </c>
      <c r="E38" s="19" t="n">
        <v>-446398.21</v>
      </c>
      <c r="F38" s="19" t="n">
        <v>-4427261.87</v>
      </c>
    </row>
    <row r="39">
      <c r="A39" s="11" t="inlineStr">
        <is>
          <t>Occam Liquidez Prev Xp Seg Fic Fim</t>
        </is>
      </c>
      <c r="B39" s="11" t="inlineStr">
        <is>
          <t>xp</t>
        </is>
      </c>
      <c r="C39" s="19" t="n">
        <v>83.51000000000001</v>
      </c>
      <c r="D39" s="19" t="n">
        <v>2834.08</v>
      </c>
      <c r="E39" s="19" t="n">
        <v>-73081.48</v>
      </c>
      <c r="F39" s="19" t="n">
        <v>-1034785.75</v>
      </c>
    </row>
    <row r="40">
      <c r="A40" s="11" t="inlineStr">
        <is>
          <t>Tenax RFA Prev FIE I FICFIRF CrPr RL</t>
        </is>
      </c>
      <c r="B40" s="11" t="inlineStr">
        <is>
          <t>btg</t>
        </is>
      </c>
      <c r="C40" s="19" t="n">
        <v>0</v>
      </c>
      <c r="D40" s="19" t="n">
        <v>8751.440000000001</v>
      </c>
      <c r="E40" s="19" t="n">
        <v>-77455.81</v>
      </c>
      <c r="F40" s="19" t="n">
        <v>-978056.98</v>
      </c>
    </row>
    <row r="41">
      <c r="A41" s="11" t="inlineStr">
        <is>
          <t>Kapitalo Zeta Prev FICFIM Access RL</t>
        </is>
      </c>
      <c r="B41" s="11" t="inlineStr">
        <is>
          <t>btg</t>
        </is>
      </c>
      <c r="C41" s="19" t="n">
        <v>40994.26</v>
      </c>
      <c r="D41" s="19" t="n">
        <v>2002.06</v>
      </c>
      <c r="E41" s="19" t="n">
        <v>-119379.93</v>
      </c>
      <c r="F41" s="19" t="n">
        <v>-805787.79</v>
      </c>
    </row>
    <row r="42">
      <c r="A42" s="11" t="inlineStr">
        <is>
          <t>A1 RF Ativa Prev FICFIRF RL</t>
        </is>
      </c>
      <c r="B42" s="11" t="inlineStr">
        <is>
          <t>btg</t>
        </is>
      </c>
      <c r="C42" s="19" t="n">
        <v>-228.06</v>
      </c>
      <c r="D42" s="19" t="n">
        <v>7377.53</v>
      </c>
      <c r="E42" s="19" t="n">
        <v>-62858.2</v>
      </c>
      <c r="F42" s="19" t="n">
        <v>-793190.35</v>
      </c>
    </row>
    <row r="43">
      <c r="A43" s="11" t="inlineStr">
        <is>
          <t>Dahlia 100 Prev FICFIM RL</t>
        </is>
      </c>
      <c r="B43" s="11" t="inlineStr">
        <is>
          <t>btg</t>
        </is>
      </c>
      <c r="C43" s="19" t="n">
        <v>29036.94</v>
      </c>
      <c r="D43" s="19" t="n">
        <v>-16381.73</v>
      </c>
      <c r="E43" s="19" t="n">
        <v>-69545.47</v>
      </c>
      <c r="F43" s="19" t="n">
        <v>-719348.6899999999</v>
      </c>
    </row>
    <row r="44">
      <c r="A44" s="11" t="inlineStr">
        <is>
          <t>Mantaro LB Prev Advisory XP Seg FIC FIM</t>
        </is>
      </c>
      <c r="B44" s="11" t="inlineStr">
        <is>
          <t>xp</t>
        </is>
      </c>
      <c r="C44" s="19" t="n">
        <v>22.86</v>
      </c>
      <c r="D44" s="19" t="n">
        <v>25.04</v>
      </c>
      <c r="E44" s="19" t="n">
        <v>-28509.08</v>
      </c>
      <c r="F44" s="19" t="n">
        <v>-426584.53</v>
      </c>
    </row>
    <row r="45">
      <c r="A45" s="11" t="inlineStr">
        <is>
          <t>Gauss Panorama Xp Seg Iq Prev Ficfim Cp Rl</t>
        </is>
      </c>
      <c r="B45" s="11" t="inlineStr">
        <is>
          <t>xp</t>
        </is>
      </c>
      <c r="C45" s="19" t="n">
        <v>0</v>
      </c>
      <c r="D45" s="19" t="n">
        <v>4691.46</v>
      </c>
      <c r="E45" s="19" t="n">
        <v>-15891.52</v>
      </c>
      <c r="F45" s="19" t="n">
        <v>-128652.05</v>
      </c>
    </row>
    <row r="46">
      <c r="A46" s="11" t="inlineStr">
        <is>
          <t>Santander Prev Icatu Lark I RF Cred Privado FICFIF RL</t>
        </is>
      </c>
      <c r="B46" s="11" t="inlineStr">
        <is>
          <t>btg</t>
        </is>
      </c>
      <c r="C46" s="19" t="n">
        <v>10.87</v>
      </c>
      <c r="D46" s="19" t="n">
        <v>11.9</v>
      </c>
      <c r="E46" s="19" t="n">
        <v>-6094.94</v>
      </c>
      <c r="F46" s="19" t="n">
        <v>-90924.14</v>
      </c>
    </row>
    <row r="47">
      <c r="A47" s="11" t="inlineStr">
        <is>
          <t>Santander Prev Icatu Strix Mult FIF RL</t>
        </is>
      </c>
      <c r="B47" s="11" t="inlineStr">
        <is>
          <t>btg</t>
        </is>
      </c>
      <c r="C47" s="19" t="n">
        <v>274.69</v>
      </c>
      <c r="D47" s="19" t="n">
        <v>252.09</v>
      </c>
      <c r="E47" s="19" t="n">
        <v>-4540.55</v>
      </c>
      <c r="F47" s="19" t="n">
        <v>-56496.44</v>
      </c>
    </row>
    <row r="48">
      <c r="A48" s="11" t="inlineStr">
        <is>
          <t>ARX Income 100 XP Seg Prev FIC FIA</t>
        </is>
      </c>
      <c r="B48" s="11" t="inlineStr">
        <is>
          <t>xp</t>
        </is>
      </c>
      <c r="C48" s="19" t="n">
        <v>15962.61</v>
      </c>
      <c r="D48" s="19" t="n">
        <v>-10183.83</v>
      </c>
      <c r="E48" s="19" t="n">
        <v>-13432.08</v>
      </c>
      <c r="F48" s="19" t="n">
        <v>-48201.38</v>
      </c>
    </row>
    <row r="49">
      <c r="A49" s="11" t="inlineStr">
        <is>
          <t>Patria Pioneiro Long Only 100 Icatu Qualificado Prev FIE FICFIM RL</t>
        </is>
      </c>
      <c r="B49" s="11" t="inlineStr">
        <is>
          <t>btg</t>
        </is>
      </c>
      <c r="C49" s="19" t="n">
        <v>-1735.48</v>
      </c>
      <c r="D49" s="19" t="n">
        <v>3540.76</v>
      </c>
      <c r="E49" s="19" t="n">
        <v>-4351.66</v>
      </c>
      <c r="F49" s="19" t="n">
        <v>-30835.13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9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</cols>
  <sheetData>
    <row r="1">
      <c r="A1" s="1" t="inlineStr">
        <is>
          <t>Rentabilidade da vitrine em 12 meses</t>
        </is>
      </c>
    </row>
    <row r="2">
      <c r="A2" s="10" t="inlineStr">
        <is>
          <t>Fonte</t>
        </is>
      </c>
      <c r="B2" s="11" t="inlineStr">
        <is>
          <t>Cota patrimonial do informe diário da CVM (INF_DIARIO)</t>
        </is>
      </c>
      <c r="C2" s="12" t="inlineStr">
        <is>
          <t>https://dados.cvm.gov.br/dataset/fi-doc-inf_diario</t>
        </is>
      </c>
    </row>
    <row r="3">
      <c r="A3" s="10" t="inlineStr">
        <is>
          <t>Janela</t>
        </is>
      </c>
      <c r="B3" s="11" t="inlineStr">
        <is>
          <t>12 meses, base na cota do fechamento de set/2025</t>
        </is>
      </c>
    </row>
    <row r="4">
      <c r="A4" s="10" t="inlineStr">
        <is>
          <t>Período</t>
        </is>
      </c>
      <c r="B4" s="11" t="inlineStr">
        <is>
          <t>de 30/09/2025 a 23/09/2026</t>
        </is>
      </c>
    </row>
    <row r="5">
      <c r="A5" s="10" t="inlineStr">
        <is>
          <t>Pregões</t>
        </is>
      </c>
      <c r="B5" s="11" t="inlineStr">
        <is>
          <t>246</t>
        </is>
      </c>
    </row>
    <row r="6">
      <c r="A6" s="10" t="inlineStr">
        <is>
          <t>Competências</t>
        </is>
      </c>
      <c r="B6" s="11" t="inlineStr">
        <is>
          <t>12 (out/2025 a set/2026)</t>
        </is>
      </c>
    </row>
    <row r="7">
      <c r="A7" s="2" t="inlineStr">
        <is>
          <t>Base na cota do FECHAMENTO da competência anterior à janela, a convenção de lâmina - a mesma da coluna '12 meses' da aba 'Rentabilidade por fundo'. A aba 'Rentabilidade 3 meses' parte do primeiro pregão do período. Janela longa separa quem ficou para trás: em três meses dominados pelo CDI, quase tudo fica a centésimos da mediana da categoria. Fundo que não existia no começo da janela fica de fora, na vitrine e na mediana de referência. Referência: mediana da mesma categoria no universo oficial, no mesmo prazo (23.640 fundos, 52 categorias com amostra &gt;= 20). É o retorno dos fundos que a casa exibe, com o peso que eles têm no MERCADO - não o retorno dos clientes dela: a CVM publica cota, PL e cotistas por fundo, somando todos os distribuidores. Cota ex-provento. ÍNDICE = share do PL nos fundos abaixo da mediana dividido pelo share de fundos abaixo: abaixo de 1, o dinheiro EVITA os piores da categoria; acima de 1, se concentra neles. Cerca de metade de qualquer universo fica abaixo da mediana por construção, então a contagem de fundos sozinha não é sinal de nada.</t>
        </is>
      </c>
    </row>
    <row r="8">
      <c r="A8" s="2" t="inlineStr">
        <is>
          <t>Sem as leituras por cotistas: em previdência o cotista do fundo (FIE) é a seguradora, não o participante: 438 dos 439 fundos de vitrine com informe têm 1 cotista (XP 213 de 214, BTG 226 de 226, informe de 23/09). Contar cotistas não mede gente.</t>
        </is>
      </c>
    </row>
    <row r="10" ht="30" customHeight="1">
      <c r="A10" s="3" t="inlineStr">
        <is>
          <t>Casa</t>
        </is>
      </c>
      <c r="B10" s="3" t="inlineStr">
        <is>
          <t>Fundos com série</t>
        </is>
      </c>
      <c r="C10" s="3" t="inlineStr">
        <is>
          <t>Vitrine</t>
        </is>
      </c>
      <c r="D10" s="3" t="inlineStr">
        <is>
          <t>Cobertura</t>
        </is>
      </c>
      <c r="E10" s="3" t="inlineStr">
        <is>
          <t>Mediana dos fundos (%)</t>
        </is>
      </c>
      <c r="F10" s="3" t="inlineStr">
        <is>
          <t>Ponderada por PL (%)</t>
        </is>
      </c>
      <c r="G10" s="3" t="inlineStr">
        <is>
          <t>Fundos abaixo da mediana</t>
        </is>
      </c>
      <c r="H10" s="3" t="inlineStr">
        <is>
          <t>% dos fundos</t>
        </is>
      </c>
      <c r="I10" s="3" t="inlineStr">
        <is>
          <t>% do PL</t>
        </is>
      </c>
      <c r="J10" s="3" t="inlineStr">
        <is>
          <t>Índice PL</t>
        </is>
      </c>
    </row>
    <row r="11">
      <c r="A11" s="4" t="inlineStr">
        <is>
          <t>XP Investimentos</t>
        </is>
      </c>
      <c r="B11" s="4" t="n">
        <v>203</v>
      </c>
      <c r="C11" s="6" t="n">
        <v>218</v>
      </c>
      <c r="D11" s="25" t="n">
        <v>0.931</v>
      </c>
      <c r="E11" s="8" t="n">
        <v>12.5663</v>
      </c>
      <c r="F11" s="8" t="n">
        <v>13.1674</v>
      </c>
      <c r="G11" s="4" t="inlineStr">
        <is>
          <t>109 de 198</t>
        </is>
      </c>
      <c r="H11" s="25" t="n">
        <v>0.5505</v>
      </c>
      <c r="I11" s="7" t="n">
        <v>0.2489</v>
      </c>
      <c r="J11" s="8" t="n">
        <v>0.452</v>
      </c>
      <c r="K11" s="16" t="n"/>
      <c r="M11" s="17" t="n"/>
      <c r="N11" s="17" t="n"/>
      <c r="O11" s="17" t="n"/>
    </row>
    <row r="12">
      <c r="A12" s="4" t="inlineStr">
        <is>
          <t>BTG Pactual</t>
        </is>
      </c>
      <c r="B12" s="4" t="n">
        <v>210</v>
      </c>
      <c r="C12" s="6" t="n">
        <v>226</v>
      </c>
      <c r="D12" s="25" t="n">
        <v>0.929</v>
      </c>
      <c r="E12" s="8" t="n">
        <v>12.831</v>
      </c>
      <c r="F12" s="8" t="n">
        <v>13.3785</v>
      </c>
      <c r="G12" s="4" t="inlineStr">
        <is>
          <t>108 de 204</t>
        </is>
      </c>
      <c r="H12" s="25" t="n">
        <v>0.5294</v>
      </c>
      <c r="I12" s="7" t="n">
        <v>0.239</v>
      </c>
      <c r="J12" s="8" t="n">
        <v>0.451</v>
      </c>
      <c r="K12" s="16" t="n"/>
      <c r="M12" s="17" t="n"/>
      <c r="N12" s="17" t="n"/>
      <c r="O12" s="17" t="n"/>
    </row>
    <row r="14">
      <c r="A14" s="1" t="inlineStr">
        <is>
          <t>Por categoria, em 12 meses</t>
        </is>
      </c>
    </row>
    <row r="15" ht="30" customHeight="1">
      <c r="A15" s="3" t="inlineStr">
        <is>
          <t>Casa</t>
        </is>
      </c>
      <c r="B15" s="3" t="inlineStr">
        <is>
          <t>Categoria</t>
        </is>
      </c>
      <c r="C15" s="3" t="inlineStr">
        <is>
          <t>Fundos</t>
        </is>
      </c>
      <c r="D15" s="3" t="inlineStr">
        <is>
          <t>Mediana dos fundos (%)</t>
        </is>
      </c>
      <c r="E15" s="3" t="inlineStr">
        <is>
          <t>Ponderada por PL (%)</t>
        </is>
      </c>
      <c r="F15" s="3" t="inlineStr">
        <is>
          <t>Mediana da categoria no mercado (%)</t>
        </is>
      </c>
      <c r="G15" s="3" t="inlineStr">
        <is>
          <t>PL (R$)</t>
        </is>
      </c>
    </row>
    <row r="16">
      <c r="A16" s="4" t="inlineStr">
        <is>
          <t>BTG Pactual</t>
        </is>
      </c>
      <c r="B16" s="4" t="inlineStr">
        <is>
          <t>Previdência Multimercado Livre</t>
        </is>
      </c>
      <c r="C16" s="6" t="n">
        <v>122</v>
      </c>
      <c r="D16" s="8" t="n">
        <v>12.156</v>
      </c>
      <c r="E16" s="8" t="n">
        <v>13.4361</v>
      </c>
      <c r="F16" s="8" t="n">
        <v>12.8202</v>
      </c>
      <c r="G16" s="7" t="n">
        <v>20608715573.78</v>
      </c>
      <c r="I16" s="15" t="n"/>
      <c r="J16" s="16" t="n"/>
      <c r="K16" s="16" t="n"/>
      <c r="M16" s="17" t="n"/>
      <c r="N16" s="17" t="n"/>
      <c r="O16" s="17" t="n"/>
    </row>
    <row r="17">
      <c r="A17" s="4" t="inlineStr">
        <is>
          <t>BTG Pactual</t>
        </is>
      </c>
      <c r="B17" s="4" t="inlineStr">
        <is>
          <t>Previdência RF Duração Livre Crédito Liv</t>
        </is>
      </c>
      <c r="C17" s="6" t="n">
        <v>38</v>
      </c>
      <c r="D17" s="8" t="n">
        <v>13.5143</v>
      </c>
      <c r="E17" s="8" t="n">
        <v>13.4913</v>
      </c>
      <c r="F17" s="8" t="n">
        <v>13.3877</v>
      </c>
      <c r="G17" s="7" t="n">
        <v>12239700447.06</v>
      </c>
      <c r="I17" s="15" t="n"/>
      <c r="J17" s="16" t="n"/>
      <c r="K17" s="16" t="n"/>
      <c r="M17" s="17" t="n"/>
      <c r="N17" s="17" t="n"/>
      <c r="O17" s="17" t="n"/>
    </row>
    <row r="18">
      <c r="A18" s="4" t="inlineStr">
        <is>
          <t>BTG Pactual</t>
        </is>
      </c>
      <c r="B18" s="4" t="inlineStr">
        <is>
          <t>Previdência Ações Ativo</t>
        </is>
      </c>
      <c r="C18" s="6" t="n">
        <v>14</v>
      </c>
      <c r="D18" s="8" t="n">
        <v>9.394500000000001</v>
      </c>
      <c r="E18" s="8" t="n">
        <v>10.129</v>
      </c>
      <c r="F18" s="8" t="n">
        <v>10.8339</v>
      </c>
      <c r="G18" s="7" t="n">
        <v>376600034.25</v>
      </c>
      <c r="I18" s="15" t="n"/>
      <c r="J18" s="16" t="n"/>
      <c r="K18" s="16" t="n"/>
      <c r="M18" s="17" t="n"/>
      <c r="N18" s="17" t="n"/>
      <c r="O18" s="17" t="n"/>
    </row>
    <row r="19">
      <c r="A19" s="4" t="inlineStr">
        <is>
          <t>BTG Pactual</t>
        </is>
      </c>
      <c r="B19" s="4" t="inlineStr">
        <is>
          <t>Previdência RF Duração Livre Grau de Inv</t>
        </is>
      </c>
      <c r="C19" s="6" t="n">
        <v>6</v>
      </c>
      <c r="D19" s="8" t="n">
        <v>13.2255</v>
      </c>
      <c r="E19" s="8" t="n">
        <v>12.4795</v>
      </c>
      <c r="F19" s="8" t="n">
        <v>13.016</v>
      </c>
      <c r="G19" s="7" t="n">
        <v>486388747.74</v>
      </c>
      <c r="I19" s="15" t="n"/>
      <c r="J19" s="16" t="n"/>
      <c r="K19" s="16" t="n"/>
      <c r="M19" s="17" t="n"/>
      <c r="N19" s="17" t="n"/>
      <c r="O19" s="17" t="n"/>
    </row>
    <row r="20">
      <c r="A20" s="4" t="inlineStr">
        <is>
          <t>BTG Pactual</t>
        </is>
      </c>
      <c r="B20" s="4" t="inlineStr">
        <is>
          <t>Renda Fixa Duração Livre Crédito Livre</t>
        </is>
      </c>
      <c r="C20" s="6" t="n">
        <v>5</v>
      </c>
      <c r="D20" s="8" t="n">
        <v>13.2172</v>
      </c>
      <c r="E20" s="8" t="n">
        <v>13.3143</v>
      </c>
      <c r="F20" s="8" t="n">
        <v>8.946099999999999</v>
      </c>
      <c r="G20" s="7" t="n">
        <v>641209203.27</v>
      </c>
      <c r="I20" s="15" t="n"/>
      <c r="J20" s="16" t="n"/>
      <c r="K20" s="16" t="n"/>
      <c r="M20" s="17" t="n"/>
      <c r="N20" s="17" t="n"/>
      <c r="O20" s="17" t="n"/>
    </row>
    <row r="21">
      <c r="A21" s="4" t="inlineStr">
        <is>
          <t>XP Investimentos</t>
        </is>
      </c>
      <c r="B21" s="4" t="inlineStr">
        <is>
          <t>Previdência Multimercado Livre</t>
        </is>
      </c>
      <c r="C21" s="6" t="n">
        <v>124</v>
      </c>
      <c r="D21" s="8" t="n">
        <v>11.1891</v>
      </c>
      <c r="E21" s="8" t="n">
        <v>12.9057</v>
      </c>
      <c r="F21" s="8" t="n">
        <v>12.8202</v>
      </c>
      <c r="G21" s="7" t="n">
        <v>31750487654.22</v>
      </c>
      <c r="I21" s="15" t="n"/>
      <c r="J21" s="16" t="n"/>
      <c r="K21" s="16" t="n"/>
      <c r="M21" s="17" t="n"/>
      <c r="N21" s="17" t="n"/>
      <c r="O21" s="17" t="n"/>
    </row>
    <row r="22">
      <c r="A22" s="4" t="inlineStr">
        <is>
          <t>XP Investimentos</t>
        </is>
      </c>
      <c r="B22" s="4" t="inlineStr">
        <is>
          <t>Previdência RF Duração Livre Crédito Liv</t>
        </is>
      </c>
      <c r="C22" s="6" t="n">
        <v>34</v>
      </c>
      <c r="D22" s="8" t="n">
        <v>13.6502</v>
      </c>
      <c r="E22" s="8" t="n">
        <v>13.3358</v>
      </c>
      <c r="F22" s="8" t="n">
        <v>13.3877</v>
      </c>
      <c r="G22" s="7" t="n">
        <v>29992291803.84</v>
      </c>
      <c r="I22" s="15" t="n"/>
      <c r="J22" s="16" t="n"/>
      <c r="K22" s="16" t="n"/>
      <c r="M22" s="17" t="n"/>
      <c r="N22" s="17" t="n"/>
      <c r="O22" s="17" t="n"/>
    </row>
    <row r="23">
      <c r="A23" s="4" t="inlineStr">
        <is>
          <t>XP Investimentos</t>
        </is>
      </c>
      <c r="B23" s="4" t="inlineStr">
        <is>
          <t>Previdência Ações Ativo</t>
        </is>
      </c>
      <c r="C23" s="6" t="n">
        <v>18</v>
      </c>
      <c r="D23" s="8" t="n">
        <v>9.966200000000001</v>
      </c>
      <c r="E23" s="8" t="n">
        <v>12.1902</v>
      </c>
      <c r="F23" s="8" t="n">
        <v>10.8339</v>
      </c>
      <c r="G23" s="7" t="n">
        <v>666652499.72</v>
      </c>
      <c r="I23" s="15" t="n"/>
      <c r="J23" s="16" t="n"/>
      <c r="K23" s="16" t="n"/>
      <c r="M23" s="17" t="n"/>
      <c r="N23" s="17" t="n"/>
      <c r="O23" s="17" t="n"/>
    </row>
    <row r="24">
      <c r="A24" s="4" t="inlineStr">
        <is>
          <t>XP Investimentos</t>
        </is>
      </c>
      <c r="B24" s="4" t="inlineStr">
        <is>
          <t>Previdência RF Duração Livre Grau de Inv</t>
        </is>
      </c>
      <c r="C24" s="6" t="n">
        <v>7</v>
      </c>
      <c r="D24" s="8" t="n">
        <v>13.6</v>
      </c>
      <c r="E24" s="8" t="n">
        <v>13.8539</v>
      </c>
      <c r="F24" s="8" t="n">
        <v>13.016</v>
      </c>
      <c r="G24" s="7" t="n">
        <v>8418803771.19</v>
      </c>
      <c r="I24" s="15" t="n"/>
      <c r="J24" s="16" t="n"/>
      <c r="K24" s="16" t="n"/>
      <c r="M24" s="17" t="n"/>
      <c r="N24" s="17" t="n"/>
      <c r="O24" s="17" t="n"/>
    </row>
  </sheetData>
  <autoFilter ref="A15:G24"/>
  <hyperlinks>
    <hyperlink xmlns:r="http://schemas.openxmlformats.org/officeDocument/2006/relationships" ref="C2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9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</cols>
  <sheetData>
    <row r="1">
      <c r="A1" s="1" t="inlineStr">
        <is>
          <t>Rentabilidade da vitrine em 3 meses</t>
        </is>
      </c>
    </row>
    <row r="2">
      <c r="A2" s="10" t="inlineStr">
        <is>
          <t>Fonte</t>
        </is>
      </c>
      <c r="B2" s="11" t="inlineStr">
        <is>
          <t>Cota patrimonial do informe diário da CVM (INF_DIARIO)</t>
        </is>
      </c>
      <c r="C2" s="12" t="inlineStr">
        <is>
          <t>https://dados.cvm.gov.br/dataset/fi-doc-inf_diario</t>
        </is>
      </c>
    </row>
    <row r="3">
      <c r="A3" s="10" t="inlineStr">
        <is>
          <t>Janela</t>
        </is>
      </c>
      <c r="B3" s="11" t="inlineStr">
        <is>
          <t>3 meses, base na cota do primeiro pregão do período</t>
        </is>
      </c>
    </row>
    <row r="4">
      <c r="A4" s="10" t="inlineStr">
        <is>
          <t>Período</t>
        </is>
      </c>
      <c r="B4" s="11" t="inlineStr">
        <is>
          <t>de 01/07/2026 a 23/09/2026</t>
        </is>
      </c>
    </row>
    <row r="5">
      <c r="A5" s="10" t="inlineStr">
        <is>
          <t>Pregões</t>
        </is>
      </c>
      <c r="B5" s="11" t="inlineStr">
        <is>
          <t>60</t>
        </is>
      </c>
    </row>
    <row r="6">
      <c r="A6" s="10" t="inlineStr">
        <is>
          <t>Competências</t>
        </is>
      </c>
      <c r="B6" s="11" t="inlineStr">
        <is>
          <t>3 (jul/2026 a set/2026)</t>
        </is>
      </c>
    </row>
    <row r="7">
      <c r="A7" s="2" t="inlineStr">
        <is>
          <t>Base na cota do PRIMEIRO PREGÃO do período - esta aba responde o retorno ENTRE DUAS DATAS. As abas 'Rentabilidade 12 meses' e 'Rentabilidade por fundo' usam o fechamento da competência anterior, que é a convenção de lâmina, e por isso o mesmo fundo sai com número ligeiramente diferente lá. Referência: mediana da mesma categoria no universo oficial, no mesmo prazo (24.420 fundos, 52 categorias com amostra &gt;= 20). É o retorno dos fundos que a casa exibe, com o peso que eles têm no MERCADO - não o retorno dos clientes dela: a CVM publica cota, PL e cotistas por fundo, somando todos os distribuidores. Cota ex-provento. ÍNDICE = share do PL nos fundos abaixo da mediana dividido pelo share de fundos abaixo: abaixo de 1, o dinheiro EVITA os piores da categoria; acima de 1, se concentra neles. Cerca de metade de qualquer universo fica abaixo da mediana por construção, então a contagem de fundos sozinha não é sinal de nada.</t>
        </is>
      </c>
    </row>
    <row r="8">
      <c r="A8" s="2" t="inlineStr">
        <is>
          <t>Sem as leituras por cotistas: em previdência o cotista do fundo (FIE) é a seguradora, não o participante: 438 dos 439 fundos de vitrine com informe têm 1 cotista (XP 213 de 214, BTG 226 de 226, informe de 23/09). Contar cotistas não mede gente.</t>
        </is>
      </c>
    </row>
    <row r="10" ht="30" customHeight="1">
      <c r="A10" s="3" t="inlineStr">
        <is>
          <t>Casa</t>
        </is>
      </c>
      <c r="B10" s="3" t="inlineStr">
        <is>
          <t>Fundos com série</t>
        </is>
      </c>
      <c r="C10" s="3" t="inlineStr">
        <is>
          <t>Vitrine</t>
        </is>
      </c>
      <c r="D10" s="3" t="inlineStr">
        <is>
          <t>Cobertura</t>
        </is>
      </c>
      <c r="E10" s="3" t="inlineStr">
        <is>
          <t>Mediana dos fundos (%)</t>
        </is>
      </c>
      <c r="F10" s="3" t="inlineStr">
        <is>
          <t>Ponderada por PL (%)</t>
        </is>
      </c>
      <c r="G10" s="3" t="inlineStr">
        <is>
          <t>Fundos abaixo da mediana</t>
        </is>
      </c>
      <c r="H10" s="3" t="inlineStr">
        <is>
          <t>% dos fundos</t>
        </is>
      </c>
      <c r="I10" s="3" t="inlineStr">
        <is>
          <t>% do PL</t>
        </is>
      </c>
      <c r="J10" s="3" t="inlineStr">
        <is>
          <t>Índice PL</t>
        </is>
      </c>
    </row>
    <row r="11">
      <c r="A11" s="4" t="inlineStr">
        <is>
          <t>XP Investimentos</t>
        </is>
      </c>
      <c r="B11" s="4" t="n">
        <v>208</v>
      </c>
      <c r="C11" s="6" t="n">
        <v>218</v>
      </c>
      <c r="D11" s="25" t="n">
        <v>0.954</v>
      </c>
      <c r="E11" s="8" t="n">
        <v>3.0927</v>
      </c>
      <c r="F11" s="8" t="n">
        <v>3.4642</v>
      </c>
      <c r="G11" s="4" t="inlineStr">
        <is>
          <t>125 de 203</t>
        </is>
      </c>
      <c r="H11" s="25" t="n">
        <v>0.6158</v>
      </c>
      <c r="I11" s="7" t="n">
        <v>0.7395</v>
      </c>
      <c r="J11" s="8" t="n">
        <v>1.201</v>
      </c>
      <c r="K11" s="16" t="n"/>
      <c r="M11" s="17" t="n"/>
      <c r="N11" s="17" t="n"/>
      <c r="O11" s="17" t="n"/>
    </row>
    <row r="12">
      <c r="A12" s="4" t="inlineStr">
        <is>
          <t>BTG Pactual</t>
        </is>
      </c>
      <c r="B12" s="4" t="n">
        <v>219</v>
      </c>
      <c r="C12" s="6" t="n">
        <v>226</v>
      </c>
      <c r="D12" s="25" t="n">
        <v>0.969</v>
      </c>
      <c r="E12" s="8" t="n">
        <v>3.0992</v>
      </c>
      <c r="F12" s="8" t="n">
        <v>3.3647</v>
      </c>
      <c r="G12" s="4" t="inlineStr">
        <is>
          <t>133 de 213</t>
        </is>
      </c>
      <c r="H12" s="25" t="n">
        <v>0.6244</v>
      </c>
      <c r="I12" s="7" t="n">
        <v>0.8</v>
      </c>
      <c r="J12" s="8" t="n">
        <v>1.281</v>
      </c>
      <c r="K12" s="16" t="n"/>
      <c r="M12" s="17" t="n"/>
      <c r="N12" s="17" t="n"/>
      <c r="O12" s="17" t="n"/>
    </row>
    <row r="14">
      <c r="A14" s="1" t="inlineStr">
        <is>
          <t>Por categoria, em 3 meses</t>
        </is>
      </c>
    </row>
    <row r="15" ht="30" customHeight="1">
      <c r="A15" s="3" t="inlineStr">
        <is>
          <t>Casa</t>
        </is>
      </c>
      <c r="B15" s="3" t="inlineStr">
        <is>
          <t>Categoria</t>
        </is>
      </c>
      <c r="C15" s="3" t="inlineStr">
        <is>
          <t>Fundos</t>
        </is>
      </c>
      <c r="D15" s="3" t="inlineStr">
        <is>
          <t>Mediana dos fundos (%)</t>
        </is>
      </c>
      <c r="E15" s="3" t="inlineStr">
        <is>
          <t>Ponderada por PL (%)</t>
        </is>
      </c>
      <c r="F15" s="3" t="inlineStr">
        <is>
          <t>Mediana da categoria no mercado (%)</t>
        </is>
      </c>
      <c r="G15" s="3" t="inlineStr">
        <is>
          <t>PL (R$)</t>
        </is>
      </c>
    </row>
    <row r="16">
      <c r="A16" s="4" t="inlineStr">
        <is>
          <t>BTG Pactual</t>
        </is>
      </c>
      <c r="B16" s="4" t="inlineStr">
        <is>
          <t>Previdência Multimercado Livre</t>
        </is>
      </c>
      <c r="C16" s="6" t="n">
        <v>126</v>
      </c>
      <c r="D16" s="8" t="n">
        <v>3.0494</v>
      </c>
      <c r="E16" s="8" t="n">
        <v>3.4993</v>
      </c>
      <c r="F16" s="8" t="n">
        <v>3.289</v>
      </c>
      <c r="G16" s="7" t="n">
        <v>20706604564.97</v>
      </c>
      <c r="I16" s="15" t="n"/>
      <c r="J16" s="16" t="n"/>
      <c r="K16" s="16" t="n"/>
      <c r="M16" s="17" t="n"/>
      <c r="N16" s="17" t="n"/>
      <c r="O16" s="17" t="n"/>
    </row>
    <row r="17">
      <c r="A17" s="4" t="inlineStr">
        <is>
          <t>BTG Pactual</t>
        </is>
      </c>
      <c r="B17" s="4" t="inlineStr">
        <is>
          <t>Previdência RF Duração Livre Crédito Liv</t>
        </is>
      </c>
      <c r="C17" s="6" t="n">
        <v>40</v>
      </c>
      <c r="D17" s="8" t="n">
        <v>3.0937</v>
      </c>
      <c r="E17" s="8" t="n">
        <v>3.1675</v>
      </c>
      <c r="F17" s="8" t="n">
        <v>3.1248</v>
      </c>
      <c r="G17" s="7" t="n">
        <v>12312018080.86</v>
      </c>
      <c r="I17" s="15" t="n"/>
      <c r="J17" s="16" t="n"/>
      <c r="K17" s="16" t="n"/>
      <c r="M17" s="17" t="n"/>
      <c r="N17" s="17" t="n"/>
      <c r="O17" s="17" t="n"/>
    </row>
    <row r="18">
      <c r="A18" s="4" t="inlineStr">
        <is>
          <t>BTG Pactual</t>
        </is>
      </c>
      <c r="B18" s="4" t="inlineStr">
        <is>
          <t>Previdência Ações Ativo</t>
        </is>
      </c>
      <c r="C18" s="6" t="n">
        <v>15</v>
      </c>
      <c r="D18" s="8" t="n">
        <v>5.1873</v>
      </c>
      <c r="E18" s="8" t="n">
        <v>3.6967</v>
      </c>
      <c r="F18" s="8" t="n">
        <v>6.078</v>
      </c>
      <c r="G18" s="7" t="n">
        <v>377749776.88</v>
      </c>
      <c r="I18" s="15" t="n"/>
      <c r="J18" s="16" t="n"/>
      <c r="K18" s="16" t="n"/>
      <c r="M18" s="17" t="n"/>
      <c r="N18" s="17" t="n"/>
      <c r="O18" s="17" t="n"/>
    </row>
    <row r="19">
      <c r="A19" s="4" t="inlineStr">
        <is>
          <t>BTG Pactual</t>
        </is>
      </c>
      <c r="B19" s="4" t="inlineStr">
        <is>
          <t>Previdência RF Duração Livre Grau de Inv</t>
        </is>
      </c>
      <c r="C19" s="6" t="n">
        <v>6</v>
      </c>
      <c r="D19" s="8" t="n">
        <v>3.0054</v>
      </c>
      <c r="E19" s="8" t="n">
        <v>4.0373</v>
      </c>
      <c r="F19" s="8" t="n">
        <v>3.0704</v>
      </c>
      <c r="G19" s="7" t="n">
        <v>486388747.74</v>
      </c>
      <c r="I19" s="15" t="n"/>
      <c r="J19" s="16" t="n"/>
      <c r="K19" s="16" t="n"/>
      <c r="M19" s="17" t="n"/>
      <c r="N19" s="17" t="n"/>
      <c r="O19" s="17" t="n"/>
    </row>
    <row r="20">
      <c r="A20" s="4" t="inlineStr">
        <is>
          <t>BTG Pactual</t>
        </is>
      </c>
      <c r="B20" s="4" t="inlineStr">
        <is>
          <t>Renda Fixa Duração Livre Crédito Livre</t>
        </is>
      </c>
      <c r="C20" s="6" t="n">
        <v>5</v>
      </c>
      <c r="D20" s="8" t="n">
        <v>3.1155</v>
      </c>
      <c r="E20" s="8" t="n">
        <v>3.1145</v>
      </c>
      <c r="F20" s="8" t="n">
        <v>3.0667</v>
      </c>
      <c r="G20" s="7" t="n">
        <v>641209203.27</v>
      </c>
      <c r="I20" s="15" t="n"/>
      <c r="J20" s="16" t="n"/>
      <c r="K20" s="16" t="n"/>
      <c r="M20" s="17" t="n"/>
      <c r="N20" s="17" t="n"/>
      <c r="O20" s="17" t="n"/>
    </row>
    <row r="21">
      <c r="A21" s="4" t="inlineStr">
        <is>
          <t>XP Investimentos</t>
        </is>
      </c>
      <c r="B21" s="4" t="inlineStr">
        <is>
          <t>Previdência Multimercado Livre</t>
        </is>
      </c>
      <c r="C21" s="6" t="n">
        <v>127</v>
      </c>
      <c r="D21" s="8" t="n">
        <v>3.0285</v>
      </c>
      <c r="E21" s="8" t="n">
        <v>3.7759</v>
      </c>
      <c r="F21" s="8" t="n">
        <v>3.289</v>
      </c>
      <c r="G21" s="7" t="n">
        <v>31891372928.59</v>
      </c>
      <c r="I21" s="15" t="n"/>
      <c r="J21" s="16" t="n"/>
      <c r="K21" s="16" t="n"/>
      <c r="M21" s="17" t="n"/>
      <c r="N21" s="17" t="n"/>
      <c r="O21" s="17" t="n"/>
    </row>
    <row r="22">
      <c r="A22" s="4" t="inlineStr">
        <is>
          <t>XP Investimentos</t>
        </is>
      </c>
      <c r="B22" s="4" t="inlineStr">
        <is>
          <t>Previdência RF Duração Livre Crédito Liv</t>
        </is>
      </c>
      <c r="C22" s="6" t="n">
        <v>35</v>
      </c>
      <c r="D22" s="8" t="n">
        <v>3.0612</v>
      </c>
      <c r="E22" s="8" t="n">
        <v>3.0986</v>
      </c>
      <c r="F22" s="8" t="n">
        <v>3.1248</v>
      </c>
      <c r="G22" s="7" t="n">
        <v>30003273818.18</v>
      </c>
      <c r="I22" s="15" t="n"/>
      <c r="J22" s="16" t="n"/>
      <c r="K22" s="16" t="n"/>
      <c r="M22" s="17" t="n"/>
      <c r="N22" s="17" t="n"/>
      <c r="O22" s="17" t="n"/>
    </row>
    <row r="23">
      <c r="A23" s="4" t="inlineStr">
        <is>
          <t>XP Investimentos</t>
        </is>
      </c>
      <c r="B23" s="4" t="inlineStr">
        <is>
          <t>Previdência Ações Ativo</t>
        </is>
      </c>
      <c r="C23" s="6" t="n">
        <v>18</v>
      </c>
      <c r="D23" s="8" t="n">
        <v>5.0591</v>
      </c>
      <c r="E23" s="8" t="n">
        <v>6.3088</v>
      </c>
      <c r="F23" s="8" t="n">
        <v>6.078</v>
      </c>
      <c r="G23" s="7" t="n">
        <v>666652499.72</v>
      </c>
      <c r="I23" s="15" t="n"/>
      <c r="J23" s="16" t="n"/>
      <c r="K23" s="16" t="n"/>
      <c r="M23" s="17" t="n"/>
      <c r="N23" s="17" t="n"/>
      <c r="O23" s="17" t="n"/>
    </row>
    <row r="24">
      <c r="A24" s="4" t="inlineStr">
        <is>
          <t>XP Investimentos</t>
        </is>
      </c>
      <c r="B24" s="4" t="inlineStr">
        <is>
          <t>Previdência RF Duração Livre Grau de Inv</t>
        </is>
      </c>
      <c r="C24" s="6" t="n">
        <v>8</v>
      </c>
      <c r="D24" s="8" t="n">
        <v>3.062</v>
      </c>
      <c r="E24" s="8" t="n">
        <v>3.0238</v>
      </c>
      <c r="F24" s="8" t="n">
        <v>3.0704</v>
      </c>
      <c r="G24" s="7" t="n">
        <v>8427485821.36</v>
      </c>
      <c r="I24" s="15" t="n"/>
      <c r="J24" s="16" t="n"/>
      <c r="K24" s="16" t="n"/>
      <c r="M24" s="17" t="n"/>
      <c r="N24" s="17" t="n"/>
      <c r="O24" s="17" t="n"/>
    </row>
  </sheetData>
  <autoFilter ref="A15:G24"/>
  <hyperlinks>
    <hyperlink xmlns:r="http://schemas.openxmlformats.org/officeDocument/2006/relationships" ref="C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22" customWidth="1" min="4" max="4"/>
    <col width="12" customWidth="1" min="5" max="5"/>
    <col width="14" customWidth="1" min="6" max="6"/>
    <col width="18" customWidth="1" min="7" max="7"/>
  </cols>
  <sheetData>
    <row r="1">
      <c r="A1" s="1" t="inlineStr">
        <is>
          <t>Mandato declarado</t>
        </is>
      </c>
    </row>
    <row r="2">
      <c r="A2" s="10" t="inlineStr">
        <is>
          <t>Fonte</t>
        </is>
      </c>
      <c r="B2" s="11" t="inlineStr">
        <is>
          <t>Extrato de informações da CVM (EXTRATO) - política de investimento</t>
        </is>
      </c>
      <c r="C2" s="12" t="inlineStr">
        <is>
          <t>https://dados.cvm.gov.br/dataset/fi-doc-extrato</t>
        </is>
      </c>
    </row>
    <row r="3">
      <c r="A3" s="10" t="inlineStr">
        <is>
          <t>Período</t>
        </is>
      </c>
      <c r="B3" s="11" t="inlineStr">
        <is>
          <t>Não se aplica: mandato é condição vigente do regulamento, não medida de um intervalo.</t>
        </is>
      </c>
    </row>
    <row r="4">
      <c r="A4" s="2" t="inlineStr">
        <is>
          <t>Mandato AUTORIZADO pelo regulamento, nunca exposição carregada. Medir o que a carteira de fato tem exigiria a CDA, fora do escopo.</t>
        </is>
      </c>
    </row>
    <row r="6" ht="30" customHeight="1">
      <c r="A6" s="3" t="inlineStr">
        <is>
          <t>Casa</t>
        </is>
      </c>
      <c r="B6" s="3" t="inlineStr">
        <is>
          <t>Dimensão</t>
        </is>
      </c>
      <c r="C6" s="3" t="inlineStr">
        <is>
          <t>Share da vitrine</t>
        </is>
      </c>
      <c r="D6" s="3" t="inlineStr">
        <is>
          <t>Share das concorrentes</t>
        </is>
      </c>
      <c r="E6" s="3" t="inlineStr">
        <is>
          <t>Índice</t>
        </is>
      </c>
      <c r="F6" s="3" t="inlineStr">
        <is>
          <t>Aposta</t>
        </is>
      </c>
      <c r="G6" s="3" t="inlineStr">
        <is>
          <t>Teto mediano (%)</t>
        </is>
      </c>
    </row>
    <row r="7">
      <c r="A7" s="4" t="inlineStr">
        <is>
          <t>BTG Pactual</t>
        </is>
      </c>
      <c r="B7" s="4" t="inlineStr">
        <is>
          <t>Exposição acima do patrimônio autorizada</t>
        </is>
      </c>
      <c r="C7" s="26" t="n">
        <v>0.0136</v>
      </c>
      <c r="D7" s="25" t="n">
        <v>0.0074</v>
      </c>
      <c r="E7" s="27" t="n">
        <v>1.84</v>
      </c>
      <c r="F7" s="4" t="inlineStr">
        <is>
          <t>acima</t>
        </is>
      </c>
      <c r="G7" s="8" t="n">
        <v>15</v>
      </c>
      <c r="I7" s="15" t="n"/>
      <c r="J7" s="16" t="n"/>
      <c r="K7" s="16" t="n"/>
      <c r="M7" s="17" t="n"/>
      <c r="N7" s="17" t="n"/>
      <c r="O7" s="17" t="n"/>
    </row>
    <row r="8">
      <c r="A8" s="4" t="inlineStr">
        <is>
          <t>BTG Pactual</t>
        </is>
      </c>
      <c r="B8" s="4" t="inlineStr">
        <is>
          <t>Crédito privado autorizado</t>
        </is>
      </c>
      <c r="C8" s="26" t="n">
        <v>0.8</v>
      </c>
      <c r="D8" s="25" t="n">
        <v>0.6815</v>
      </c>
      <c r="E8" s="27" t="n">
        <v>1.17</v>
      </c>
      <c r="F8" s="4" t="inlineStr">
        <is>
          <t>na média</t>
        </is>
      </c>
      <c r="G8" s="8" t="n">
        <v>50</v>
      </c>
      <c r="I8" s="15" t="n"/>
      <c r="J8" s="16" t="n"/>
      <c r="K8" s="16" t="n"/>
      <c r="M8" s="17" t="n"/>
      <c r="N8" s="17" t="n"/>
      <c r="O8" s="17" t="n"/>
    </row>
    <row r="9">
      <c r="A9" s="4" t="inlineStr">
        <is>
          <t>BTG Pactual</t>
        </is>
      </c>
      <c r="B9" s="4" t="inlineStr">
        <is>
          <t>Derivativos autorizados</t>
        </is>
      </c>
      <c r="C9" s="26" t="n">
        <v>0.8318</v>
      </c>
      <c r="D9" s="25" t="n">
        <v>0.7407</v>
      </c>
      <c r="E9" s="27" t="n">
        <v>1.12</v>
      </c>
      <c r="F9" s="4" t="inlineStr">
        <is>
          <t>na média</t>
        </is>
      </c>
      <c r="G9" s="8" t="n"/>
      <c r="I9" s="15" t="n"/>
      <c r="J9" s="16" t="n"/>
      <c r="K9" s="16" t="n"/>
      <c r="M9" s="17" t="n"/>
      <c r="N9" s="17" t="n"/>
      <c r="O9" s="17" t="n"/>
    </row>
    <row r="10">
      <c r="A10" s="4" t="inlineStr">
        <is>
          <t>BTG Pactual</t>
        </is>
      </c>
      <c r="B10" s="4" t="inlineStr">
        <is>
          <t>Fundo espelho</t>
        </is>
      </c>
      <c r="C10" s="26" t="n">
        <v>0.1212</v>
      </c>
      <c r="D10" s="25" t="n">
        <v>0.156</v>
      </c>
      <c r="E10" s="27" t="n">
        <v>0.78</v>
      </c>
      <c r="F10" s="4" t="inlineStr">
        <is>
          <t>na média</t>
        </is>
      </c>
      <c r="G10" s="8" t="n"/>
      <c r="I10" s="15" t="n"/>
      <c r="J10" s="16" t="n"/>
      <c r="K10" s="16" t="n"/>
      <c r="M10" s="17" t="n"/>
      <c r="N10" s="17" t="n"/>
      <c r="O10" s="17" t="n"/>
    </row>
    <row r="11">
      <c r="A11" s="4" t="inlineStr">
        <is>
          <t>BTG Pactual</t>
        </is>
      </c>
      <c r="B11" s="4" t="inlineStr">
        <is>
          <t>Ativo no exterior autorizado</t>
        </is>
      </c>
      <c r="C11" s="26" t="n">
        <v>0.7773</v>
      </c>
      <c r="D11" s="25" t="n">
        <v>0.763</v>
      </c>
      <c r="E11" s="27" t="n">
        <v>1.02</v>
      </c>
      <c r="F11" s="4" t="inlineStr">
        <is>
          <t>na média</t>
        </is>
      </c>
      <c r="G11" s="8" t="n">
        <v>20</v>
      </c>
      <c r="I11" s="15" t="n"/>
      <c r="J11" s="16" t="n"/>
      <c r="K11" s="16" t="n"/>
      <c r="M11" s="17" t="n"/>
      <c r="N11" s="17" t="n"/>
      <c r="O11" s="17" t="n"/>
    </row>
    <row r="12">
      <c r="A12" s="4" t="inlineStr">
        <is>
          <t>XP Investimentos</t>
        </is>
      </c>
      <c r="B12" s="4" t="inlineStr">
        <is>
          <t>Exposição acima do patrimônio autorizada</t>
        </is>
      </c>
      <c r="C12" s="26" t="n">
        <v>0.0074</v>
      </c>
      <c r="D12" s="25" t="n">
        <v>0.0136</v>
      </c>
      <c r="E12" s="27" t="n">
        <v>0.54</v>
      </c>
      <c r="F12" s="4" t="inlineStr">
        <is>
          <t>abaixo</t>
        </is>
      </c>
      <c r="G12" s="8" t="n">
        <v>100</v>
      </c>
      <c r="I12" s="15" t="n"/>
      <c r="J12" s="16" t="n"/>
      <c r="K12" s="16" t="n"/>
      <c r="M12" s="17" t="n"/>
      <c r="N12" s="17" t="n"/>
      <c r="O12" s="17" t="n"/>
    </row>
    <row r="13">
      <c r="A13" s="4" t="inlineStr">
        <is>
          <t>XP Investimentos</t>
        </is>
      </c>
      <c r="B13" s="4" t="inlineStr">
        <is>
          <t>Crédito privado autorizado</t>
        </is>
      </c>
      <c r="C13" s="26" t="n">
        <v>0.6815</v>
      </c>
      <c r="D13" s="25" t="n">
        <v>0.8</v>
      </c>
      <c r="E13" s="27" t="n">
        <v>0.85</v>
      </c>
      <c r="F13" s="4" t="inlineStr">
        <is>
          <t>na média</t>
        </is>
      </c>
      <c r="G13" s="8" t="n">
        <v>50</v>
      </c>
      <c r="I13" s="15" t="n"/>
      <c r="J13" s="16" t="n"/>
      <c r="K13" s="16" t="n"/>
      <c r="M13" s="17" t="n"/>
      <c r="N13" s="17" t="n"/>
      <c r="O13" s="17" t="n"/>
    </row>
    <row r="14">
      <c r="A14" s="4" t="inlineStr">
        <is>
          <t>XP Investimentos</t>
        </is>
      </c>
      <c r="B14" s="4" t="inlineStr">
        <is>
          <t>Derivativos autorizados</t>
        </is>
      </c>
      <c r="C14" s="26" t="n">
        <v>0.7407</v>
      </c>
      <c r="D14" s="25" t="n">
        <v>0.8318</v>
      </c>
      <c r="E14" s="27" t="n">
        <v>0.89</v>
      </c>
      <c r="F14" s="4" t="inlineStr">
        <is>
          <t>na média</t>
        </is>
      </c>
      <c r="G14" s="8" t="n"/>
      <c r="I14" s="15" t="n"/>
      <c r="J14" s="16" t="n"/>
      <c r="K14" s="16" t="n"/>
      <c r="M14" s="17" t="n"/>
      <c r="N14" s="17" t="n"/>
      <c r="O14" s="17" t="n"/>
    </row>
    <row r="15">
      <c r="A15" s="4" t="inlineStr">
        <is>
          <t>XP Investimentos</t>
        </is>
      </c>
      <c r="B15" s="4" t="inlineStr">
        <is>
          <t>Fundo espelho</t>
        </is>
      </c>
      <c r="C15" s="26" t="n">
        <v>0.156</v>
      </c>
      <c r="D15" s="25" t="n">
        <v>0.1212</v>
      </c>
      <c r="E15" s="27" t="n">
        <v>1.29</v>
      </c>
      <c r="F15" s="4" t="inlineStr">
        <is>
          <t>na média</t>
        </is>
      </c>
      <c r="G15" s="8" t="n"/>
      <c r="I15" s="15" t="n"/>
      <c r="J15" s="16" t="n"/>
      <c r="K15" s="16" t="n"/>
      <c r="M15" s="17" t="n"/>
      <c r="N15" s="17" t="n"/>
      <c r="O15" s="17" t="n"/>
    </row>
    <row r="16">
      <c r="A16" s="4" t="inlineStr">
        <is>
          <t>XP Investimentos</t>
        </is>
      </c>
      <c r="B16" s="4" t="inlineStr">
        <is>
          <t>Ativo no exterior autorizado</t>
        </is>
      </c>
      <c r="C16" s="26" t="n">
        <v>0.763</v>
      </c>
      <c r="D16" s="25" t="n">
        <v>0.7773</v>
      </c>
      <c r="E16" s="27" t="n">
        <v>0.98</v>
      </c>
      <c r="F16" s="4" t="inlineStr">
        <is>
          <t>na média</t>
        </is>
      </c>
      <c r="G16" s="8" t="n">
        <v>20</v>
      </c>
      <c r="I16" s="15" t="n"/>
      <c r="J16" s="16" t="n"/>
      <c r="K16" s="16" t="n"/>
      <c r="M16" s="17" t="n"/>
      <c r="N16" s="17" t="n"/>
      <c r="O16" s="17" t="n"/>
    </row>
  </sheetData>
  <autoFilter ref="A6:G16"/>
  <hyperlinks>
    <hyperlink xmlns:r="http://schemas.openxmlformats.org/officeDocument/2006/relationships" ref="C2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34" customWidth="1" min="3" max="3"/>
    <col width="10" customWidth="1" min="4" max="4"/>
    <col width="90" customWidth="1" min="5" max="5"/>
  </cols>
  <sheetData>
    <row r="1" ht="30" customHeight="1">
      <c r="A1" s="3" t="inlineStr">
        <is>
          <t>Fonte</t>
        </is>
      </c>
      <c r="B1" s="3" t="inlineStr">
        <is>
          <t>Status</t>
        </is>
      </c>
      <c r="C1" s="3" t="inlineStr">
        <is>
          <t>Fontes consultadas</t>
        </is>
      </c>
      <c r="D1" s="3" t="inlineStr">
        <is>
          <t>Fundos</t>
        </is>
      </c>
      <c r="E1" s="3" t="inlineStr">
        <is>
          <t>Observação</t>
        </is>
      </c>
    </row>
    <row r="2">
      <c r="A2" s="4" t="inlineStr">
        <is>
          <t>XP Investimentos</t>
        </is>
      </c>
      <c r="B2" s="4" t="inlineStr">
        <is>
          <t>ok</t>
        </is>
      </c>
      <c r="C2" s="4" t="inlineStr">
        <is>
          <t>Site (navegador)</t>
        </is>
      </c>
      <c r="D2" s="4" t="n">
        <v>223</v>
      </c>
      <c r="E2" s="4" t="inlineStr"/>
    </row>
    <row r="3">
      <c r="A3" s="4" t="inlineStr">
        <is>
          <t>BTG Pactual</t>
        </is>
      </c>
      <c r="B3" s="4" t="inlineStr">
        <is>
          <t>ok</t>
        </is>
      </c>
      <c r="C3" s="4" t="inlineStr">
        <is>
          <t>API interna</t>
        </is>
      </c>
      <c r="D3" s="4" t="n">
        <v>226</v>
      </c>
      <c r="E3" s="4" t="inlineStr"/>
    </row>
    <row r="4">
      <c r="A4" s="4" t="inlineStr">
        <is>
          <t>Itaú Private</t>
        </is>
      </c>
      <c r="B4" s="4" t="inlineStr">
        <is>
          <t>ok</t>
        </is>
      </c>
      <c r="C4" s="4" t="inlineStr">
        <is>
          <t>Site (HTML)</t>
        </is>
      </c>
      <c r="D4" s="4" t="n">
        <v>41</v>
      </c>
      <c r="E4" s="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  <col width="60" customWidth="1" min="3" max="3"/>
    <col width="60" customWidth="1" min="4" max="4"/>
  </cols>
  <sheetData>
    <row r="1">
      <c r="A1" s="1" t="inlineStr">
        <is>
          <t>Metodologia e proveniência</t>
        </is>
      </c>
    </row>
    <row r="3">
      <c r="A3" s="24" t="inlineStr">
        <is>
          <t>Gerado em</t>
        </is>
      </c>
      <c r="B3" s="11" t="inlineStr">
        <is>
          <t>24/09/2026 12:36</t>
        </is>
      </c>
    </row>
    <row r="5">
      <c r="A5" s="1" t="inlineStr">
        <is>
          <t>Fontes</t>
        </is>
      </c>
    </row>
    <row r="6">
      <c r="A6" s="24" t="inlineStr">
        <is>
          <t>Fonte</t>
        </is>
      </c>
      <c r="B6" s="24" t="inlineStr">
        <is>
          <t>O que entra</t>
        </is>
      </c>
      <c r="C6" s="24" t="inlineStr">
        <is>
          <t>Endereço para consulta</t>
        </is>
      </c>
      <c r="D6" s="24" t="inlineStr">
        <is>
          <t>Arquivos que o monitor lê</t>
        </is>
      </c>
    </row>
    <row r="7">
      <c r="A7" s="12" t="inlineStr">
        <is>
          <t>Vitrine - XP Investimentos</t>
        </is>
      </c>
      <c r="B7" s="11" t="inlineStr">
        <is>
          <t>fundos que a casa exibe ao cliente e as condições publicadas</t>
        </is>
      </c>
      <c r="C7" s="12" t="inlineStr">
        <is>
          <t>https://institucional.xpi.com.br/previdencia-privada/lista-de-fundos/#/</t>
        </is>
      </c>
    </row>
    <row r="8">
      <c r="A8" s="12" t="inlineStr">
        <is>
          <t>Vitrine - BTG Pactual</t>
        </is>
      </c>
      <c r="B8" s="11" t="inlineStr">
        <is>
          <t>fundos que a casa exibe ao cliente e as condições publicadas</t>
        </is>
      </c>
      <c r="C8" s="12" t="inlineStr">
        <is>
          <t>https://investimentos.btgpactual.com/previdencia-privada/produtos</t>
        </is>
      </c>
    </row>
    <row r="9">
      <c r="A9" s="12" t="inlineStr">
        <is>
          <t>Vitrine - Itaú Private</t>
        </is>
      </c>
      <c r="B9" s="11" t="inlineStr">
        <is>
          <t>fundos que a casa exibe ao cliente e as condições publicadas</t>
        </is>
      </c>
      <c r="C9" s="12" t="inlineStr">
        <is>
          <t>https://ww15.itau.com.br/privatebank/hotsite/catalogofundos2/tabela_rentabilidade/default.aspx</t>
        </is>
      </c>
    </row>
    <row r="10">
      <c r="A10" s="12" t="inlineStr">
        <is>
          <t>Cadastro de fundos da CVM</t>
        </is>
      </c>
      <c r="B10" s="11" t="inlineStr">
        <is>
          <t>classificação ANBIMA, gestora, situação e o radar de registros</t>
        </is>
      </c>
      <c r="C10" s="12" t="inlineStr">
        <is>
          <t>https://dados.cvm.gov.br/dataset/fi-cad</t>
        </is>
      </c>
      <c r="D10" s="12" t="inlineStr">
        <is>
          <t>https://dados.cvm.gov.br/dados/FI/CAD/DADOS/</t>
        </is>
      </c>
    </row>
    <row r="11">
      <c r="A11" s="12" t="inlineStr">
        <is>
          <t>Informe diário de fundos da CVM</t>
        </is>
      </c>
      <c r="B11" s="11" t="inlineStr">
        <is>
          <t>captação, resgates, patrimônio, cotistas e cota (rentabilidade)</t>
        </is>
      </c>
      <c r="C11" s="12" t="inlineStr">
        <is>
          <t>https://dados.cvm.gov.br/dataset/fi-doc-inf_diario</t>
        </is>
      </c>
      <c r="D11" s="12" t="inlineStr">
        <is>
          <t>https://dados.cvm.gov.br/dados/FI/DOC/INF_DIARIO/DADOS/</t>
        </is>
      </c>
    </row>
    <row r="12">
      <c r="A12" s="12" t="inlineStr">
        <is>
          <t>Extrato de informações de fundos da CVM</t>
        </is>
      </c>
      <c r="B12" s="11" t="inlineStr">
        <is>
          <t>taxa de administração, mandato e condições de resgate</t>
        </is>
      </c>
      <c r="C12" s="12" t="inlineStr">
        <is>
          <t>https://dados.cvm.gov.br/dataset/fi-doc-extrato</t>
        </is>
      </c>
      <c r="D12" s="12" t="inlineStr">
        <is>
          <t>https://dados.cvm.gov.br/dados/FI/DOC/EXTRATO/DADOS/</t>
        </is>
      </c>
    </row>
    <row r="14">
      <c r="A14" s="1" t="inlineStr">
        <is>
          <t>Período de cada aba</t>
        </is>
      </c>
    </row>
    <row r="15">
      <c r="A15" s="24" t="inlineStr">
        <is>
          <t>Aba</t>
        </is>
      </c>
      <c r="B15" s="24" t="inlineStr">
        <is>
          <t>Fonte e período</t>
        </is>
      </c>
    </row>
    <row r="16">
      <c r="A16" s="11" t="inlineStr">
        <is>
          <t>Captação por casa</t>
        </is>
      </c>
      <c r="B16" s="11" t="inlineStr">
        <is>
          <t>Informe diário da CVM (INF_DIARIO) - de 01/07/2026 a 22/09/2026 (3 competências: jul/2026, ago/2026, set/2026)</t>
        </is>
      </c>
    </row>
    <row r="17">
      <c r="A17" s="11" t="inlineStr">
        <is>
          <t>Captação por fundo</t>
        </is>
      </c>
      <c r="B17" s="11" t="inlineStr">
        <is>
          <t>Informe diário da CVM (INF_DIARIO) - de 01/07/2026 a 22/09/2026 (3 competências: jul/2026, ago/2026, set/2026)</t>
        </is>
      </c>
    </row>
    <row r="18">
      <c r="A18" s="11" t="inlineStr">
        <is>
          <t>Tendência de captação</t>
        </is>
      </c>
      <c r="B18" s="11" t="inlineStr">
        <is>
          <t>Informe diário da CVM (INF_DIARIO) - de 01/07/2026 a 22/09/2026 (3 competências: jul/2026, ago/2026, set/2026)</t>
        </is>
      </c>
    </row>
    <row r="19">
      <c r="A19" s="11" t="inlineStr">
        <is>
          <t>Rentabilidade 12 meses</t>
        </is>
      </c>
      <c r="B19" s="11" t="inlineStr">
        <is>
          <t>Cota patrimonial do INF_DIARIO, base na cota do fechamento de set/2025 - de 30/09/2025 a 23/09/2026 (246 pregões)</t>
        </is>
      </c>
    </row>
    <row r="20">
      <c r="A20" s="11" t="inlineStr">
        <is>
          <t>Rentabilidade 3 meses</t>
        </is>
      </c>
      <c r="B20" s="11" t="inlineStr">
        <is>
          <t>Cota patrimonial do INF_DIARIO, base na cota do primeiro pregão do período - de 01/07/2026 a 23/09/2026 (60 pregões)</t>
        </is>
      </c>
    </row>
    <row r="21">
      <c r="A21" s="11" t="inlineStr">
        <is>
          <t>Mandato declarado</t>
        </is>
      </c>
      <c r="B21" s="11" t="inlineStr">
        <is>
          <t>Extrato de informações da CVM (EXTRATO) - Não se aplica: condição vigente do regulamento, não medida de período</t>
        </is>
      </c>
    </row>
    <row r="23">
      <c r="A23" s="24" t="inlineStr">
        <is>
          <t>Vitrine (definição)</t>
        </is>
      </c>
      <c r="B23" s="11" t="inlineStr">
        <is>
          <t>Fundo presente no canal da própria casa: site público, API do portal ou área logada. Open Finance NÃO conta como vitrine - é o catálogo regulatório (tudo que a casa administra), usado aqui para enriquecer campos e medir o catálogo.</t>
        </is>
      </c>
    </row>
    <row r="24">
      <c r="A24" s="24" t="inlineStr">
        <is>
          <t>Perfil de varejo</t>
        </is>
      </c>
      <c r="B24" s="11" t="inlineStr">
        <is>
          <t>Fundos exclusivos/restritos (registro CVM, público profissional, flag da casa ou nome) ficam FORA das abas de análise e moram na aba 'Restritos (auxiliar)' com o motivo. Qualificado não é motivo de corte.</t>
        </is>
      </c>
    </row>
    <row r="25">
      <c r="A25" s="24" t="inlineStr">
        <is>
          <t>Gaps e exclusivos por CNPJ</t>
        </is>
      </c>
      <c r="B25" s="11" t="inlineStr">
        <is>
          <t>Não se aplica a este monitor: cada seguradora distribui pelo próprio veículo (FIE), então o mesmo gestor e a mesma estratégia têm CNPJ diferente em cada casa - em 23/09 as vitrines de XP e BTG dividiam 1 CNPJ (217 só na XP, 225 só no BTG). Gap e exclusividade por CNPJ medem a seguradora, não a oferta; a comparação que vale é por gestora e categoria. Por isso não há abas de gaps nem de oportunidade de grade, e nenhuma coluna 'Só nesta vitrine' ou 'Exclusivo'.</t>
        </is>
      </c>
    </row>
    <row r="26">
      <c r="A26" s="24" t="inlineStr">
        <is>
          <t>Cotistas</t>
        </is>
      </c>
      <c r="B26" s="11" t="inlineStr">
        <is>
          <t>Não se aplica a este monitor: em previdência o cotista do fundo (FIE) é a seguradora, não o participante: 438 dos 439 fundos de vitrine com informe têm 1 cotista (XP 213 de 214, BTG 226 de 226, informe de 23/09). Contar cotistas não mede gente. Por isso não há aba 'Onde está a gente' nem colunas de cotistas.</t>
        </is>
      </c>
    </row>
    <row r="27">
      <c r="A27" s="24" t="inlineStr">
        <is>
          <t>Precedência de fontes</t>
        </is>
      </c>
      <c r="B27" s="11" t="inlineStr">
        <is>
          <t>Open Finance &gt; área logada &gt; API do portal &gt; navegador &gt; HTML. Quando duas fontes discordam de um campo, vence a de maior confiança; as demais preenchem lacunas.</t>
        </is>
      </c>
    </row>
    <row r="28">
      <c r="A28" s="24" t="inlineStr">
        <is>
          <t>Normalização ANBIMA</t>
        </is>
      </c>
      <c r="B28" s="11" t="inlineStr">
        <is>
          <t>Join com a base oficial CVM pelo CNPJ da classe, pelo CNPJ do fundo e pelo código CVM da subclasse (445 de 449 fundos identificáveis casaram - 99%; 0 deles só pelo código). Classe ANBIMA, gestor e situação vêm do registro oficial; a classificação publicada pela casa, quando diverge, fica na coluna classificacao_anbima_casa.</t>
        </is>
      </c>
    </row>
    <row r="29">
      <c r="A29" s="24" t="inlineStr">
        <is>
          <t>Classificação por nome</t>
        </is>
      </c>
      <c r="B29" s="11" t="inlineStr">
        <is>
          <t>44 fundos que o join por identidade não alcançou receberam a categoria oficial pelo nome, casando contra o cadastro da CVM por prefixo de slug mais taxa, aplicação mínima e prazo de resgate. É o que coloca na comparação a casa que não publica CNPJ - a vitrine do Itaú traz CNPJ em 6% dos fundos. Nenhuma dessas vias preenche CNPJ: elas resolvem a CATEGORIA, não a identidade, e a via de cada fundo fica na coluna categoria_via. Vias usadas: nome 40, nome-maioria 3, nome-rotulo 1.</t>
        </is>
      </c>
    </row>
    <row r="30">
      <c r="A30" s="24" t="inlineStr">
        <is>
          <t>Gestora</t>
        </is>
      </c>
      <c r="B30" s="11" t="inlineStr">
        <is>
          <t>Vem do registro da CVM sempre que o fundo casa com a base (445 fundos nesta geração) - é o que faz a mesma gestora ter um nome só nas cinco casas. O nome publicado pela casa, quando diverge, fica em gestor_casa. Sem match, 5 gestoras foram inferidas pelo prefixo do nome do fundo e vão marcadas como inferidas.</t>
        </is>
      </c>
    </row>
    <row r="32">
      <c r="A32" s="1" t="inlineStr">
        <is>
          <t>Coleta por casa</t>
        </is>
      </c>
    </row>
    <row r="33">
      <c r="A33" s="24" t="inlineStr">
        <is>
          <t>XP Investimentos</t>
        </is>
      </c>
      <c r="B33" s="11" t="inlineStr">
        <is>
          <t>24/09/2026 08:55 - status=ok | fontes: playwright=223 | vitrine=223 de 223</t>
        </is>
      </c>
    </row>
    <row r="34">
      <c r="A34" s="24" t="inlineStr">
        <is>
          <t>BTG Pactual</t>
        </is>
      </c>
      <c r="B34" s="11" t="inlineStr">
        <is>
          <t>24/09/2026 08:56 - status=ok | fontes: api-json=226 | vitrine=226 de 226</t>
        </is>
      </c>
    </row>
    <row r="35">
      <c r="A35" s="24" t="inlineStr">
        <is>
          <t>Itaú Private</t>
        </is>
      </c>
      <c r="B35" s="11" t="inlineStr">
        <is>
          <t>24/09/2026 08:56 - status=ok | fontes: html-scrape=41 | vitrine=41 de 41</t>
        </is>
      </c>
    </row>
  </sheetData>
  <hyperlinks>
    <hyperlink xmlns:r="http://schemas.openxmlformats.org/officeDocument/2006/relationships" ref="A7" r:id="rId1"/>
    <hyperlink xmlns:r="http://schemas.openxmlformats.org/officeDocument/2006/relationships" ref="C7" r:id="rId2"/>
    <hyperlink xmlns:r="http://schemas.openxmlformats.org/officeDocument/2006/relationships" ref="A8" r:id="rId3"/>
    <hyperlink xmlns:r="http://schemas.openxmlformats.org/officeDocument/2006/relationships" ref="C8" r:id="rId4"/>
    <hyperlink xmlns:r="http://schemas.openxmlformats.org/officeDocument/2006/relationships" ref="A9" r:id="rId5"/>
    <hyperlink xmlns:r="http://schemas.openxmlformats.org/officeDocument/2006/relationships" ref="C9" r:id="rId6"/>
    <hyperlink xmlns:r="http://schemas.openxmlformats.org/officeDocument/2006/relationships" ref="A10" r:id="rId7"/>
    <hyperlink xmlns:r="http://schemas.openxmlformats.org/officeDocument/2006/relationships" ref="C10" r:id="rId8"/>
    <hyperlink xmlns:r="http://schemas.openxmlformats.org/officeDocument/2006/relationships" ref="D10" r:id="rId9"/>
    <hyperlink xmlns:r="http://schemas.openxmlformats.org/officeDocument/2006/relationships" ref="A11" r:id="rId10"/>
    <hyperlink xmlns:r="http://schemas.openxmlformats.org/officeDocument/2006/relationships" ref="C11" r:id="rId11"/>
    <hyperlink xmlns:r="http://schemas.openxmlformats.org/officeDocument/2006/relationships" ref="D11" r:id="rId12"/>
    <hyperlink xmlns:r="http://schemas.openxmlformats.org/officeDocument/2006/relationships" ref="A12" r:id="rId13"/>
    <hyperlink xmlns:r="http://schemas.openxmlformats.org/officeDocument/2006/relationships" ref="C12" r:id="rId14"/>
    <hyperlink xmlns:r="http://schemas.openxmlformats.org/officeDocument/2006/relationships" ref="D12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2026-09-24T15:36:54Z</dcterms:created>
  <dcterms:modified xmlns:dcterms="http://purl.org/dc/terms/" xmlns:xsi="http://www.w3.org/2001/XMLSchema-instance" xsi:type="dcterms:W3CDTF">2026-09-24T15:36:55Z</dcterms:modified>
</cp:coreProperties>
</file>